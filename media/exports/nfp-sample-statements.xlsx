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'Grants'!$A$4:$M$10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3" t="inlineStr">
        <is>
          <t>Cost to raise a dollar, September</t>
        </is>
      </c>
      <c r="B4" s="4" t="inlineStr">
        <is>
          <t>20¢</t>
        </is>
      </c>
      <c r="C4" s="5" t="inlineStr">
        <is>
          <t>▲ from 13¢ in Aug</t>
        </is>
      </c>
    </row>
    <row r="5">
      <c r="A5" s="3" t="inlineStr">
        <is>
          <t>Unrestricted cash runway</t>
        </is>
      </c>
      <c r="B5" s="6" t="inlineStr">
        <is>
          <t>2.0 months</t>
        </is>
      </c>
      <c r="C5" s="5" t="inlineStr">
        <is>
          <t>▼ from 2.2 months in Aug</t>
        </is>
      </c>
    </row>
    <row r="6">
      <c r="A6" s="3" t="inlineStr">
        <is>
          <t>Grants ending in 6 months</t>
        </is>
      </c>
      <c r="B6" s="6" t="inlineStr">
        <is>
          <t>2 · $117,300</t>
        </is>
      </c>
      <c r="C6" s="5" t="inlineStr">
        <is>
          <t>still to spend before they end</t>
        </is>
      </c>
    </row>
    <row r="8">
      <c r="A8" s="7" t="inlineStr">
        <is>
          <t>Grant spend vs budget to date (%)</t>
        </is>
      </c>
    </row>
    <row r="9">
      <c r="A9" t="inlineStr">
        <is>
          <t>Youth outreach</t>
        </is>
      </c>
      <c r="B9" s="8" t="n">
        <v>102.1</v>
      </c>
    </row>
    <row r="10">
      <c r="A10" t="inlineStr">
        <is>
          <t>Housing support</t>
        </is>
      </c>
      <c r="B10" s="8" t="n">
        <v>95.40000000000001</v>
      </c>
    </row>
    <row r="11">
      <c r="A11" t="inlineStr">
        <is>
          <t>Community meals</t>
        </is>
      </c>
      <c r="B11" s="8" t="n">
        <v>100</v>
      </c>
    </row>
    <row r="12">
      <c r="A12" t="inlineStr">
        <is>
          <t>Digital literacy</t>
        </is>
      </c>
      <c r="B12" s="8" t="n">
        <v>99.3</v>
      </c>
    </row>
    <row r="13">
      <c r="A13" t="inlineStr">
        <is>
          <t>Mental health first aid</t>
        </is>
      </c>
      <c r="B13" s="8" t="n">
        <v>95.3</v>
      </c>
    </row>
    <row r="14">
      <c r="A14" t="inlineStr">
        <is>
          <t>Volunteer coordinator</t>
        </is>
      </c>
      <c r="B14" s="8" t="n">
        <v>100</v>
      </c>
    </row>
    <row r="15">
      <c r="A15" s="9" t="inlineStr">
        <is>
          <t>Target</t>
        </is>
      </c>
      <c r="B15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Youth outreach grant</t>
        </is>
      </c>
      <c r="B6" s="14" t="n">
        <v>22800</v>
      </c>
      <c r="C6" s="14" t="n">
        <v>21500</v>
      </c>
      <c r="D6" s="15">
        <f>B6-C6</f>
        <v/>
      </c>
    </row>
    <row r="7">
      <c r="A7" s="13" t="inlineStr">
        <is>
          <t>Housing support grant</t>
        </is>
      </c>
      <c r="B7" s="14" t="n">
        <v>31200</v>
      </c>
      <c r="C7" s="14" t="n">
        <v>30500</v>
      </c>
      <c r="D7" s="15">
        <f>B7-C7</f>
        <v/>
      </c>
    </row>
    <row r="8">
      <c r="A8" s="13" t="inlineStr">
        <is>
          <t>Community meals grant</t>
        </is>
      </c>
      <c r="B8" s="14" t="n">
        <v>4300</v>
      </c>
      <c r="C8" s="14" t="n">
        <v>4100</v>
      </c>
      <c r="D8" s="15">
        <f>B8-C8</f>
        <v/>
      </c>
    </row>
    <row r="9">
      <c r="A9" s="13" t="inlineStr">
        <is>
          <t>Digital literacy grant</t>
        </is>
      </c>
      <c r="B9" s="14" t="n">
        <v>4900</v>
      </c>
      <c r="C9" s="14" t="n">
        <v>5200</v>
      </c>
      <c r="D9" s="15">
        <f>B9-C9</f>
        <v/>
      </c>
    </row>
    <row r="10">
      <c r="A10" s="13" t="inlineStr">
        <is>
          <t>Mental health first aid grant</t>
        </is>
      </c>
      <c r="B10" s="14" t="n">
        <v>10800</v>
      </c>
      <c r="C10" s="14" t="n">
        <v>9400</v>
      </c>
      <c r="D10" s="15">
        <f>B10-C10</f>
        <v/>
      </c>
    </row>
    <row r="11">
      <c r="A11" s="13" t="inlineStr">
        <is>
          <t>Volunteer coordinator grant</t>
        </is>
      </c>
      <c r="B11" s="14" t="n">
        <v>3000</v>
      </c>
      <c r="C11" s="14" t="n">
        <v>3000</v>
      </c>
      <c r="D11" s="15">
        <f>B11-C11</f>
        <v/>
      </c>
    </row>
    <row r="12">
      <c r="A12" s="13" t="inlineStr">
        <is>
          <t>Donations</t>
        </is>
      </c>
      <c r="B12" s="14" t="n">
        <v>27900</v>
      </c>
      <c r="C12" s="14" t="n">
        <v>18400</v>
      </c>
      <c r="D12" s="15">
        <f>B12-C12</f>
        <v/>
      </c>
    </row>
    <row r="13">
      <c r="A13" s="13" t="inlineStr">
        <is>
          <t>Fundraising events</t>
        </is>
      </c>
      <c r="B13" s="14" t="n">
        <v>41600</v>
      </c>
      <c r="C13" s="14" t="n">
        <v>0</v>
      </c>
      <c r="D13" s="15">
        <f>B13-C13</f>
        <v/>
      </c>
    </row>
    <row r="14">
      <c r="A14" s="13" t="inlineStr">
        <is>
          <t>Program fees</t>
        </is>
      </c>
      <c r="B14" s="14" t="n">
        <v>28300</v>
      </c>
      <c r="C14" s="14" t="n">
        <v>26800</v>
      </c>
      <c r="D14" s="15">
        <f>B14-C14</f>
        <v/>
      </c>
    </row>
    <row r="15">
      <c r="A15" s="13" t="inlineStr">
        <is>
          <t>Interest</t>
        </is>
      </c>
      <c r="B15" s="14" t="n">
        <v>1380</v>
      </c>
      <c r="C15" s="14" t="n">
        <v>1450</v>
      </c>
      <c r="D15" s="15">
        <f>B15-C15</f>
        <v/>
      </c>
    </row>
    <row r="16">
      <c r="A16" s="16" t="inlineStr">
        <is>
          <t>Total income</t>
        </is>
      </c>
      <c r="B16" s="17" t="n">
        <v>176180</v>
      </c>
      <c r="C16" s="17" t="n">
        <v>120350</v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14" t="n">
        <v>-57750</v>
      </c>
      <c r="C18" s="14" t="n">
        <v>-55275</v>
      </c>
      <c r="D18" s="15">
        <f>B18-C18</f>
        <v/>
      </c>
    </row>
    <row r="19">
      <c r="A19" s="13" t="inlineStr">
        <is>
          <t>Grant-funded program costs</t>
        </is>
      </c>
      <c r="B19" s="14" t="n">
        <v>-19250</v>
      </c>
      <c r="C19" s="14" t="n">
        <v>-18425</v>
      </c>
      <c r="D19" s="15">
        <f>B19-C19</f>
        <v/>
      </c>
    </row>
    <row r="20">
      <c r="A20" s="13" t="inlineStr">
        <is>
          <t>Program delivery wages (untied)</t>
        </is>
      </c>
      <c r="B20" s="14" t="n">
        <v>-14500</v>
      </c>
      <c r="C20" s="14" t="n">
        <v>-14000</v>
      </c>
      <c r="D20" s="15">
        <f>B20-C20</f>
        <v/>
      </c>
    </row>
    <row r="21">
      <c r="A21" s="13" t="inlineStr">
        <is>
          <t>Program costs (untied)</t>
        </is>
      </c>
      <c r="B21" s="14" t="n">
        <v>-6100</v>
      </c>
      <c r="C21" s="14" t="n">
        <v>-5500</v>
      </c>
      <c r="D21" s="15">
        <f>B21-C21</f>
        <v/>
      </c>
    </row>
    <row r="22">
      <c r="A22" s="16" t="inlineStr">
        <is>
          <t>Total program spend</t>
        </is>
      </c>
      <c r="B22" s="17" t="n">
        <v>-97600</v>
      </c>
      <c r="C22" s="17" t="n">
        <v>-93200</v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14" t="n">
        <v>-7100</v>
      </c>
      <c r="C24" s="14" t="n">
        <v>-7100</v>
      </c>
      <c r="D24" s="15">
        <f>B24-C24</f>
        <v/>
      </c>
    </row>
    <row r="25">
      <c r="A25" s="13" t="inlineStr">
        <is>
          <t>Donor campaigns</t>
        </is>
      </c>
      <c r="B25" s="14" t="n">
        <v>-5400</v>
      </c>
      <c r="C25" s="14" t="n">
        <v>-2200</v>
      </c>
      <c r="D25" s="15">
        <f>B25-C25</f>
        <v/>
      </c>
    </row>
    <row r="26">
      <c r="A26" s="13" t="inlineStr">
        <is>
          <t>Event costs</t>
        </is>
      </c>
      <c r="B26" s="14" t="n">
        <v>-16900</v>
      </c>
      <c r="C26" s="14" t="n">
        <v>-2400</v>
      </c>
      <c r="D26" s="15">
        <f>B26-C26</f>
        <v/>
      </c>
    </row>
    <row r="27">
      <c r="A27" s="16" t="inlineStr">
        <is>
          <t>Total fundraising costs</t>
        </is>
      </c>
      <c r="B27" s="17" t="n">
        <v>-29400</v>
      </c>
      <c r="C27" s="17" t="n">
        <v>-11700</v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14" t="n">
        <v>-18300</v>
      </c>
      <c r="C29" s="14" t="n">
        <v>-18300</v>
      </c>
      <c r="D29" s="15">
        <f>B29-C29</f>
        <v/>
      </c>
    </row>
    <row r="30">
      <c r="A30" s="13" t="inlineStr">
        <is>
          <t>Occupancy</t>
        </is>
      </c>
      <c r="B30" s="14" t="n">
        <v>-10000</v>
      </c>
      <c r="C30" s="14" t="n">
        <v>-10000</v>
      </c>
      <c r="D30" s="15">
        <f>B30-C30</f>
        <v/>
      </c>
    </row>
    <row r="31">
      <c r="A31" s="13" t="inlineStr">
        <is>
          <t>Other administration</t>
        </is>
      </c>
      <c r="B31" s="14" t="n">
        <v>-7600</v>
      </c>
      <c r="C31" s="14" t="n">
        <v>-8000</v>
      </c>
      <c r="D31" s="15">
        <f>B31-C31</f>
        <v/>
      </c>
    </row>
    <row r="32">
      <c r="A32" s="16" t="inlineStr">
        <is>
          <t>Total administration</t>
        </is>
      </c>
      <c r="B32" s="17" t="n">
        <v>-35900</v>
      </c>
      <c r="C32" s="17" t="n">
        <v>-36300</v>
      </c>
      <c r="D32" s="17">
        <f>B32-C32</f>
        <v/>
      </c>
    </row>
    <row r="33">
      <c r="A33" s="16" t="inlineStr">
        <is>
          <t>Depreciation</t>
        </is>
      </c>
      <c r="B33" s="17" t="n">
        <v>-2900</v>
      </c>
      <c r="C33" s="17" t="n">
        <v>-2900</v>
      </c>
      <c r="D33" s="17">
        <f>B33-C33</f>
        <v/>
      </c>
    </row>
    <row r="34">
      <c r="A34" s="16" t="inlineStr">
        <is>
          <t>Total expenses</t>
        </is>
      </c>
      <c r="B34" s="17" t="n">
        <v>-165800</v>
      </c>
      <c r="C34" s="17" t="n">
        <v>-144100</v>
      </c>
      <c r="D34" s="17">
        <f>B34-C34</f>
        <v/>
      </c>
    </row>
    <row r="35">
      <c r="A35" s="18" t="inlineStr">
        <is>
          <t>Surplus for the month</t>
        </is>
      </c>
      <c r="B35" s="19" t="n">
        <v>10380</v>
      </c>
      <c r="C35" s="19" t="n">
        <v>-23750</v>
      </c>
      <c r="D35" s="19">
        <f>B35-C35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480780</v>
      </c>
      <c r="C6" s="14" t="n">
        <v>525675</v>
      </c>
      <c r="D6" s="15">
        <f>B6-C6</f>
        <v/>
      </c>
    </row>
    <row r="7">
      <c r="A7" s="13" t="inlineStr">
        <is>
          <t>Program fees receivable</t>
        </is>
      </c>
      <c r="B7" s="14" t="n">
        <v>10400</v>
      </c>
      <c r="C7" s="14" t="n">
        <v>9800</v>
      </c>
      <c r="D7" s="15">
        <f>B7-C7</f>
        <v/>
      </c>
    </row>
    <row r="8">
      <c r="A8" s="13" t="inlineStr">
        <is>
          <t>Grants receivable (spent ahead of instalment)</t>
        </is>
      </c>
      <c r="B8" s="14" t="n">
        <v>20900</v>
      </c>
      <c r="C8" s="14" t="n">
        <v>9700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533080</v>
      </c>
      <c r="C10" s="17" t="n">
        <v>566175</v>
      </c>
      <c r="D10" s="17">
        <f>B10-C10</f>
        <v/>
      </c>
    </row>
    <row r="11">
      <c r="A11" s="16" t="inlineStr">
        <is>
          <t>Vehicles and equipment</t>
        </is>
      </c>
      <c r="B11" s="17" t="n">
        <v>172200</v>
      </c>
      <c r="C11" s="17" t="n">
        <v>175100</v>
      </c>
      <c r="D11" s="17">
        <f>B11-C11</f>
        <v/>
      </c>
    </row>
    <row r="12">
      <c r="A12" s="16" t="inlineStr">
        <is>
          <t>Total assets</t>
        </is>
      </c>
      <c r="B12" s="17" t="n">
        <v>705280</v>
      </c>
      <c r="C12" s="17" t="n">
        <v>741275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14" t="n">
        <v>65250</v>
      </c>
      <c r="C14" s="14" t="n">
        <v>46525</v>
      </c>
      <c r="D14" s="15">
        <f>B14-C14</f>
        <v/>
      </c>
    </row>
    <row r="15">
      <c r="A15" s="13" t="inlineStr">
        <is>
          <t>Grants received in advance (unspent)</t>
        </is>
      </c>
      <c r="B15" s="14" t="n">
        <v>156100</v>
      </c>
      <c r="C15" s="14" t="n">
        <v>221900</v>
      </c>
      <c r="D15" s="15">
        <f>B15-C15</f>
        <v/>
      </c>
    </row>
    <row r="16">
      <c r="A16" s="13" t="inlineStr">
        <is>
          <t>Employee leave provisions</t>
        </is>
      </c>
      <c r="B16" s="14" t="n">
        <v>166600</v>
      </c>
      <c r="C16" s="14" t="n">
        <v>165900</v>
      </c>
      <c r="D16" s="15">
        <f>B16-C16</f>
        <v/>
      </c>
    </row>
    <row r="17">
      <c r="A17" s="16" t="inlineStr">
        <is>
          <t>Total liabilities</t>
        </is>
      </c>
      <c r="B17" s="17" t="n">
        <v>387950</v>
      </c>
      <c r="C17" s="17" t="n">
        <v>434325</v>
      </c>
      <c r="D17" s="17">
        <f>B17-C17</f>
        <v/>
      </c>
    </row>
    <row r="18">
      <c r="A18" s="18" t="inlineStr">
        <is>
          <t>Net assets</t>
        </is>
      </c>
      <c r="B18" s="19" t="n">
        <v>317330</v>
      </c>
      <c r="C18" s="19" t="n">
        <v>306950</v>
      </c>
      <c r="D18" s="19">
        <f>B18-C18</f>
        <v/>
      </c>
    </row>
    <row r="19">
      <c r="A19" s="12" t="inlineStr">
        <is>
          <t>Equity</t>
        </is>
      </c>
    </row>
    <row r="20">
      <c r="A20" s="18" t="inlineStr">
        <is>
          <t>Accumulated funds</t>
        </is>
      </c>
      <c r="B20" s="19" t="n">
        <v>317330</v>
      </c>
      <c r="C20" s="19" t="n">
        <v>306950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14" t="n">
        <v>0</v>
      </c>
      <c r="C6" s="14" t="n">
        <v>0</v>
      </c>
      <c r="D6" s="15">
        <f>B6-C6</f>
        <v/>
      </c>
    </row>
    <row r="7">
      <c r="A7" s="13" t="inlineStr">
        <is>
          <t>Donations and fundraising received</t>
        </is>
      </c>
      <c r="B7" s="14" t="n">
        <v>69500</v>
      </c>
      <c r="C7" s="14" t="n">
        <v>18400</v>
      </c>
      <c r="D7" s="15">
        <f>B7-C7</f>
        <v/>
      </c>
    </row>
    <row r="8">
      <c r="A8" s="13" t="inlineStr">
        <is>
          <t>Program fees received</t>
        </is>
      </c>
      <c r="B8" s="14" t="n">
        <v>27700</v>
      </c>
      <c r="C8" s="14" t="n">
        <v>26100</v>
      </c>
      <c r="D8" s="15">
        <f>B8-C8</f>
        <v/>
      </c>
    </row>
    <row r="9">
      <c r="A9" s="13" t="inlineStr">
        <is>
          <t>Interest received</t>
        </is>
      </c>
      <c r="B9" s="14" t="n">
        <v>1380</v>
      </c>
      <c r="C9" s="14" t="n">
        <v>1450</v>
      </c>
      <c r="D9" s="15">
        <f>B9-C9</f>
        <v/>
      </c>
    </row>
    <row r="10">
      <c r="A10" s="13" t="inlineStr">
        <is>
          <t>Payments to suppliers</t>
        </is>
      </c>
      <c r="B10" s="14" t="n">
        <v>-46525</v>
      </c>
      <c r="C10" s="14" t="n">
        <v>-36500</v>
      </c>
      <c r="D10" s="15">
        <f>B10-C10</f>
        <v/>
      </c>
    </row>
    <row r="11">
      <c r="A11" s="13" t="inlineStr">
        <is>
          <t>Payments to employees</t>
        </is>
      </c>
      <c r="B11" s="14" t="n">
        <v>-96950</v>
      </c>
      <c r="C11" s="14" t="n">
        <v>-93775</v>
      </c>
      <c r="D11" s="15">
        <f>B11-C11</f>
        <v/>
      </c>
    </row>
    <row r="12">
      <c r="A12" s="16" t="inlineStr">
        <is>
          <t>Net cash from operating activities</t>
        </is>
      </c>
      <c r="B12" s="17" t="n">
        <v>-44895</v>
      </c>
      <c r="C12" s="17" t="n">
        <v>-84325</v>
      </c>
      <c r="D12" s="17">
        <f>B12-C12</f>
        <v/>
      </c>
    </row>
    <row r="13">
      <c r="A13" s="12" t="inlineStr">
        <is>
          <t>Investing activities</t>
        </is>
      </c>
    </row>
    <row r="14">
      <c r="A14" s="13" t="inlineStr">
        <is>
          <t>Purchase of vehicles and equipment</t>
        </is>
      </c>
      <c r="B14" s="14" t="n">
        <v>0</v>
      </c>
      <c r="C14" s="14" t="n">
        <v>0</v>
      </c>
      <c r="D14" s="15">
        <f>B14-C14</f>
        <v/>
      </c>
    </row>
    <row r="15">
      <c r="A15" s="16" t="inlineStr">
        <is>
          <t>Net cash from investing activities</t>
        </is>
      </c>
      <c r="B15" s="17" t="n">
        <v>0</v>
      </c>
      <c r="C15" s="17" t="n">
        <v>0</v>
      </c>
      <c r="D15" s="17">
        <f>B15-C15</f>
        <v/>
      </c>
    </row>
    <row r="16">
      <c r="A16" s="16" t="inlineStr">
        <is>
          <t>Net change in cash</t>
        </is>
      </c>
      <c r="B16" s="17" t="n">
        <v>-44895</v>
      </c>
      <c r="C16" s="17" t="n">
        <v>-84325</v>
      </c>
      <c r="D16" s="17">
        <f>B16-C16</f>
        <v/>
      </c>
    </row>
    <row r="17">
      <c r="A17" s="16" t="inlineStr">
        <is>
          <t>Cash at start of month</t>
        </is>
      </c>
      <c r="B17" s="17" t="n">
        <v>525675</v>
      </c>
      <c r="C17" s="17" t="n">
        <v>610000</v>
      </c>
      <c r="D17" s="17">
        <f>B17-C17</f>
        <v/>
      </c>
    </row>
    <row r="18">
      <c r="A18" s="18" t="inlineStr">
        <is>
          <t>Cash at end of month</t>
        </is>
      </c>
      <c r="B18" s="19" t="n">
        <v>480780</v>
      </c>
      <c r="C18" s="19" t="n">
        <v>525675</v>
      </c>
      <c r="D18" s="19">
        <f>B18-C18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20" t="inlineStr">
        <is>
          <t>Program</t>
        </is>
      </c>
      <c r="B4" s="20" t="inlineStr">
        <is>
          <t>Funder</t>
        </is>
      </c>
      <c r="C4" s="21" t="inlineStr">
        <is>
          <t>Total</t>
        </is>
      </c>
      <c r="D4" s="20" t="inlineStr">
        <is>
          <t>Start</t>
        </is>
      </c>
      <c r="E4" s="20" t="inlineStr">
        <is>
          <t>End</t>
        </is>
      </c>
      <c r="F4" s="21" t="inlineStr">
        <is>
          <t>Received to date</t>
        </is>
      </c>
      <c r="G4" s="21" t="inlineStr">
        <is>
          <t>Spent to date</t>
        </is>
      </c>
      <c r="H4" s="21" t="inlineStr">
        <is>
          <t>Spent Aug</t>
        </is>
      </c>
      <c r="I4" s="21" t="inlineStr">
        <is>
          <t>Spent Sep</t>
        </is>
      </c>
      <c r="J4" s="21" t="inlineStr">
        <is>
          <t>Budget to date</t>
        </is>
      </c>
      <c r="K4" s="21" t="inlineStr">
        <is>
          <t>Spend vs budget %</t>
        </is>
      </c>
      <c r="L4" s="21" t="inlineStr">
        <is>
          <t>Still to spend</t>
        </is>
      </c>
      <c r="M4" s="21" t="inlineStr">
        <is>
          <t>Months left</t>
        </is>
      </c>
    </row>
    <row r="5">
      <c r="A5" t="inlineStr">
        <is>
          <t>Youth outreach</t>
        </is>
      </c>
      <c r="B5" t="inlineStr">
        <is>
          <t>State Department of Families</t>
        </is>
      </c>
      <c r="C5" s="22" t="n">
        <v>480000</v>
      </c>
      <c r="D5" t="inlineStr">
        <is>
          <t>2025-07-01</t>
        </is>
      </c>
      <c r="E5" t="inlineStr">
        <is>
          <t>2027-06-30</t>
        </is>
      </c>
      <c r="F5" s="22" t="n">
        <v>300000</v>
      </c>
      <c r="G5" s="22" t="n">
        <v>306300</v>
      </c>
      <c r="H5" s="22" t="n">
        <v>21500</v>
      </c>
      <c r="I5" s="22" t="n">
        <v>22800</v>
      </c>
      <c r="J5" s="22" t="n">
        <v>300000</v>
      </c>
      <c r="K5" s="8" t="n">
        <v>102.1</v>
      </c>
      <c r="L5" s="22" t="n">
        <v>173700</v>
      </c>
      <c r="M5" s="22" t="n">
        <v>9</v>
      </c>
    </row>
    <row r="6">
      <c r="A6" t="inlineStr">
        <is>
          <t>Housing support</t>
        </is>
      </c>
      <c r="B6" t="inlineStr">
        <is>
          <t>State Housing Program</t>
        </is>
      </c>
      <c r="C6" s="22" t="n">
        <v>360000</v>
      </c>
      <c r="D6" t="inlineStr">
        <is>
          <t>2026-01-01</t>
        </is>
      </c>
      <c r="E6" t="inlineStr">
        <is>
          <t>2026-12-31</t>
        </is>
      </c>
      <c r="F6" s="22" t="n">
        <v>360000</v>
      </c>
      <c r="G6" s="22" t="n">
        <v>257700</v>
      </c>
      <c r="H6" s="22" t="n">
        <v>30500</v>
      </c>
      <c r="I6" s="22" t="n">
        <v>31200</v>
      </c>
      <c r="J6" s="22" t="n">
        <v>270000</v>
      </c>
      <c r="K6" s="8" t="n">
        <v>95.40000000000001</v>
      </c>
      <c r="L6" s="22" t="n">
        <v>102300</v>
      </c>
      <c r="M6" s="22" t="n">
        <v>3</v>
      </c>
    </row>
    <row r="7">
      <c r="A7" t="inlineStr">
        <is>
          <t>Community meals</t>
        </is>
      </c>
      <c r="B7" t="inlineStr">
        <is>
          <t>Local council community grant</t>
        </is>
      </c>
      <c r="C7" s="22" t="n">
        <v>48000</v>
      </c>
      <c r="D7" t="inlineStr">
        <is>
          <t>2026-07-01</t>
        </is>
      </c>
      <c r="E7" t="inlineStr">
        <is>
          <t>2027-06-30</t>
        </is>
      </c>
      <c r="F7" s="22" t="n">
        <v>48000</v>
      </c>
      <c r="G7" s="22" t="n">
        <v>12000</v>
      </c>
      <c r="H7" s="22" t="n">
        <v>4100</v>
      </c>
      <c r="I7" s="22" t="n">
        <v>4300</v>
      </c>
      <c r="J7" s="22" t="n">
        <v>12000</v>
      </c>
      <c r="K7" s="8" t="n">
        <v>100</v>
      </c>
      <c r="L7" s="22" t="n">
        <v>36000</v>
      </c>
      <c r="M7" s="22" t="n">
        <v>9</v>
      </c>
    </row>
    <row r="8">
      <c r="A8" t="inlineStr">
        <is>
          <t>Digital literacy</t>
        </is>
      </c>
      <c r="B8" t="inlineStr">
        <is>
          <t>Philanthropic foundation</t>
        </is>
      </c>
      <c r="C8" s="22" t="n">
        <v>90000</v>
      </c>
      <c r="D8" t="inlineStr">
        <is>
          <t>2025-10-01</t>
        </is>
      </c>
      <c r="E8" t="inlineStr">
        <is>
          <t>2027-03-31</t>
        </is>
      </c>
      <c r="F8" s="22" t="n">
        <v>45000</v>
      </c>
      <c r="G8" s="22" t="n">
        <v>59600</v>
      </c>
      <c r="H8" s="22" t="n">
        <v>5200</v>
      </c>
      <c r="I8" s="22" t="n">
        <v>4900</v>
      </c>
      <c r="J8" s="22" t="n">
        <v>60000</v>
      </c>
      <c r="K8" s="8" t="n">
        <v>99.3</v>
      </c>
      <c r="L8" s="22" t="n">
        <v>30400</v>
      </c>
      <c r="M8" s="22" t="n">
        <v>6</v>
      </c>
    </row>
    <row r="9">
      <c r="A9" t="inlineStr">
        <is>
          <t>Mental health first aid</t>
        </is>
      </c>
      <c r="B9" t="inlineStr">
        <is>
          <t>Federal health program</t>
        </is>
      </c>
      <c r="C9" s="22" t="n">
        <v>120000</v>
      </c>
      <c r="D9" t="inlineStr">
        <is>
          <t>2026-04-01</t>
        </is>
      </c>
      <c r="E9" t="inlineStr">
        <is>
          <t>2027-03-31</t>
        </is>
      </c>
      <c r="F9" s="22" t="n">
        <v>60000</v>
      </c>
      <c r="G9" s="22" t="n">
        <v>57200</v>
      </c>
      <c r="H9" s="22" t="n">
        <v>9400</v>
      </c>
      <c r="I9" s="22" t="n">
        <v>10800</v>
      </c>
      <c r="J9" s="22" t="n">
        <v>60000</v>
      </c>
      <c r="K9" s="8" t="n">
        <v>95.3</v>
      </c>
      <c r="L9" s="22" t="n">
        <v>62800</v>
      </c>
      <c r="M9" s="22" t="n">
        <v>6</v>
      </c>
    </row>
    <row r="10">
      <c r="A10" t="inlineStr">
        <is>
          <t>Volunteer coordinator</t>
        </is>
      </c>
      <c r="B10" t="inlineStr">
        <is>
          <t>State volunteering grant</t>
        </is>
      </c>
      <c r="C10" s="22" t="n">
        <v>36000</v>
      </c>
      <c r="D10" t="inlineStr">
        <is>
          <t>2026-03-01</t>
        </is>
      </c>
      <c r="E10" t="inlineStr">
        <is>
          <t>2027-02-28</t>
        </is>
      </c>
      <c r="F10" s="22" t="n">
        <v>36000</v>
      </c>
      <c r="G10" s="22" t="n">
        <v>21000</v>
      </c>
      <c r="H10" s="22" t="n">
        <v>3000</v>
      </c>
      <c r="I10" s="22" t="n">
        <v>3000</v>
      </c>
      <c r="J10" s="22" t="n">
        <v>21000</v>
      </c>
      <c r="K10" s="8" t="n">
        <v>100</v>
      </c>
      <c r="L10" s="22" t="n">
        <v>15000</v>
      </c>
      <c r="M10" s="22" t="n">
        <v>5</v>
      </c>
    </row>
  </sheetData>
  <autoFilter ref="A4:M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2" t="inlineStr">
        <is>
          <t>The organisation</t>
        </is>
      </c>
    </row>
    <row r="5">
      <c r="A5" s="23" t="inlineStr">
        <is>
          <t>What it is</t>
        </is>
      </c>
      <c r="B5" s="24" t="inlineStr">
        <is>
          <t>A Brisbane community services charity funded by six grants, donations, events and program fees. About 18 staff. Registered charity, income-tax exempt.</t>
        </is>
      </c>
    </row>
    <row r="6">
      <c r="A6" s="23" t="inlineStr">
        <is>
          <t>Reporting month</t>
        </is>
      </c>
      <c r="B6" s="24" t="inlineStr">
        <is>
          <t>September 2026, compared with August 2026</t>
        </is>
      </c>
    </row>
    <row r="7">
      <c r="A7" s="23" t="inlineStr">
        <is>
          <t>Financial year</t>
        </is>
      </c>
      <c r="B7" s="24" t="inlineStr">
        <is>
          <t>FY2027: 1 July 2026 to 30 June 2027</t>
        </is>
      </c>
    </row>
    <row r="9">
      <c r="A9" s="12" t="inlineStr">
        <is>
          <t>Grants</t>
        </is>
      </c>
    </row>
    <row r="10">
      <c r="A10" s="23" t="inlineStr">
        <is>
          <t>Youth outreach</t>
        </is>
      </c>
      <c r="B10" s="24" t="inlineStr">
        <is>
          <t>State Department of Families: $480,000, 2025-07 to 2027-06</t>
        </is>
      </c>
    </row>
    <row r="11">
      <c r="A11" s="23" t="inlineStr">
        <is>
          <t>Housing support</t>
        </is>
      </c>
      <c r="B11" s="24" t="inlineStr">
        <is>
          <t>State Housing Program: $360,000, 2026-01 to 2026-12</t>
        </is>
      </c>
    </row>
    <row r="12">
      <c r="A12" s="23" t="inlineStr">
        <is>
          <t>Community meals</t>
        </is>
      </c>
      <c r="B12" s="24" t="inlineStr">
        <is>
          <t>Local council community grant: $48,000, 2026-07 to 2027-06</t>
        </is>
      </c>
    </row>
    <row r="13">
      <c r="A13" s="23" t="inlineStr">
        <is>
          <t>Digital literacy</t>
        </is>
      </c>
      <c r="B13" s="24" t="inlineStr">
        <is>
          <t>Philanthropic foundation: $90,000, 2025-10 to 2027-03</t>
        </is>
      </c>
    </row>
    <row r="14">
      <c r="A14" s="23" t="inlineStr">
        <is>
          <t>Mental health first aid</t>
        </is>
      </c>
      <c r="B14" s="24" t="inlineStr">
        <is>
          <t>Federal health program: $120,000, 2026-04 to 2027-03</t>
        </is>
      </c>
    </row>
    <row r="15">
      <c r="A15" s="23" t="inlineStr">
        <is>
          <t>Volunteer coordinator</t>
        </is>
      </c>
      <c r="B15" s="24" t="inlineStr">
        <is>
          <t>State volunteering grant: $36,000, 2026-03 to 2027-02</t>
        </is>
      </c>
    </row>
    <row r="16">
      <c r="A16" s="23" t="inlineStr">
        <is>
          <t>Grant income</t>
        </is>
      </c>
      <c r="B16" s="24" t="inlineStr">
        <is>
          <t>recognised as the money is spent on the program</t>
        </is>
      </c>
    </row>
    <row r="17">
      <c r="A17" s="23" t="inlineStr">
        <is>
          <t>Unspent grants</t>
        </is>
      </c>
      <c r="B17" s="24" t="inlineStr">
        <is>
          <t>instalments received but not yet spent are a liability (grants received in advance)</t>
        </is>
      </c>
    </row>
    <row r="19">
      <c r="A19" s="12" t="inlineStr">
        <is>
          <t>Other income and costs</t>
        </is>
      </c>
    </row>
    <row r="20">
      <c r="A20" s="23" t="inlineStr">
        <is>
          <t>Donations</t>
        </is>
      </c>
      <c r="B20" s="24" t="inlineStr">
        <is>
          <t>including the spring appeal in September</t>
        </is>
      </c>
    </row>
    <row r="21">
      <c r="A21" s="23" t="inlineStr">
        <is>
          <t>Fundraising event</t>
        </is>
      </c>
      <c r="B21" s="24" t="inlineStr">
        <is>
          <t>September gala: income and costs in the same month</t>
        </is>
      </c>
    </row>
    <row r="22">
      <c r="A22" s="23" t="inlineStr">
        <is>
          <t>Grant-funded spending</t>
        </is>
      </c>
      <c r="B22" s="24" t="inlineStr">
        <is>
          <t>75% wages, the rest program costs</t>
        </is>
      </c>
    </row>
    <row r="23">
      <c r="A23" s="23" t="inlineStr">
        <is>
          <t>Income tax</t>
        </is>
      </c>
      <c r="B23" s="24" t="inlineStr">
        <is>
          <t>none: registered charity, income-tax exempt</t>
        </is>
      </c>
    </row>
    <row r="25">
      <c r="A25" s="12" t="inlineStr">
        <is>
          <t>Cash and balance sheet</t>
        </is>
      </c>
    </row>
    <row r="26">
      <c r="A26" s="23" t="inlineStr">
        <is>
          <t>Suppliers</t>
        </is>
      </c>
      <c r="B26" s="24" t="inlineStr">
        <is>
          <t>paid the following month</t>
        </is>
      </c>
    </row>
    <row r="27">
      <c r="A27" s="23" t="inlineStr">
        <is>
          <t>Unrestricted cash</t>
        </is>
      </c>
      <c r="B27" s="24" t="inlineStr">
        <is>
          <t>cash at bank less unspent grant money</t>
        </is>
      </c>
    </row>
    <row r="28">
      <c r="A28" s="23" t="inlineStr">
        <is>
          <t>Cash runway</t>
        </is>
      </c>
      <c r="B28" s="24" t="inlineStr">
        <is>
          <t>unrestricted cash ÷ this month's cash spending</t>
        </is>
      </c>
    </row>
    <row r="29">
      <c r="A29" s="23" t="inlineStr">
        <is>
          <t>Reserves target</t>
        </is>
      </c>
      <c r="B29" s="24" t="inlineStr">
        <is>
          <t>3 months of spending</t>
        </is>
      </c>
    </row>
    <row r="30">
      <c r="A30" s="23" t="inlineStr">
        <is>
          <t>GST</t>
        </is>
      </c>
      <c r="B30" s="24" t="inlineStr">
        <is>
          <t>excluded throughout, for simplicity</t>
        </is>
      </c>
    </row>
    <row r="32">
      <c r="A32" s="12" t="inlineStr">
        <is>
          <t>Checks (all passed)</t>
        </is>
      </c>
    </row>
    <row r="33">
      <c r="A33" t="inlineStr">
        <is>
          <t>✓ Every subtotal and total adds up</t>
        </is>
      </c>
    </row>
    <row r="34">
      <c r="A34" t="inlineStr">
        <is>
          <t>✓ Balance sheet balances: assets = liabilities + accumulated funds</t>
        </is>
      </c>
    </row>
    <row r="35">
      <c r="A35" t="inlineStr">
        <is>
          <t>✓ Cash flow ends at the cash in the bank</t>
        </is>
      </c>
    </row>
    <row r="36">
      <c r="A36" t="inlineStr">
        <is>
          <t>✓ Surplus ties to the movement in accumulated funds</t>
        </is>
      </c>
    </row>
    <row r="37">
      <c r="A37" t="inlineStr">
        <is>
          <t>✓ Grant income equals what was spent on each grant</t>
        </is>
      </c>
    </row>
    <row r="38">
      <c r="A38" t="inlineStr">
        <is>
          <t>✓ Unspent grants equal instalments received less income recognised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2026-10-06T00:56:35Z</dcterms:created>
  <dcterms:modified xmlns:dcterms="http://purl.org/dc/terms/" xmlns:xsi="http://www.w3.org/2001/XMLSchema-instance" xsi:type="dcterms:W3CDTF">2026-10-06T00:56:35Z</dcterms:modified>
</cp:coreProperties>
</file>