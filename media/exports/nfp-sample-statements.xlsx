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Workings" sheetId="5" state="visible" r:id="rId5"/>
    <sheet xmlns:r="http://schemas.openxmlformats.org/officeDocument/2006/relationships" name="Grant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1">'PandL'!$4:$4</definedName>
    <definedName name="_xlnm.Print_Titles" localSheetId="2">'Balance sheet'!$4:$4</definedName>
    <definedName name="_xlnm.Print_Titles" localSheetId="3">'Cash flow'!$4:$4</definedName>
    <definedName name="_xlnm._FilterDatabase" localSheetId="5" hidden="1">'Grants'!$A$4:$M$10</definedName>
    <definedName name="_xlnm.Print_Titles" localSheetId="5">'Grants'!$4:$4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;(#,##0);&quot;-&quot;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pivotButton="0" quotePrefix="0" xfId="0"/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Community Services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3" t="inlineStr">
        <is>
          <t>Cost to raise a dollar, September</t>
        </is>
      </c>
      <c r="B4" s="4" t="inlineStr">
        <is>
          <t>20¢</t>
        </is>
      </c>
      <c r="C4" s="5" t="inlineStr">
        <is>
          <t>▲ from 13¢ in Aug</t>
        </is>
      </c>
    </row>
    <row r="5">
      <c r="A5" s="3" t="inlineStr">
        <is>
          <t>Unrestricted cash runway</t>
        </is>
      </c>
      <c r="B5" s="6" t="inlineStr">
        <is>
          <t>2.0 months</t>
        </is>
      </c>
      <c r="C5" s="5" t="inlineStr">
        <is>
          <t>▼ from 2.2 months in Aug</t>
        </is>
      </c>
    </row>
    <row r="6">
      <c r="A6" s="3" t="inlineStr">
        <is>
          <t>Grants ending in 6 months</t>
        </is>
      </c>
      <c r="B6" s="6" t="inlineStr">
        <is>
          <t>2 · $117,300</t>
        </is>
      </c>
      <c r="C6" s="5" t="inlineStr">
        <is>
          <t>still to spend before they end</t>
        </is>
      </c>
    </row>
    <row r="8">
      <c r="A8" s="7" t="inlineStr">
        <is>
          <t>Grant spend to date against budget</t>
        </is>
      </c>
    </row>
    <row r="9">
      <c r="A9" t="inlineStr">
        <is>
          <t>Youth outreach</t>
        </is>
      </c>
      <c r="B9" s="8" t="n">
        <v>102.1</v>
      </c>
    </row>
    <row r="10">
      <c r="A10" t="inlineStr">
        <is>
          <t>Housing support</t>
        </is>
      </c>
      <c r="B10" s="8" t="n">
        <v>95.40000000000001</v>
      </c>
    </row>
    <row r="11">
      <c r="A11" t="inlineStr">
        <is>
          <t>Mental health first aid</t>
        </is>
      </c>
      <c r="B11" s="8" t="n">
        <v>95.3</v>
      </c>
    </row>
    <row r="12">
      <c r="A12" t="inlineStr">
        <is>
          <t>Digital literacy</t>
        </is>
      </c>
      <c r="B12" s="8" t="n">
        <v>99.3</v>
      </c>
    </row>
    <row r="13">
      <c r="A13" t="inlineStr">
        <is>
          <t>Community meals</t>
        </is>
      </c>
      <c r="B13" s="8" t="n">
        <v>100</v>
      </c>
    </row>
    <row r="14">
      <c r="A14" t="inlineStr">
        <is>
          <t>Volunteer coordinator</t>
        </is>
      </c>
      <c r="B14" s="8" t="n">
        <v>100</v>
      </c>
    </row>
    <row r="15">
      <c r="A15" s="9" t="inlineStr">
        <is>
          <t>Target</t>
        </is>
      </c>
      <c r="B15" t="n">
        <v>100</v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Income</t>
        </is>
      </c>
    </row>
    <row r="6">
      <c r="A6" s="13" t="inlineStr">
        <is>
          <t>Youth outreach grant</t>
        </is>
      </c>
      <c r="B6" s="14" t="n">
        <v>22800</v>
      </c>
      <c r="C6" s="14" t="n">
        <v>21500</v>
      </c>
      <c r="D6" s="15">
        <f>B6-C6</f>
        <v/>
      </c>
    </row>
    <row r="7">
      <c r="A7" s="13" t="inlineStr">
        <is>
          <t>Housing support grant</t>
        </is>
      </c>
      <c r="B7" s="14" t="n">
        <v>31200</v>
      </c>
      <c r="C7" s="14" t="n">
        <v>30500</v>
      </c>
      <c r="D7" s="15">
        <f>B7-C7</f>
        <v/>
      </c>
    </row>
    <row r="8">
      <c r="A8" s="13" t="inlineStr">
        <is>
          <t>Community meals grant</t>
        </is>
      </c>
      <c r="B8" s="14" t="n">
        <v>4300</v>
      </c>
      <c r="C8" s="14" t="n">
        <v>4100</v>
      </c>
      <c r="D8" s="15">
        <f>B8-C8</f>
        <v/>
      </c>
    </row>
    <row r="9">
      <c r="A9" s="13" t="inlineStr">
        <is>
          <t>Digital literacy grant</t>
        </is>
      </c>
      <c r="B9" s="14" t="n">
        <v>4900</v>
      </c>
      <c r="C9" s="14" t="n">
        <v>5200</v>
      </c>
      <c r="D9" s="15">
        <f>B9-C9</f>
        <v/>
      </c>
    </row>
    <row r="10">
      <c r="A10" s="13" t="inlineStr">
        <is>
          <t>Mental health first aid grant</t>
        </is>
      </c>
      <c r="B10" s="14" t="n">
        <v>10800</v>
      </c>
      <c r="C10" s="14" t="n">
        <v>9400</v>
      </c>
      <c r="D10" s="15">
        <f>B10-C10</f>
        <v/>
      </c>
    </row>
    <row r="11">
      <c r="A11" s="13" t="inlineStr">
        <is>
          <t>Volunteer coordinator grant</t>
        </is>
      </c>
      <c r="B11" s="14" t="n">
        <v>3000</v>
      </c>
      <c r="C11" s="14" t="n">
        <v>3000</v>
      </c>
      <c r="D11" s="15">
        <f>B11-C11</f>
        <v/>
      </c>
    </row>
    <row r="12">
      <c r="A12" s="13" t="inlineStr">
        <is>
          <t>Donations</t>
        </is>
      </c>
      <c r="B12" s="14" t="n">
        <v>27900</v>
      </c>
      <c r="C12" s="14" t="n">
        <v>18400</v>
      </c>
      <c r="D12" s="15">
        <f>B12-C12</f>
        <v/>
      </c>
    </row>
    <row r="13">
      <c r="A13" s="13" t="inlineStr">
        <is>
          <t>Fundraising events</t>
        </is>
      </c>
      <c r="B13" s="14" t="n">
        <v>41600</v>
      </c>
      <c r="C13" s="14" t="n">
        <v>0</v>
      </c>
      <c r="D13" s="15">
        <f>B13-C13</f>
        <v/>
      </c>
    </row>
    <row r="14">
      <c r="A14" s="13" t="inlineStr">
        <is>
          <t>Program fees</t>
        </is>
      </c>
      <c r="B14" s="14" t="n">
        <v>28300</v>
      </c>
      <c r="C14" s="14" t="n">
        <v>26800</v>
      </c>
      <c r="D14" s="15">
        <f>B14-C14</f>
        <v/>
      </c>
    </row>
    <row r="15">
      <c r="A15" s="13" t="inlineStr">
        <is>
          <t>Interest</t>
        </is>
      </c>
      <c r="B15" s="14" t="n">
        <v>1380</v>
      </c>
      <c r="C15" s="14" t="n">
        <v>1450</v>
      </c>
      <c r="D15" s="15">
        <f>B15-C15</f>
        <v/>
      </c>
    </row>
    <row r="16">
      <c r="A16" s="16" t="inlineStr">
        <is>
          <t>Total income</t>
        </is>
      </c>
      <c r="B16" s="17" t="n">
        <v>176180</v>
      </c>
      <c r="C16" s="17" t="n">
        <v>120350</v>
      </c>
      <c r="D16" s="17">
        <f>B16-C16</f>
        <v/>
      </c>
    </row>
    <row r="17">
      <c r="A17" s="12" t="inlineStr">
        <is>
          <t>Programs</t>
        </is>
      </c>
    </row>
    <row r="18">
      <c r="A18" s="13" t="inlineStr">
        <is>
          <t>Grant-funded program wages</t>
        </is>
      </c>
      <c r="B18" s="14" t="n">
        <v>-57750</v>
      </c>
      <c r="C18" s="14" t="n">
        <v>-55275</v>
      </c>
      <c r="D18" s="15">
        <f>B18-C18</f>
        <v/>
      </c>
    </row>
    <row r="19">
      <c r="A19" s="13" t="inlineStr">
        <is>
          <t>Grant-funded program costs</t>
        </is>
      </c>
      <c r="B19" s="14" t="n">
        <v>-19250</v>
      </c>
      <c r="C19" s="14" t="n">
        <v>-18425</v>
      </c>
      <c r="D19" s="15">
        <f>B19-C19</f>
        <v/>
      </c>
    </row>
    <row r="20">
      <c r="A20" s="13" t="inlineStr">
        <is>
          <t>Program delivery wages (untied)</t>
        </is>
      </c>
      <c r="B20" s="14" t="n">
        <v>-14500</v>
      </c>
      <c r="C20" s="14" t="n">
        <v>-14000</v>
      </c>
      <c r="D20" s="15">
        <f>B20-C20</f>
        <v/>
      </c>
    </row>
    <row r="21">
      <c r="A21" s="13" t="inlineStr">
        <is>
          <t>Program costs (untied)</t>
        </is>
      </c>
      <c r="B21" s="14" t="n">
        <v>-6100</v>
      </c>
      <c r="C21" s="14" t="n">
        <v>-5500</v>
      </c>
      <c r="D21" s="15">
        <f>B21-C21</f>
        <v/>
      </c>
    </row>
    <row r="22">
      <c r="A22" s="16" t="inlineStr">
        <is>
          <t>Total program spend</t>
        </is>
      </c>
      <c r="B22" s="17" t="n">
        <v>-97600</v>
      </c>
      <c r="C22" s="17" t="n">
        <v>-93200</v>
      </c>
      <c r="D22" s="17">
        <f>B22-C22</f>
        <v/>
      </c>
    </row>
    <row r="23">
      <c r="A23" s="12" t="inlineStr">
        <is>
          <t>Fundraising</t>
        </is>
      </c>
    </row>
    <row r="24">
      <c r="A24" s="13" t="inlineStr">
        <is>
          <t>Grant writing and reporting</t>
        </is>
      </c>
      <c r="B24" s="14" t="n">
        <v>-7100</v>
      </c>
      <c r="C24" s="14" t="n">
        <v>-7100</v>
      </c>
      <c r="D24" s="15">
        <f>B24-C24</f>
        <v/>
      </c>
    </row>
    <row r="25">
      <c r="A25" s="13" t="inlineStr">
        <is>
          <t>Donor campaigns</t>
        </is>
      </c>
      <c r="B25" s="14" t="n">
        <v>-5400</v>
      </c>
      <c r="C25" s="14" t="n">
        <v>-2200</v>
      </c>
      <c r="D25" s="15">
        <f>B25-C25</f>
        <v/>
      </c>
    </row>
    <row r="26">
      <c r="A26" s="13" t="inlineStr">
        <is>
          <t>Event costs</t>
        </is>
      </c>
      <c r="B26" s="14" t="n">
        <v>-16900</v>
      </c>
      <c r="C26" s="14" t="n">
        <v>-2400</v>
      </c>
      <c r="D26" s="15">
        <f>B26-C26</f>
        <v/>
      </c>
    </row>
    <row r="27">
      <c r="A27" s="16" t="inlineStr">
        <is>
          <t>Total fundraising costs</t>
        </is>
      </c>
      <c r="B27" s="17" t="n">
        <v>-29400</v>
      </c>
      <c r="C27" s="17" t="n">
        <v>-11700</v>
      </c>
      <c r="D27" s="17">
        <f>B27-C27</f>
        <v/>
      </c>
    </row>
    <row r="28">
      <c r="A28" s="12" t="inlineStr">
        <is>
          <t>Administration</t>
        </is>
      </c>
    </row>
    <row r="29">
      <c r="A29" s="13" t="inlineStr">
        <is>
          <t>Administration wages</t>
        </is>
      </c>
      <c r="B29" s="14" t="n">
        <v>-18300</v>
      </c>
      <c r="C29" s="14" t="n">
        <v>-18300</v>
      </c>
      <c r="D29" s="15">
        <f>B29-C29</f>
        <v/>
      </c>
    </row>
    <row r="30">
      <c r="A30" s="13" t="inlineStr">
        <is>
          <t>Occupancy</t>
        </is>
      </c>
      <c r="B30" s="14" t="n">
        <v>-10000</v>
      </c>
      <c r="C30" s="14" t="n">
        <v>-10000</v>
      </c>
      <c r="D30" s="15">
        <f>B30-C30</f>
        <v/>
      </c>
    </row>
    <row r="31">
      <c r="A31" s="13" t="inlineStr">
        <is>
          <t>Other administration</t>
        </is>
      </c>
      <c r="B31" s="14" t="n">
        <v>-7600</v>
      </c>
      <c r="C31" s="14" t="n">
        <v>-8000</v>
      </c>
      <c r="D31" s="15">
        <f>B31-C31</f>
        <v/>
      </c>
    </row>
    <row r="32">
      <c r="A32" s="16" t="inlineStr">
        <is>
          <t>Total administration</t>
        </is>
      </c>
      <c r="B32" s="17" t="n">
        <v>-35900</v>
      </c>
      <c r="C32" s="17" t="n">
        <v>-36300</v>
      </c>
      <c r="D32" s="17">
        <f>B32-C32</f>
        <v/>
      </c>
    </row>
    <row r="33">
      <c r="A33" s="16" t="inlineStr">
        <is>
          <t>Depreciation</t>
        </is>
      </c>
      <c r="B33" s="17" t="n">
        <v>-2900</v>
      </c>
      <c r="C33" s="17" t="n">
        <v>-2900</v>
      </c>
      <c r="D33" s="17">
        <f>B33-C33</f>
        <v/>
      </c>
    </row>
    <row r="34">
      <c r="A34" s="16" t="inlineStr">
        <is>
          <t>Total expenses</t>
        </is>
      </c>
      <c r="B34" s="17" t="n">
        <v>-165800</v>
      </c>
      <c r="C34" s="17" t="n">
        <v>-144100</v>
      </c>
      <c r="D34" s="17">
        <f>B34-C34</f>
        <v/>
      </c>
    </row>
    <row r="35">
      <c r="A35" s="18" t="inlineStr">
        <is>
          <t>Surplus for the month</t>
        </is>
      </c>
      <c r="B35" s="19" t="n">
        <v>10380</v>
      </c>
      <c r="C35" s="19" t="n">
        <v>-23750</v>
      </c>
      <c r="D35" s="19">
        <f>B35-C35</f>
        <v/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480780</v>
      </c>
      <c r="C6" s="14" t="n">
        <v>525675</v>
      </c>
      <c r="D6" s="15">
        <f>B6-C6</f>
        <v/>
      </c>
    </row>
    <row r="7">
      <c r="A7" s="13" t="inlineStr">
        <is>
          <t>Program fees receivable</t>
        </is>
      </c>
      <c r="B7" s="14" t="n">
        <v>10400</v>
      </c>
      <c r="C7" s="14" t="n">
        <v>9800</v>
      </c>
      <c r="D7" s="15">
        <f>B7-C7</f>
        <v/>
      </c>
    </row>
    <row r="8">
      <c r="A8" s="13" t="inlineStr">
        <is>
          <t>Grants receivable (spent ahead of instalment)</t>
        </is>
      </c>
      <c r="B8" s="14" t="n">
        <v>20900</v>
      </c>
      <c r="C8" s="14" t="n">
        <v>9700</v>
      </c>
      <c r="D8" s="15">
        <f>B8-C8</f>
        <v/>
      </c>
    </row>
    <row r="9">
      <c r="A9" s="13" t="inlineStr">
        <is>
          <t>Prepayments</t>
        </is>
      </c>
      <c r="B9" s="14" t="n">
        <v>21000</v>
      </c>
      <c r="C9" s="14" t="n">
        <v>21000</v>
      </c>
      <c r="D9" s="15">
        <f>B9-C9</f>
        <v/>
      </c>
    </row>
    <row r="10">
      <c r="A10" s="16" t="inlineStr">
        <is>
          <t>Total current assets</t>
        </is>
      </c>
      <c r="B10" s="17" t="n">
        <v>533080</v>
      </c>
      <c r="C10" s="17" t="n">
        <v>566175</v>
      </c>
      <c r="D10" s="17">
        <f>B10-C10</f>
        <v/>
      </c>
    </row>
    <row r="11">
      <c r="A11" s="16" t="inlineStr">
        <is>
          <t>Vehicles and equipment</t>
        </is>
      </c>
      <c r="B11" s="17" t="n">
        <v>172200</v>
      </c>
      <c r="C11" s="17" t="n">
        <v>175100</v>
      </c>
      <c r="D11" s="17">
        <f>B11-C11</f>
        <v/>
      </c>
    </row>
    <row r="12">
      <c r="A12" s="16" t="inlineStr">
        <is>
          <t>Total assets</t>
        </is>
      </c>
      <c r="B12" s="17" t="n">
        <v>705280</v>
      </c>
      <c r="C12" s="17" t="n">
        <v>741275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Payables (bills due next month)</t>
        </is>
      </c>
      <c r="B14" s="14" t="n">
        <v>65250</v>
      </c>
      <c r="C14" s="14" t="n">
        <v>46525</v>
      </c>
      <c r="D14" s="15">
        <f>B14-C14</f>
        <v/>
      </c>
    </row>
    <row r="15">
      <c r="A15" s="13" t="inlineStr">
        <is>
          <t>Grants received in advance (unspent)</t>
        </is>
      </c>
      <c r="B15" s="14" t="n">
        <v>156100</v>
      </c>
      <c r="C15" s="14" t="n">
        <v>221900</v>
      </c>
      <c r="D15" s="15">
        <f>B15-C15</f>
        <v/>
      </c>
    </row>
    <row r="16">
      <c r="A16" s="13" t="inlineStr">
        <is>
          <t>Employee leave provisions</t>
        </is>
      </c>
      <c r="B16" s="14" t="n">
        <v>166600</v>
      </c>
      <c r="C16" s="14" t="n">
        <v>165900</v>
      </c>
      <c r="D16" s="15">
        <f>B16-C16</f>
        <v/>
      </c>
    </row>
    <row r="17">
      <c r="A17" s="16" t="inlineStr">
        <is>
          <t>Total liabilities</t>
        </is>
      </c>
      <c r="B17" s="17" t="n">
        <v>387950</v>
      </c>
      <c r="C17" s="17" t="n">
        <v>434325</v>
      </c>
      <c r="D17" s="17">
        <f>B17-C17</f>
        <v/>
      </c>
    </row>
    <row r="18">
      <c r="A18" s="18" t="inlineStr">
        <is>
          <t>Net assets</t>
        </is>
      </c>
      <c r="B18" s="19" t="n">
        <v>317330</v>
      </c>
      <c r="C18" s="19" t="n">
        <v>306950</v>
      </c>
      <c r="D18" s="19">
        <f>B18-C18</f>
        <v/>
      </c>
    </row>
    <row r="19">
      <c r="A19" s="12" t="inlineStr">
        <is>
          <t>Equity</t>
        </is>
      </c>
    </row>
    <row r="20">
      <c r="A20" s="18" t="inlineStr">
        <is>
          <t>Accumulated funds</t>
        </is>
      </c>
      <c r="B20" s="19" t="n">
        <v>317330</v>
      </c>
      <c r="C20" s="19" t="n">
        <v>306950</v>
      </c>
      <c r="D20" s="19">
        <f>B20-C20</f>
        <v/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Grant instalments received</t>
        </is>
      </c>
      <c r="B6" s="14" t="n">
        <v>0</v>
      </c>
      <c r="C6" s="14" t="n">
        <v>0</v>
      </c>
      <c r="D6" s="15">
        <f>B6-C6</f>
        <v/>
      </c>
    </row>
    <row r="7">
      <c r="A7" s="13" t="inlineStr">
        <is>
          <t>Donations and fundraising received</t>
        </is>
      </c>
      <c r="B7" s="14" t="n">
        <v>69500</v>
      </c>
      <c r="C7" s="14" t="n">
        <v>18400</v>
      </c>
      <c r="D7" s="15">
        <f>B7-C7</f>
        <v/>
      </c>
    </row>
    <row r="8">
      <c r="A8" s="13" t="inlineStr">
        <is>
          <t>Program fees received</t>
        </is>
      </c>
      <c r="B8" s="14" t="n">
        <v>27700</v>
      </c>
      <c r="C8" s="14" t="n">
        <v>26100</v>
      </c>
      <c r="D8" s="15">
        <f>B8-C8</f>
        <v/>
      </c>
    </row>
    <row r="9">
      <c r="A9" s="13" t="inlineStr">
        <is>
          <t>Interest received</t>
        </is>
      </c>
      <c r="B9" s="14" t="n">
        <v>1380</v>
      </c>
      <c r="C9" s="14" t="n">
        <v>1450</v>
      </c>
      <c r="D9" s="15">
        <f>B9-C9</f>
        <v/>
      </c>
    </row>
    <row r="10">
      <c r="A10" s="13" t="inlineStr">
        <is>
          <t>Payments to suppliers</t>
        </is>
      </c>
      <c r="B10" s="14" t="n">
        <v>-46525</v>
      </c>
      <c r="C10" s="14" t="n">
        <v>-36500</v>
      </c>
      <c r="D10" s="15">
        <f>B10-C10</f>
        <v/>
      </c>
    </row>
    <row r="11">
      <c r="A11" s="13" t="inlineStr">
        <is>
          <t>Payments to employees</t>
        </is>
      </c>
      <c r="B11" s="14" t="n">
        <v>-96950</v>
      </c>
      <c r="C11" s="14" t="n">
        <v>-93775</v>
      </c>
      <c r="D11" s="15">
        <f>B11-C11</f>
        <v/>
      </c>
    </row>
    <row r="12">
      <c r="A12" s="16" t="inlineStr">
        <is>
          <t>Net cash from operating activities</t>
        </is>
      </c>
      <c r="B12" s="17" t="n">
        <v>-44895</v>
      </c>
      <c r="C12" s="17" t="n">
        <v>-84325</v>
      </c>
      <c r="D12" s="17">
        <f>B12-C12</f>
        <v/>
      </c>
    </row>
    <row r="13">
      <c r="A13" s="12" t="inlineStr">
        <is>
          <t>Investing activities</t>
        </is>
      </c>
    </row>
    <row r="14">
      <c r="A14" s="13" t="inlineStr">
        <is>
          <t>Purchase of vehicles and equipment</t>
        </is>
      </c>
      <c r="B14" s="14" t="n">
        <v>0</v>
      </c>
      <c r="C14" s="14" t="n">
        <v>0</v>
      </c>
      <c r="D14" s="15">
        <f>B14-C14</f>
        <v/>
      </c>
    </row>
    <row r="15">
      <c r="A15" s="16" t="inlineStr">
        <is>
          <t>Net cash from investing activities</t>
        </is>
      </c>
      <c r="B15" s="17" t="n">
        <v>0</v>
      </c>
      <c r="C15" s="17" t="n">
        <v>0</v>
      </c>
      <c r="D15" s="17">
        <f>B15-C15</f>
        <v/>
      </c>
    </row>
    <row r="16">
      <c r="A16" s="16" t="inlineStr">
        <is>
          <t>Net change in cash</t>
        </is>
      </c>
      <c r="B16" s="17" t="n">
        <v>-44895</v>
      </c>
      <c r="C16" s="17" t="n">
        <v>-84325</v>
      </c>
      <c r="D16" s="17">
        <f>B16-C16</f>
        <v/>
      </c>
    </row>
    <row r="17">
      <c r="A17" s="16" t="inlineStr">
        <is>
          <t>Cash at start of month</t>
        </is>
      </c>
      <c r="B17" s="17" t="n">
        <v>525675</v>
      </c>
      <c r="C17" s="17" t="n">
        <v>610000</v>
      </c>
      <c r="D17" s="17">
        <f>B17-C17</f>
        <v/>
      </c>
    </row>
    <row r="18">
      <c r="A18" s="18" t="inlineStr">
        <is>
          <t>Cash at end of month</t>
        </is>
      </c>
      <c r="B18" s="19" t="n">
        <v>480780</v>
      </c>
      <c r="C18" s="19" t="n">
        <v>525675</v>
      </c>
      <c r="D18" s="19">
        <f>B18-C18</f>
        <v/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7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6" customWidth="1" min="2" max="2"/>
    <col width="26" customWidth="1" min="3" max="3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4" t="inlineStr">
        <is>
          <t>Cost to raise a dollar</t>
        </is>
      </c>
    </row>
    <row r="5">
      <c r="A5" s="9" t="inlineStr">
        <is>
          <t>Fundraising costs ÷ money raised (grants, donations, events)</t>
        </is>
      </c>
    </row>
    <row r="6">
      <c r="A6" s="20" t="inlineStr"/>
      <c r="B6" s="20" t="inlineStr">
        <is>
          <t>Sep 2026</t>
        </is>
      </c>
      <c r="C6" s="20" t="inlineStr">
        <is>
          <t>Aug 2026</t>
        </is>
      </c>
    </row>
    <row r="7">
      <c r="A7" s="21" t="inlineStr">
        <is>
          <t>Grant writing and reporting</t>
        </is>
      </c>
      <c r="B7" s="22" t="inlineStr">
        <is>
          <t>$7,100</t>
        </is>
      </c>
      <c r="C7" s="22" t="inlineStr">
        <is>
          <t>$7,100</t>
        </is>
      </c>
    </row>
    <row r="8">
      <c r="A8" s="21" t="inlineStr">
        <is>
          <t>Donor campaigns</t>
        </is>
      </c>
      <c r="B8" s="22" t="inlineStr">
        <is>
          <t>$5,400</t>
        </is>
      </c>
      <c r="C8" s="22" t="inlineStr">
        <is>
          <t>$2,200</t>
        </is>
      </c>
    </row>
    <row r="9">
      <c r="A9" s="21" t="inlineStr">
        <is>
          <t>Event costs</t>
        </is>
      </c>
      <c r="B9" s="22" t="inlineStr">
        <is>
          <t>$16,900</t>
        </is>
      </c>
      <c r="C9" s="22" t="inlineStr">
        <is>
          <t>$2,400</t>
        </is>
      </c>
    </row>
    <row r="10">
      <c r="A10" s="21" t="inlineStr">
        <is>
          <t>Fundraising costs</t>
        </is>
      </c>
      <c r="B10" s="22" t="inlineStr">
        <is>
          <t>$29,400</t>
        </is>
      </c>
      <c r="C10" s="22" t="inlineStr">
        <is>
          <t>$11,700</t>
        </is>
      </c>
    </row>
    <row r="11">
      <c r="A11" s="21" t="inlineStr">
        <is>
          <t>Grant income</t>
        </is>
      </c>
      <c r="B11" s="22" t="inlineStr">
        <is>
          <t>$77,000</t>
        </is>
      </c>
      <c r="C11" s="22" t="inlineStr">
        <is>
          <t>$73,700</t>
        </is>
      </c>
    </row>
    <row r="12">
      <c r="A12" s="21" t="inlineStr">
        <is>
          <t>Donations</t>
        </is>
      </c>
      <c r="B12" s="22" t="inlineStr">
        <is>
          <t>$27,900</t>
        </is>
      </c>
      <c r="C12" s="22" t="inlineStr">
        <is>
          <t>$18,400</t>
        </is>
      </c>
    </row>
    <row r="13">
      <c r="A13" s="21" t="inlineStr">
        <is>
          <t>Fundraising events</t>
        </is>
      </c>
      <c r="B13" s="22" t="inlineStr">
        <is>
          <t>$41,600</t>
        </is>
      </c>
      <c r="C13" s="22" t="inlineStr">
        <is>
          <t>$0</t>
        </is>
      </c>
    </row>
    <row r="14">
      <c r="A14" s="21" t="inlineStr">
        <is>
          <t>Money raised</t>
        </is>
      </c>
      <c r="B14" s="22" t="inlineStr">
        <is>
          <t>$146,500</t>
        </is>
      </c>
      <c r="C14" s="22" t="inlineStr">
        <is>
          <t>$92,100</t>
        </is>
      </c>
    </row>
    <row r="15">
      <c r="A15" s="21" t="inlineStr">
        <is>
          <t>Cost per dollar raised</t>
        </is>
      </c>
      <c r="B15" s="22" t="inlineStr">
        <is>
          <t>20¢</t>
        </is>
      </c>
      <c r="C15" s="22" t="inlineStr">
        <is>
          <t>13¢</t>
        </is>
      </c>
    </row>
    <row r="16">
      <c r="A16" s="2" t="inlineStr">
        <is>
          <t>September's gala raised $41,600 but cost $16,900 to run, which lifts the month's figure.</t>
        </is>
      </c>
    </row>
    <row r="19">
      <c r="A19" s="4" t="inlineStr">
        <is>
          <t>Unrestricted cash runway</t>
        </is>
      </c>
    </row>
    <row r="20">
      <c r="A20" s="9" t="inlineStr">
        <is>
          <t>(Cash at bank − unspent grant money) ÷ this month's cash spending</t>
        </is>
      </c>
    </row>
    <row r="21">
      <c r="A21" s="20" t="inlineStr"/>
      <c r="B21" s="20" t="inlineStr">
        <is>
          <t>Sep 2026</t>
        </is>
      </c>
      <c r="C21" s="20" t="inlineStr">
        <is>
          <t>Aug 2026</t>
        </is>
      </c>
    </row>
    <row r="22">
      <c r="A22" s="21" t="inlineStr">
        <is>
          <t>Cash at bank</t>
        </is>
      </c>
      <c r="B22" s="22" t="inlineStr">
        <is>
          <t>$480,780</t>
        </is>
      </c>
      <c r="C22" s="22" t="inlineStr">
        <is>
          <t>$525,675</t>
        </is>
      </c>
    </row>
    <row r="23">
      <c r="A23" s="21" t="inlineStr">
        <is>
          <t>Less unspent grant money (belongs to funders' programs)</t>
        </is>
      </c>
      <c r="B23" s="22" t="inlineStr">
        <is>
          <t>($156,100)</t>
        </is>
      </c>
      <c r="C23" s="22" t="inlineStr">
        <is>
          <t>($221,900)</t>
        </is>
      </c>
    </row>
    <row r="24">
      <c r="A24" s="21" t="inlineStr">
        <is>
          <t>Unrestricted cash</t>
        </is>
      </c>
      <c r="B24" s="22" t="inlineStr">
        <is>
          <t>$324,680</t>
        </is>
      </c>
      <c r="C24" s="22" t="inlineStr">
        <is>
          <t>$303,775</t>
        </is>
      </c>
    </row>
    <row r="25">
      <c r="A25" s="21" t="inlineStr">
        <is>
          <t>Cash spending in the month (expenses less depreciation)</t>
        </is>
      </c>
      <c r="B25" s="22" t="inlineStr">
        <is>
          <t>$162,900</t>
        </is>
      </c>
      <c r="C25" s="22" t="inlineStr">
        <is>
          <t>$141,200</t>
        </is>
      </c>
    </row>
    <row r="26">
      <c r="A26" s="21" t="inlineStr">
        <is>
          <t>Runway</t>
        </is>
      </c>
      <c r="B26" s="22" t="inlineStr">
        <is>
          <t>2.0 months</t>
        </is>
      </c>
      <c r="C26" s="22" t="inlineStr">
        <is>
          <t>2.2 months</t>
        </is>
      </c>
    </row>
    <row r="27">
      <c r="A27" s="2" t="inlineStr">
        <is>
          <t>Reserves target: 3 months.</t>
        </is>
      </c>
    </row>
    <row r="30">
      <c r="A30" s="4" t="inlineStr">
        <is>
          <t>Grants ending in the next 6 months</t>
        </is>
      </c>
    </row>
    <row r="31">
      <c r="A31" s="9" t="inlineStr">
        <is>
          <t>Grant total − spent to date</t>
        </is>
      </c>
    </row>
    <row r="32">
      <c r="A32" s="20" t="inlineStr"/>
      <c r="B32" s="20" t="inlineStr">
        <is>
          <t>Ends</t>
        </is>
      </c>
      <c r="C32" s="20" t="inlineStr">
        <is>
          <t>Still to spend</t>
        </is>
      </c>
    </row>
    <row r="33">
      <c r="A33" s="21" t="inlineStr">
        <is>
          <t>Housing support</t>
        </is>
      </c>
      <c r="B33" s="22" t="inlineStr">
        <is>
          <t>31 Dec 2026</t>
        </is>
      </c>
      <c r="C33" s="22" t="inlineStr">
        <is>
          <t>$102,300</t>
        </is>
      </c>
    </row>
    <row r="34">
      <c r="A34" s="21" t="inlineStr">
        <is>
          <t>Volunteer coordinator</t>
        </is>
      </c>
      <c r="B34" s="22" t="inlineStr">
        <is>
          <t>28 Feb 2027</t>
        </is>
      </c>
      <c r="C34" s="22" t="inlineStr">
        <is>
          <t>$15,000</t>
        </is>
      </c>
    </row>
    <row r="35">
      <c r="A35" s="21" t="inlineStr">
        <is>
          <t>Total</t>
        </is>
      </c>
      <c r="B35" s="22" t="inlineStr"/>
      <c r="C35" s="22" t="inlineStr">
        <is>
          <t>$117,300</t>
        </is>
      </c>
    </row>
    <row r="36">
      <c r="A36" s="2" t="inlineStr">
        <is>
          <t>Unspent money usually has to be returned, or an extension negotiated, so plan the spending now.</t>
        </is>
      </c>
    </row>
    <row r="39">
      <c r="A39" s="4" t="inlineStr">
        <is>
          <t>Youth outreach</t>
        </is>
      </c>
    </row>
    <row r="40">
      <c r="A40" s="9" t="inlineStr">
        <is>
          <t>State Department of Families · $480,000 · Jul 2025 to Jun 2027</t>
        </is>
      </c>
    </row>
    <row r="41">
      <c r="A41" s="20" t="inlineStr"/>
      <c r="B41" s="20" t="inlineStr">
        <is>
          <t>Sep 2026</t>
        </is>
      </c>
    </row>
    <row r="42">
      <c r="A42" s="21" t="inlineStr">
        <is>
          <t>Received from the funder</t>
        </is>
      </c>
      <c r="B42" s="22" t="inlineStr">
        <is>
          <t>$300,000</t>
        </is>
      </c>
    </row>
    <row r="43">
      <c r="A43" s="21" t="inlineStr">
        <is>
          <t>Still to spend</t>
        </is>
      </c>
      <c r="B43" s="22" t="inlineStr">
        <is>
          <t>$173,700</t>
        </is>
      </c>
    </row>
    <row r="44">
      <c r="A44" s="21" t="inlineStr">
        <is>
          <t>Months left</t>
        </is>
      </c>
      <c r="B44" s="22" t="inlineStr">
        <is>
          <t>9</t>
        </is>
      </c>
    </row>
    <row r="45">
      <c r="A45" s="21" t="inlineStr">
        <is>
          <t>Spent to date</t>
        </is>
      </c>
      <c r="B45" s="22" t="inlineStr">
        <is>
          <t>$306,300</t>
        </is>
      </c>
    </row>
    <row r="46">
      <c r="A46" s="21" t="inlineStr">
        <is>
          <t>Budget to date</t>
        </is>
      </c>
      <c r="B46" s="22" t="inlineStr">
        <is>
          <t>$300,000</t>
        </is>
      </c>
    </row>
    <row r="47">
      <c r="A47" s="21" t="inlineStr">
        <is>
          <t>Spent against budget</t>
        </is>
      </c>
      <c r="B47" s="22" t="inlineStr">
        <is>
          <t>102.1%</t>
        </is>
      </c>
    </row>
    <row r="49">
      <c r="A49" s="7" t="inlineStr">
        <is>
          <t>Spend by month against budget</t>
        </is>
      </c>
    </row>
    <row r="50">
      <c r="A50" s="20" t="inlineStr">
        <is>
          <t>Month</t>
        </is>
      </c>
      <c r="B50" s="20" t="inlineStr">
        <is>
          <t>Spend</t>
        </is>
      </c>
      <c r="C50" s="20" t="inlineStr">
        <is>
          <t>Budget</t>
        </is>
      </c>
    </row>
    <row r="51">
      <c r="A51" t="inlineStr">
        <is>
          <t>Jul 25</t>
        </is>
      </c>
      <c r="B51" s="23" t="n">
        <v>17363</v>
      </c>
      <c r="C51" s="23" t="n">
        <v>20000</v>
      </c>
    </row>
    <row r="52">
      <c r="A52" t="inlineStr">
        <is>
          <t>Aug 25</t>
        </is>
      </c>
      <c r="B52" s="23" t="n">
        <v>21144</v>
      </c>
      <c r="C52" s="23" t="n">
        <v>20000</v>
      </c>
    </row>
    <row r="53">
      <c r="A53" t="inlineStr">
        <is>
          <t>Sep 25</t>
        </is>
      </c>
      <c r="B53" s="23" t="n">
        <v>17537</v>
      </c>
      <c r="C53" s="23" t="n">
        <v>20000</v>
      </c>
    </row>
    <row r="54">
      <c r="A54" t="inlineStr">
        <is>
          <t>Oct 25</t>
        </is>
      </c>
      <c r="B54" s="23" t="n">
        <v>21925</v>
      </c>
      <c r="C54" s="23" t="n">
        <v>20000</v>
      </c>
    </row>
    <row r="55">
      <c r="A55" t="inlineStr">
        <is>
          <t>Nov 25</t>
        </is>
      </c>
      <c r="B55" s="23" t="n">
        <v>21079</v>
      </c>
      <c r="C55" s="23" t="n">
        <v>20000</v>
      </c>
    </row>
    <row r="56">
      <c r="A56" t="inlineStr">
        <is>
          <t>Dec 25</t>
        </is>
      </c>
      <c r="B56" s="23" t="n">
        <v>19272</v>
      </c>
      <c r="C56" s="23" t="n">
        <v>20000</v>
      </c>
    </row>
    <row r="57">
      <c r="A57" t="inlineStr">
        <is>
          <t>Jan 26</t>
        </is>
      </c>
      <c r="B57" s="23" t="n">
        <v>21157</v>
      </c>
      <c r="C57" s="23" t="n">
        <v>20000</v>
      </c>
    </row>
    <row r="58">
      <c r="A58" t="inlineStr">
        <is>
          <t>Feb 26</t>
        </is>
      </c>
      <c r="B58" s="23" t="n">
        <v>20743</v>
      </c>
      <c r="C58" s="23" t="n">
        <v>20000</v>
      </c>
    </row>
    <row r="59">
      <c r="A59" t="inlineStr">
        <is>
          <t>Mar 26</t>
        </is>
      </c>
      <c r="B59" s="23" t="n">
        <v>16515</v>
      </c>
      <c r="C59" s="23" t="n">
        <v>20000</v>
      </c>
    </row>
    <row r="60">
      <c r="A60" t="inlineStr">
        <is>
          <t>Apr 26</t>
        </is>
      </c>
      <c r="B60" s="23" t="n">
        <v>20451</v>
      </c>
      <c r="C60" s="23" t="n">
        <v>20000</v>
      </c>
    </row>
    <row r="61">
      <c r="A61" t="inlineStr">
        <is>
          <t>May 26</t>
        </is>
      </c>
      <c r="B61" s="23" t="n">
        <v>21174</v>
      </c>
      <c r="C61" s="23" t="n">
        <v>20000</v>
      </c>
    </row>
    <row r="62">
      <c r="A62" t="inlineStr">
        <is>
          <t>Jun 26</t>
        </is>
      </c>
      <c r="B62" s="23" t="n">
        <v>20366</v>
      </c>
      <c r="C62" s="23" t="n">
        <v>20000</v>
      </c>
    </row>
    <row r="63">
      <c r="A63" t="inlineStr">
        <is>
          <t>Jul 26</t>
        </is>
      </c>
      <c r="B63" s="23" t="n">
        <v>23274</v>
      </c>
      <c r="C63" s="23" t="n">
        <v>20000</v>
      </c>
    </row>
    <row r="64">
      <c r="A64" t="inlineStr">
        <is>
          <t>Aug 26</t>
        </is>
      </c>
      <c r="B64" s="23" t="n">
        <v>21500</v>
      </c>
      <c r="C64" s="23" t="n">
        <v>20000</v>
      </c>
    </row>
    <row r="65">
      <c r="A65" t="inlineStr">
        <is>
          <t>Sep 26</t>
        </is>
      </c>
      <c r="B65" s="23" t="n">
        <v>22800</v>
      </c>
      <c r="C65" s="23" t="n">
        <v>20000</v>
      </c>
    </row>
    <row r="68">
      <c r="A68" s="4" t="inlineStr">
        <is>
          <t>Housing support</t>
        </is>
      </c>
    </row>
    <row r="69">
      <c r="A69" s="9" t="inlineStr">
        <is>
          <t>State Housing Program · $360,000 · Jan 2026 to Dec 2026</t>
        </is>
      </c>
    </row>
    <row r="70">
      <c r="A70" s="20" t="inlineStr"/>
      <c r="B70" s="20" t="inlineStr">
        <is>
          <t>Sep 2026</t>
        </is>
      </c>
    </row>
    <row r="71">
      <c r="A71" s="21" t="inlineStr">
        <is>
          <t>Received from the funder</t>
        </is>
      </c>
      <c r="B71" s="22" t="inlineStr">
        <is>
          <t>$360,000</t>
        </is>
      </c>
    </row>
    <row r="72">
      <c r="A72" s="21" t="inlineStr">
        <is>
          <t>Still to spend</t>
        </is>
      </c>
      <c r="B72" s="22" t="inlineStr">
        <is>
          <t>$102,300</t>
        </is>
      </c>
    </row>
    <row r="73">
      <c r="A73" s="21" t="inlineStr">
        <is>
          <t>Months left</t>
        </is>
      </c>
      <c r="B73" s="22" t="inlineStr">
        <is>
          <t>3</t>
        </is>
      </c>
    </row>
    <row r="74">
      <c r="A74" s="21" t="inlineStr">
        <is>
          <t>Spent to date</t>
        </is>
      </c>
      <c r="B74" s="22" t="inlineStr">
        <is>
          <t>$257,700</t>
        </is>
      </c>
    </row>
    <row r="75">
      <c r="A75" s="21" t="inlineStr">
        <is>
          <t>Budget to date</t>
        </is>
      </c>
      <c r="B75" s="22" t="inlineStr">
        <is>
          <t>$270,000</t>
        </is>
      </c>
    </row>
    <row r="76">
      <c r="A76" s="21" t="inlineStr">
        <is>
          <t>Spent against budget</t>
        </is>
      </c>
      <c r="B76" s="22" t="inlineStr">
        <is>
          <t>95.4%</t>
        </is>
      </c>
    </row>
    <row r="78">
      <c r="A78" s="7" t="inlineStr">
        <is>
          <t>Spend by month against budget</t>
        </is>
      </c>
    </row>
    <row r="79">
      <c r="A79" s="20" t="inlineStr">
        <is>
          <t>Month</t>
        </is>
      </c>
      <c r="B79" s="20" t="inlineStr">
        <is>
          <t>Spend</t>
        </is>
      </c>
      <c r="C79" s="20" t="inlineStr">
        <is>
          <t>Budget</t>
        </is>
      </c>
    </row>
    <row r="80">
      <c r="A80" t="inlineStr">
        <is>
          <t>Jan 26</t>
        </is>
      </c>
      <c r="B80" s="23" t="n">
        <v>30502</v>
      </c>
      <c r="C80" s="23" t="n">
        <v>30000</v>
      </c>
    </row>
    <row r="81">
      <c r="A81" t="inlineStr">
        <is>
          <t>Feb 26</t>
        </is>
      </c>
      <c r="B81" s="23" t="n">
        <v>26508</v>
      </c>
      <c r="C81" s="23" t="n">
        <v>30000</v>
      </c>
    </row>
    <row r="82">
      <c r="A82" t="inlineStr">
        <is>
          <t>Mar 26</t>
        </is>
      </c>
      <c r="B82" s="23" t="n">
        <v>24832</v>
      </c>
      <c r="C82" s="23" t="n">
        <v>30000</v>
      </c>
    </row>
    <row r="83">
      <c r="A83" t="inlineStr">
        <is>
          <t>Apr 26</t>
        </is>
      </c>
      <c r="B83" s="23" t="n">
        <v>23730</v>
      </c>
      <c r="C83" s="23" t="n">
        <v>30000</v>
      </c>
    </row>
    <row r="84">
      <c r="A84" t="inlineStr">
        <is>
          <t>May 26</t>
        </is>
      </c>
      <c r="B84" s="23" t="n">
        <v>31337</v>
      </c>
      <c r="C84" s="23" t="n">
        <v>30000</v>
      </c>
    </row>
    <row r="85">
      <c r="A85" t="inlineStr">
        <is>
          <t>Jun 26</t>
        </is>
      </c>
      <c r="B85" s="23" t="n">
        <v>29994</v>
      </c>
      <c r="C85" s="23" t="n">
        <v>30000</v>
      </c>
    </row>
    <row r="86">
      <c r="A86" t="inlineStr">
        <is>
          <t>Jul 26</t>
        </is>
      </c>
      <c r="B86" s="23" t="n">
        <v>29097</v>
      </c>
      <c r="C86" s="23" t="n">
        <v>30000</v>
      </c>
    </row>
    <row r="87">
      <c r="A87" t="inlineStr">
        <is>
          <t>Aug 26</t>
        </is>
      </c>
      <c r="B87" s="23" t="n">
        <v>30500</v>
      </c>
      <c r="C87" s="23" t="n">
        <v>30000</v>
      </c>
    </row>
    <row r="88">
      <c r="A88" t="inlineStr">
        <is>
          <t>Sep 26</t>
        </is>
      </c>
      <c r="B88" s="23" t="n">
        <v>31200</v>
      </c>
      <c r="C88" s="23" t="n">
        <v>30000</v>
      </c>
    </row>
    <row r="91">
      <c r="A91" s="4" t="inlineStr">
        <is>
          <t>Mental health first aid</t>
        </is>
      </c>
    </row>
    <row r="92">
      <c r="A92" s="9" t="inlineStr">
        <is>
          <t>Federal health program · $120,000 · Apr 2026 to Mar 2027</t>
        </is>
      </c>
    </row>
    <row r="93">
      <c r="A93" s="20" t="inlineStr"/>
      <c r="B93" s="20" t="inlineStr">
        <is>
          <t>Sep 2026</t>
        </is>
      </c>
    </row>
    <row r="94">
      <c r="A94" s="21" t="inlineStr">
        <is>
          <t>Received from the funder</t>
        </is>
      </c>
      <c r="B94" s="22" t="inlineStr">
        <is>
          <t>$60,000</t>
        </is>
      </c>
    </row>
    <row r="95">
      <c r="A95" s="21" t="inlineStr">
        <is>
          <t>Still to spend</t>
        </is>
      </c>
      <c r="B95" s="22" t="inlineStr">
        <is>
          <t>$62,800</t>
        </is>
      </c>
    </row>
    <row r="96">
      <c r="A96" s="21" t="inlineStr">
        <is>
          <t>Months left</t>
        </is>
      </c>
      <c r="B96" s="22" t="inlineStr">
        <is>
          <t>6</t>
        </is>
      </c>
    </row>
    <row r="97">
      <c r="A97" s="21" t="inlineStr">
        <is>
          <t>Spent to date</t>
        </is>
      </c>
      <c r="B97" s="22" t="inlineStr">
        <is>
          <t>$57,200</t>
        </is>
      </c>
    </row>
    <row r="98">
      <c r="A98" s="21" t="inlineStr">
        <is>
          <t>Budget to date</t>
        </is>
      </c>
      <c r="B98" s="22" t="inlineStr">
        <is>
          <t>$60,000</t>
        </is>
      </c>
    </row>
    <row r="99">
      <c r="A99" s="21" t="inlineStr">
        <is>
          <t>Spent against budget</t>
        </is>
      </c>
      <c r="B99" s="22" t="inlineStr">
        <is>
          <t>95.3%</t>
        </is>
      </c>
    </row>
    <row r="101">
      <c r="A101" s="7" t="inlineStr">
        <is>
          <t>Spend by month against budget</t>
        </is>
      </c>
    </row>
    <row r="102">
      <c r="A102" s="20" t="inlineStr">
        <is>
          <t>Month</t>
        </is>
      </c>
      <c r="B102" s="20" t="inlineStr">
        <is>
          <t>Spend</t>
        </is>
      </c>
      <c r="C102" s="20" t="inlineStr">
        <is>
          <t>Budget</t>
        </is>
      </c>
    </row>
    <row r="103">
      <c r="A103" t="inlineStr">
        <is>
          <t>Apr 26</t>
        </is>
      </c>
      <c r="B103" s="23" t="n">
        <v>9584</v>
      </c>
      <c r="C103" s="23" t="n">
        <v>10000</v>
      </c>
    </row>
    <row r="104">
      <c r="A104" t="inlineStr">
        <is>
          <t>May 26</t>
        </is>
      </c>
      <c r="B104" s="23" t="n">
        <v>8950</v>
      </c>
      <c r="C104" s="23" t="n">
        <v>10000</v>
      </c>
    </row>
    <row r="105">
      <c r="A105" t="inlineStr">
        <is>
          <t>Jun 26</t>
        </is>
      </c>
      <c r="B105" s="23" t="n">
        <v>9797</v>
      </c>
      <c r="C105" s="23" t="n">
        <v>10000</v>
      </c>
    </row>
    <row r="106">
      <c r="A106" t="inlineStr">
        <is>
          <t>Jul 26</t>
        </is>
      </c>
      <c r="B106" s="23" t="n">
        <v>8669</v>
      </c>
      <c r="C106" s="23" t="n">
        <v>10000</v>
      </c>
    </row>
    <row r="107">
      <c r="A107" t="inlineStr">
        <is>
          <t>Aug 26</t>
        </is>
      </c>
      <c r="B107" s="23" t="n">
        <v>9400</v>
      </c>
      <c r="C107" s="23" t="n">
        <v>10000</v>
      </c>
    </row>
    <row r="108">
      <c r="A108" t="inlineStr">
        <is>
          <t>Sep 26</t>
        </is>
      </c>
      <c r="B108" s="23" t="n">
        <v>10800</v>
      </c>
      <c r="C108" s="23" t="n">
        <v>10000</v>
      </c>
    </row>
    <row r="111">
      <c r="A111" s="4" t="inlineStr">
        <is>
          <t>Digital literacy</t>
        </is>
      </c>
    </row>
    <row r="112">
      <c r="A112" s="9" t="inlineStr">
        <is>
          <t>Philanthropic foundation · $90,000 · Oct 2025 to Mar 2027</t>
        </is>
      </c>
    </row>
    <row r="113">
      <c r="A113" s="20" t="inlineStr"/>
      <c r="B113" s="20" t="inlineStr">
        <is>
          <t>Sep 2026</t>
        </is>
      </c>
    </row>
    <row r="114">
      <c r="A114" s="21" t="inlineStr">
        <is>
          <t>Received from the funder</t>
        </is>
      </c>
      <c r="B114" s="22" t="inlineStr">
        <is>
          <t>$45,000</t>
        </is>
      </c>
    </row>
    <row r="115">
      <c r="A115" s="21" t="inlineStr">
        <is>
          <t>Still to spend</t>
        </is>
      </c>
      <c r="B115" s="22" t="inlineStr">
        <is>
          <t>$30,400</t>
        </is>
      </c>
    </row>
    <row r="116">
      <c r="A116" s="21" t="inlineStr">
        <is>
          <t>Months left</t>
        </is>
      </c>
      <c r="B116" s="22" t="inlineStr">
        <is>
          <t>6</t>
        </is>
      </c>
    </row>
    <row r="117">
      <c r="A117" s="21" t="inlineStr">
        <is>
          <t>Spent to date</t>
        </is>
      </c>
      <c r="B117" s="22" t="inlineStr">
        <is>
          <t>$59,600</t>
        </is>
      </c>
    </row>
    <row r="118">
      <c r="A118" s="21" t="inlineStr">
        <is>
          <t>Budget to date</t>
        </is>
      </c>
      <c r="B118" s="22" t="inlineStr">
        <is>
          <t>$60,000</t>
        </is>
      </c>
    </row>
    <row r="119">
      <c r="A119" s="21" t="inlineStr">
        <is>
          <t>Spent against budget</t>
        </is>
      </c>
      <c r="B119" s="22" t="inlineStr">
        <is>
          <t>99.3%</t>
        </is>
      </c>
    </row>
    <row r="121">
      <c r="A121" s="7" t="inlineStr">
        <is>
          <t>Spend by month against budget</t>
        </is>
      </c>
    </row>
    <row r="122">
      <c r="A122" s="20" t="inlineStr">
        <is>
          <t>Month</t>
        </is>
      </c>
      <c r="B122" s="20" t="inlineStr">
        <is>
          <t>Spend</t>
        </is>
      </c>
      <c r="C122" s="20" t="inlineStr">
        <is>
          <t>Budget</t>
        </is>
      </c>
    </row>
    <row r="123">
      <c r="A123" t="inlineStr">
        <is>
          <t>Oct 25</t>
        </is>
      </c>
      <c r="B123" s="23" t="n">
        <v>5160</v>
      </c>
      <c r="C123" s="23" t="n">
        <v>5000</v>
      </c>
    </row>
    <row r="124">
      <c r="A124" t="inlineStr">
        <is>
          <t>Nov 25</t>
        </is>
      </c>
      <c r="B124" s="23" t="n">
        <v>4585</v>
      </c>
      <c r="C124" s="23" t="n">
        <v>5000</v>
      </c>
    </row>
    <row r="125">
      <c r="A125" t="inlineStr">
        <is>
          <t>Dec 25</t>
        </is>
      </c>
      <c r="B125" s="23" t="n">
        <v>5221</v>
      </c>
      <c r="C125" s="23" t="n">
        <v>5000</v>
      </c>
    </row>
    <row r="126">
      <c r="A126" t="inlineStr">
        <is>
          <t>Jan 26</t>
        </is>
      </c>
      <c r="B126" s="23" t="n">
        <v>4426</v>
      </c>
      <c r="C126" s="23" t="n">
        <v>5000</v>
      </c>
    </row>
    <row r="127">
      <c r="A127" t="inlineStr">
        <is>
          <t>Feb 26</t>
        </is>
      </c>
      <c r="B127" s="23" t="n">
        <v>5408</v>
      </c>
      <c r="C127" s="23" t="n">
        <v>5000</v>
      </c>
    </row>
    <row r="128">
      <c r="A128" t="inlineStr">
        <is>
          <t>Mar 26</t>
        </is>
      </c>
      <c r="B128" s="23" t="n">
        <v>5427</v>
      </c>
      <c r="C128" s="23" t="n">
        <v>5000</v>
      </c>
    </row>
    <row r="129">
      <c r="A129" t="inlineStr">
        <is>
          <t>Apr 26</t>
        </is>
      </c>
      <c r="B129" s="23" t="n">
        <v>5509</v>
      </c>
      <c r="C129" s="23" t="n">
        <v>5000</v>
      </c>
    </row>
    <row r="130">
      <c r="A130" t="inlineStr">
        <is>
          <t>May 26</t>
        </is>
      </c>
      <c r="B130" s="23" t="n">
        <v>4635</v>
      </c>
      <c r="C130" s="23" t="n">
        <v>5000</v>
      </c>
    </row>
    <row r="131">
      <c r="A131" t="inlineStr">
        <is>
          <t>Jun 26</t>
        </is>
      </c>
      <c r="B131" s="23" t="n">
        <v>4316</v>
      </c>
      <c r="C131" s="23" t="n">
        <v>5000</v>
      </c>
    </row>
    <row r="132">
      <c r="A132" t="inlineStr">
        <is>
          <t>Jul 26</t>
        </is>
      </c>
      <c r="B132" s="23" t="n">
        <v>4813</v>
      </c>
      <c r="C132" s="23" t="n">
        <v>5000</v>
      </c>
    </row>
    <row r="133">
      <c r="A133" t="inlineStr">
        <is>
          <t>Aug 26</t>
        </is>
      </c>
      <c r="B133" s="23" t="n">
        <v>5200</v>
      </c>
      <c r="C133" s="23" t="n">
        <v>5000</v>
      </c>
    </row>
    <row r="134">
      <c r="A134" t="inlineStr">
        <is>
          <t>Sep 26</t>
        </is>
      </c>
      <c r="B134" s="23" t="n">
        <v>4900</v>
      </c>
      <c r="C134" s="23" t="n">
        <v>5000</v>
      </c>
    </row>
    <row r="137">
      <c r="A137" s="4" t="inlineStr">
        <is>
          <t>Community meals</t>
        </is>
      </c>
    </row>
    <row r="138">
      <c r="A138" s="9" t="inlineStr">
        <is>
          <t>Local council community grant · $48,000 · Jul 2026 to Jun 2027</t>
        </is>
      </c>
    </row>
    <row r="139">
      <c r="A139" s="20" t="inlineStr"/>
      <c r="B139" s="20" t="inlineStr">
        <is>
          <t>Sep 2026</t>
        </is>
      </c>
    </row>
    <row r="140">
      <c r="A140" s="21" t="inlineStr">
        <is>
          <t>Received from the funder</t>
        </is>
      </c>
      <c r="B140" s="22" t="inlineStr">
        <is>
          <t>$48,000</t>
        </is>
      </c>
    </row>
    <row r="141">
      <c r="A141" s="21" t="inlineStr">
        <is>
          <t>Still to spend</t>
        </is>
      </c>
      <c r="B141" s="22" t="inlineStr">
        <is>
          <t>$36,000</t>
        </is>
      </c>
    </row>
    <row r="142">
      <c r="A142" s="21" t="inlineStr">
        <is>
          <t>Months left</t>
        </is>
      </c>
      <c r="B142" s="22" t="inlineStr">
        <is>
          <t>9</t>
        </is>
      </c>
    </row>
    <row r="143">
      <c r="A143" s="21" t="inlineStr">
        <is>
          <t>Spent to date</t>
        </is>
      </c>
      <c r="B143" s="22" t="inlineStr">
        <is>
          <t>$12,000</t>
        </is>
      </c>
    </row>
    <row r="144">
      <c r="A144" s="21" t="inlineStr">
        <is>
          <t>Budget to date</t>
        </is>
      </c>
      <c r="B144" s="22" t="inlineStr">
        <is>
          <t>$12,000</t>
        </is>
      </c>
    </row>
    <row r="145">
      <c r="A145" s="21" t="inlineStr">
        <is>
          <t>Spent against budget</t>
        </is>
      </c>
      <c r="B145" s="22" t="inlineStr">
        <is>
          <t>100.0%</t>
        </is>
      </c>
    </row>
    <row r="147">
      <c r="A147" s="7" t="inlineStr">
        <is>
          <t>Spend by month against budget</t>
        </is>
      </c>
    </row>
    <row r="148">
      <c r="A148" s="20" t="inlineStr">
        <is>
          <t>Month</t>
        </is>
      </c>
      <c r="B148" s="20" t="inlineStr">
        <is>
          <t>Spend</t>
        </is>
      </c>
      <c r="C148" s="20" t="inlineStr">
        <is>
          <t>Budget</t>
        </is>
      </c>
    </row>
    <row r="149">
      <c r="A149" t="inlineStr">
        <is>
          <t>Jul 26</t>
        </is>
      </c>
      <c r="B149" s="23" t="n">
        <v>3600</v>
      </c>
      <c r="C149" s="23" t="n">
        <v>4000</v>
      </c>
    </row>
    <row r="150">
      <c r="A150" t="inlineStr">
        <is>
          <t>Aug 26</t>
        </is>
      </c>
      <c r="B150" s="23" t="n">
        <v>4100</v>
      </c>
      <c r="C150" s="23" t="n">
        <v>4000</v>
      </c>
    </row>
    <row r="151">
      <c r="A151" t="inlineStr">
        <is>
          <t>Sep 26</t>
        </is>
      </c>
      <c r="B151" s="23" t="n">
        <v>4300</v>
      </c>
      <c r="C151" s="23" t="n">
        <v>4000</v>
      </c>
    </row>
    <row r="154">
      <c r="A154" s="4" t="inlineStr">
        <is>
          <t>Volunteer coordinator</t>
        </is>
      </c>
    </row>
    <row r="155">
      <c r="A155" s="9" t="inlineStr">
        <is>
          <t>State volunteering grant · $36,000 · Mar 2026 to Feb 2027</t>
        </is>
      </c>
    </row>
    <row r="156">
      <c r="A156" s="20" t="inlineStr"/>
      <c r="B156" s="20" t="inlineStr">
        <is>
          <t>Sep 2026</t>
        </is>
      </c>
    </row>
    <row r="157">
      <c r="A157" s="21" t="inlineStr">
        <is>
          <t>Received from the funder</t>
        </is>
      </c>
      <c r="B157" s="22" t="inlineStr">
        <is>
          <t>$36,000</t>
        </is>
      </c>
    </row>
    <row r="158">
      <c r="A158" s="21" t="inlineStr">
        <is>
          <t>Still to spend</t>
        </is>
      </c>
      <c r="B158" s="22" t="inlineStr">
        <is>
          <t>$15,000</t>
        </is>
      </c>
    </row>
    <row r="159">
      <c r="A159" s="21" t="inlineStr">
        <is>
          <t>Months left</t>
        </is>
      </c>
      <c r="B159" s="22" t="inlineStr">
        <is>
          <t>5</t>
        </is>
      </c>
    </row>
    <row r="160">
      <c r="A160" s="21" t="inlineStr">
        <is>
          <t>Spent to date</t>
        </is>
      </c>
      <c r="B160" s="22" t="inlineStr">
        <is>
          <t>$21,000</t>
        </is>
      </c>
    </row>
    <row r="161">
      <c r="A161" s="21" t="inlineStr">
        <is>
          <t>Budget to date</t>
        </is>
      </c>
      <c r="B161" s="22" t="inlineStr">
        <is>
          <t>$21,000</t>
        </is>
      </c>
    </row>
    <row r="162">
      <c r="A162" s="21" t="inlineStr">
        <is>
          <t>Spent against budget</t>
        </is>
      </c>
      <c r="B162" s="22" t="inlineStr">
        <is>
          <t>100.0%</t>
        </is>
      </c>
    </row>
    <row r="164">
      <c r="A164" s="7" t="inlineStr">
        <is>
          <t>Spend by month against budget</t>
        </is>
      </c>
    </row>
    <row r="165">
      <c r="A165" s="20" t="inlineStr">
        <is>
          <t>Month</t>
        </is>
      </c>
      <c r="B165" s="20" t="inlineStr">
        <is>
          <t>Spend</t>
        </is>
      </c>
      <c r="C165" s="20" t="inlineStr">
        <is>
          <t>Budget</t>
        </is>
      </c>
    </row>
    <row r="166">
      <c r="A166" t="inlineStr">
        <is>
          <t>Mar 26</t>
        </is>
      </c>
      <c r="B166" s="23" t="n">
        <v>2932</v>
      </c>
      <c r="C166" s="23" t="n">
        <v>3000</v>
      </c>
    </row>
    <row r="167">
      <c r="A167" t="inlineStr">
        <is>
          <t>Apr 26</t>
        </is>
      </c>
      <c r="B167" s="23" t="n">
        <v>3555</v>
      </c>
      <c r="C167" s="23" t="n">
        <v>3000</v>
      </c>
    </row>
    <row r="168">
      <c r="A168" t="inlineStr">
        <is>
          <t>May 26</t>
        </is>
      </c>
      <c r="B168" s="23" t="n">
        <v>2649</v>
      </c>
      <c r="C168" s="23" t="n">
        <v>3000</v>
      </c>
    </row>
    <row r="169">
      <c r="A169" t="inlineStr">
        <is>
          <t>Jun 26</t>
        </is>
      </c>
      <c r="B169" s="23" t="n">
        <v>2699</v>
      </c>
      <c r="C169" s="23" t="n">
        <v>3000</v>
      </c>
    </row>
    <row r="170">
      <c r="A170" t="inlineStr">
        <is>
          <t>Jul 26</t>
        </is>
      </c>
      <c r="B170" s="23" t="n">
        <v>3165</v>
      </c>
      <c r="C170" s="23" t="n">
        <v>3000</v>
      </c>
    </row>
    <row r="171">
      <c r="A171" t="inlineStr">
        <is>
          <t>Aug 26</t>
        </is>
      </c>
      <c r="B171" s="23" t="n">
        <v>3000</v>
      </c>
      <c r="C171" s="23" t="n">
        <v>3000</v>
      </c>
    </row>
    <row r="172">
      <c r="A172" t="inlineStr">
        <is>
          <t>Sep 26</t>
        </is>
      </c>
      <c r="B172" s="23" t="n">
        <v>3000</v>
      </c>
      <c r="C172" s="23" t="n">
        <v>3000</v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1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24" t="inlineStr">
        <is>
          <t>Program</t>
        </is>
      </c>
      <c r="B4" s="24" t="inlineStr">
        <is>
          <t>Funder</t>
        </is>
      </c>
      <c r="C4" s="25" t="inlineStr">
        <is>
          <t>Total</t>
        </is>
      </c>
      <c r="D4" s="24" t="inlineStr">
        <is>
          <t>Start</t>
        </is>
      </c>
      <c r="E4" s="24" t="inlineStr">
        <is>
          <t>End</t>
        </is>
      </c>
      <c r="F4" s="25" t="inlineStr">
        <is>
          <t>Received to date</t>
        </is>
      </c>
      <c r="G4" s="25" t="inlineStr">
        <is>
          <t>Spent to date</t>
        </is>
      </c>
      <c r="H4" s="25" t="inlineStr">
        <is>
          <t>Spent Aug</t>
        </is>
      </c>
      <c r="I4" s="25" t="inlineStr">
        <is>
          <t>Spent Sep</t>
        </is>
      </c>
      <c r="J4" s="25" t="inlineStr">
        <is>
          <t>Budget to date</t>
        </is>
      </c>
      <c r="K4" s="25" t="inlineStr">
        <is>
          <t>Spend vs budget %</t>
        </is>
      </c>
      <c r="L4" s="25" t="inlineStr">
        <is>
          <t>Still to spend</t>
        </is>
      </c>
      <c r="M4" s="25" t="inlineStr">
        <is>
          <t>Months left</t>
        </is>
      </c>
    </row>
    <row r="5">
      <c r="A5" t="inlineStr">
        <is>
          <t>Youth outreach</t>
        </is>
      </c>
      <c r="B5" t="inlineStr">
        <is>
          <t>State Department of Families</t>
        </is>
      </c>
      <c r="C5" s="23" t="n">
        <v>480000</v>
      </c>
      <c r="D5" t="inlineStr">
        <is>
          <t>2025-07-01</t>
        </is>
      </c>
      <c r="E5" t="inlineStr">
        <is>
          <t>2027-06-30</t>
        </is>
      </c>
      <c r="F5" s="23" t="n">
        <v>300000</v>
      </c>
      <c r="G5" s="23" t="n">
        <v>306300</v>
      </c>
      <c r="H5" s="23" t="n">
        <v>21500</v>
      </c>
      <c r="I5" s="23" t="n">
        <v>22800</v>
      </c>
      <c r="J5" s="23" t="n">
        <v>300000</v>
      </c>
      <c r="K5" s="8" t="n">
        <v>102.1</v>
      </c>
      <c r="L5" s="23" t="n">
        <v>173700</v>
      </c>
      <c r="M5" s="23" t="n">
        <v>9</v>
      </c>
    </row>
    <row r="6">
      <c r="A6" t="inlineStr">
        <is>
          <t>Housing support</t>
        </is>
      </c>
      <c r="B6" t="inlineStr">
        <is>
          <t>State Housing Program</t>
        </is>
      </c>
      <c r="C6" s="23" t="n">
        <v>360000</v>
      </c>
      <c r="D6" t="inlineStr">
        <is>
          <t>2026-01-01</t>
        </is>
      </c>
      <c r="E6" t="inlineStr">
        <is>
          <t>2026-12-31</t>
        </is>
      </c>
      <c r="F6" s="23" t="n">
        <v>360000</v>
      </c>
      <c r="G6" s="23" t="n">
        <v>257700</v>
      </c>
      <c r="H6" s="23" t="n">
        <v>30500</v>
      </c>
      <c r="I6" s="23" t="n">
        <v>31200</v>
      </c>
      <c r="J6" s="23" t="n">
        <v>270000</v>
      </c>
      <c r="K6" s="8" t="n">
        <v>95.40000000000001</v>
      </c>
      <c r="L6" s="23" t="n">
        <v>102300</v>
      </c>
      <c r="M6" s="23" t="n">
        <v>3</v>
      </c>
    </row>
    <row r="7">
      <c r="A7" t="inlineStr">
        <is>
          <t>Community meals</t>
        </is>
      </c>
      <c r="B7" t="inlineStr">
        <is>
          <t>Local council community grant</t>
        </is>
      </c>
      <c r="C7" s="23" t="n">
        <v>48000</v>
      </c>
      <c r="D7" t="inlineStr">
        <is>
          <t>2026-07-01</t>
        </is>
      </c>
      <c r="E7" t="inlineStr">
        <is>
          <t>2027-06-30</t>
        </is>
      </c>
      <c r="F7" s="23" t="n">
        <v>48000</v>
      </c>
      <c r="G7" s="23" t="n">
        <v>12000</v>
      </c>
      <c r="H7" s="23" t="n">
        <v>4100</v>
      </c>
      <c r="I7" s="23" t="n">
        <v>4300</v>
      </c>
      <c r="J7" s="23" t="n">
        <v>12000</v>
      </c>
      <c r="K7" s="8" t="n">
        <v>100</v>
      </c>
      <c r="L7" s="23" t="n">
        <v>36000</v>
      </c>
      <c r="M7" s="23" t="n">
        <v>9</v>
      </c>
    </row>
    <row r="8">
      <c r="A8" t="inlineStr">
        <is>
          <t>Digital literacy</t>
        </is>
      </c>
      <c r="B8" t="inlineStr">
        <is>
          <t>Philanthropic foundation</t>
        </is>
      </c>
      <c r="C8" s="23" t="n">
        <v>90000</v>
      </c>
      <c r="D8" t="inlineStr">
        <is>
          <t>2025-10-01</t>
        </is>
      </c>
      <c r="E8" t="inlineStr">
        <is>
          <t>2027-03-31</t>
        </is>
      </c>
      <c r="F8" s="23" t="n">
        <v>45000</v>
      </c>
      <c r="G8" s="23" t="n">
        <v>59600</v>
      </c>
      <c r="H8" s="23" t="n">
        <v>5200</v>
      </c>
      <c r="I8" s="23" t="n">
        <v>4900</v>
      </c>
      <c r="J8" s="23" t="n">
        <v>60000</v>
      </c>
      <c r="K8" s="8" t="n">
        <v>99.3</v>
      </c>
      <c r="L8" s="23" t="n">
        <v>30400</v>
      </c>
      <c r="M8" s="23" t="n">
        <v>6</v>
      </c>
    </row>
    <row r="9">
      <c r="A9" t="inlineStr">
        <is>
          <t>Mental health first aid</t>
        </is>
      </c>
      <c r="B9" t="inlineStr">
        <is>
          <t>Federal health program</t>
        </is>
      </c>
      <c r="C9" s="23" t="n">
        <v>120000</v>
      </c>
      <c r="D9" t="inlineStr">
        <is>
          <t>2026-04-01</t>
        </is>
      </c>
      <c r="E9" t="inlineStr">
        <is>
          <t>2027-03-31</t>
        </is>
      </c>
      <c r="F9" s="23" t="n">
        <v>60000</v>
      </c>
      <c r="G9" s="23" t="n">
        <v>57200</v>
      </c>
      <c r="H9" s="23" t="n">
        <v>9400</v>
      </c>
      <c r="I9" s="23" t="n">
        <v>10800</v>
      </c>
      <c r="J9" s="23" t="n">
        <v>60000</v>
      </c>
      <c r="K9" s="8" t="n">
        <v>95.3</v>
      </c>
      <c r="L9" s="23" t="n">
        <v>62800</v>
      </c>
      <c r="M9" s="23" t="n">
        <v>6</v>
      </c>
    </row>
    <row r="10">
      <c r="A10" t="inlineStr">
        <is>
          <t>Volunteer coordinator</t>
        </is>
      </c>
      <c r="B10" t="inlineStr">
        <is>
          <t>State volunteering grant</t>
        </is>
      </c>
      <c r="C10" s="23" t="n">
        <v>36000</v>
      </c>
      <c r="D10" t="inlineStr">
        <is>
          <t>2026-03-01</t>
        </is>
      </c>
      <c r="E10" t="inlineStr">
        <is>
          <t>2027-02-28</t>
        </is>
      </c>
      <c r="F10" s="23" t="n">
        <v>36000</v>
      </c>
      <c r="G10" s="23" t="n">
        <v>21000</v>
      </c>
      <c r="H10" s="23" t="n">
        <v>3000</v>
      </c>
      <c r="I10" s="23" t="n">
        <v>3000</v>
      </c>
      <c r="J10" s="23" t="n">
        <v>21000</v>
      </c>
      <c r="K10" s="8" t="n">
        <v>100</v>
      </c>
      <c r="L10" s="23" t="n">
        <v>15000</v>
      </c>
      <c r="M10" s="23" t="n">
        <v>5</v>
      </c>
    </row>
  </sheetData>
  <autoFilter ref="A4:M10"/>
  <printOptions horizontalCentered="1"/>
  <pageMargins left="0.5" right="0.5" top="0.6" bottom="0.7" header="0.5" footer="0.5"/>
  <pageSetup orientation="landscape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3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12" t="inlineStr">
        <is>
          <t>The organisation</t>
        </is>
      </c>
    </row>
    <row r="5">
      <c r="A5" s="26" t="inlineStr">
        <is>
          <t>What it is</t>
        </is>
      </c>
      <c r="B5" s="27" t="inlineStr">
        <is>
          <t>A Brisbane community services charity funded by six grants, donations, events and program fees. About 18 staff. Registered charity, income-tax exempt.</t>
        </is>
      </c>
    </row>
    <row r="6">
      <c r="A6" s="26" t="inlineStr">
        <is>
          <t>Reporting month</t>
        </is>
      </c>
      <c r="B6" s="27" t="inlineStr">
        <is>
          <t>September 2026, compared with August 2026</t>
        </is>
      </c>
    </row>
    <row r="7">
      <c r="A7" s="26" t="inlineStr">
        <is>
          <t>Financial year</t>
        </is>
      </c>
      <c r="B7" s="27" t="inlineStr">
        <is>
          <t>FY2027: 1 July 2026 to 30 June 2027</t>
        </is>
      </c>
    </row>
    <row r="9">
      <c r="A9" s="12" t="inlineStr">
        <is>
          <t>Grants</t>
        </is>
      </c>
    </row>
    <row r="10">
      <c r="A10" s="26" t="inlineStr">
        <is>
          <t>Youth outreach</t>
        </is>
      </c>
      <c r="B10" s="27" t="inlineStr">
        <is>
          <t>State Department of Families: $480,000, 2025-07 to 2027-06</t>
        </is>
      </c>
    </row>
    <row r="11">
      <c r="A11" s="26" t="inlineStr">
        <is>
          <t>Housing support</t>
        </is>
      </c>
      <c r="B11" s="27" t="inlineStr">
        <is>
          <t>State Housing Program: $360,000, 2026-01 to 2026-12</t>
        </is>
      </c>
    </row>
    <row r="12">
      <c r="A12" s="26" t="inlineStr">
        <is>
          <t>Community meals</t>
        </is>
      </c>
      <c r="B12" s="27" t="inlineStr">
        <is>
          <t>Local council community grant: $48,000, 2026-07 to 2027-06</t>
        </is>
      </c>
    </row>
    <row r="13">
      <c r="A13" s="26" t="inlineStr">
        <is>
          <t>Digital literacy</t>
        </is>
      </c>
      <c r="B13" s="27" t="inlineStr">
        <is>
          <t>Philanthropic foundation: $90,000, 2025-10 to 2027-03</t>
        </is>
      </c>
    </row>
    <row r="14">
      <c r="A14" s="26" t="inlineStr">
        <is>
          <t>Mental health first aid</t>
        </is>
      </c>
      <c r="B14" s="27" t="inlineStr">
        <is>
          <t>Federal health program: $120,000, 2026-04 to 2027-03</t>
        </is>
      </c>
    </row>
    <row r="15">
      <c r="A15" s="26" t="inlineStr">
        <is>
          <t>Volunteer coordinator</t>
        </is>
      </c>
      <c r="B15" s="27" t="inlineStr">
        <is>
          <t>State volunteering grant: $36,000, 2026-03 to 2027-02</t>
        </is>
      </c>
    </row>
    <row r="16">
      <c r="A16" s="26" t="inlineStr">
        <is>
          <t>Grant income</t>
        </is>
      </c>
      <c r="B16" s="27" t="inlineStr">
        <is>
          <t>recognised as the money is spent on the program</t>
        </is>
      </c>
    </row>
    <row r="17">
      <c r="A17" s="26" t="inlineStr">
        <is>
          <t>Unspent grants</t>
        </is>
      </c>
      <c r="B17" s="27" t="inlineStr">
        <is>
          <t>instalments received but not yet spent are a liability (grants received in advance)</t>
        </is>
      </c>
    </row>
    <row r="19">
      <c r="A19" s="12" t="inlineStr">
        <is>
          <t>Other income and costs</t>
        </is>
      </c>
    </row>
    <row r="20">
      <c r="A20" s="26" t="inlineStr">
        <is>
          <t>Donations</t>
        </is>
      </c>
      <c r="B20" s="27" t="inlineStr">
        <is>
          <t>including the spring appeal in September</t>
        </is>
      </c>
    </row>
    <row r="21">
      <c r="A21" s="26" t="inlineStr">
        <is>
          <t>Fundraising event</t>
        </is>
      </c>
      <c r="B21" s="27" t="inlineStr">
        <is>
          <t>September gala: income and costs in the same month</t>
        </is>
      </c>
    </row>
    <row r="22">
      <c r="A22" s="26" t="inlineStr">
        <is>
          <t>Grant-funded spending</t>
        </is>
      </c>
      <c r="B22" s="27" t="inlineStr">
        <is>
          <t>75% wages, the rest program costs</t>
        </is>
      </c>
    </row>
    <row r="23">
      <c r="A23" s="26" t="inlineStr">
        <is>
          <t>Income tax</t>
        </is>
      </c>
      <c r="B23" s="27" t="inlineStr">
        <is>
          <t>none: registered charity, income-tax exempt</t>
        </is>
      </c>
    </row>
    <row r="25">
      <c r="A25" s="12" t="inlineStr">
        <is>
          <t>Cash and balance sheet</t>
        </is>
      </c>
    </row>
    <row r="26">
      <c r="A26" s="26" t="inlineStr">
        <is>
          <t>Suppliers</t>
        </is>
      </c>
      <c r="B26" s="27" t="inlineStr">
        <is>
          <t>paid the following month</t>
        </is>
      </c>
    </row>
    <row r="27">
      <c r="A27" s="26" t="inlineStr">
        <is>
          <t>Unrestricted cash</t>
        </is>
      </c>
      <c r="B27" s="27" t="inlineStr">
        <is>
          <t>cash at bank less unspent grant money</t>
        </is>
      </c>
    </row>
    <row r="28">
      <c r="A28" s="26" t="inlineStr">
        <is>
          <t>Cash runway</t>
        </is>
      </c>
      <c r="B28" s="27" t="inlineStr">
        <is>
          <t>unrestricted cash ÷ this month's cash spending</t>
        </is>
      </c>
    </row>
    <row r="29">
      <c r="A29" s="26" t="inlineStr">
        <is>
          <t>Reserves target</t>
        </is>
      </c>
      <c r="B29" s="27" t="inlineStr">
        <is>
          <t>3 months of spending</t>
        </is>
      </c>
    </row>
    <row r="30">
      <c r="A30" s="26" t="inlineStr">
        <is>
          <t>GST</t>
        </is>
      </c>
      <c r="B30" s="27" t="inlineStr">
        <is>
          <t>excluded throughout, for simplicity</t>
        </is>
      </c>
    </row>
    <row r="32">
      <c r="A32" s="12" t="inlineStr">
        <is>
          <t>Checks (all passed)</t>
        </is>
      </c>
    </row>
    <row r="33">
      <c r="A33" t="inlineStr">
        <is>
          <t>✓ Every subtotal and total adds up</t>
        </is>
      </c>
    </row>
    <row r="34">
      <c r="A34" t="inlineStr">
        <is>
          <t>✓ Balance sheet balances: assets = liabilities + accumulated funds</t>
        </is>
      </c>
    </row>
    <row r="35">
      <c r="A35" t="inlineStr">
        <is>
          <t>✓ Cash flow ends at the cash in the bank</t>
        </is>
      </c>
    </row>
    <row r="36">
      <c r="A36" t="inlineStr">
        <is>
          <t>✓ Surplus ties to the movement in accumulated funds</t>
        </is>
      </c>
    </row>
    <row r="37">
      <c r="A37" t="inlineStr">
        <is>
          <t>✓ Grant income equals what was spent on each grant</t>
        </is>
      </c>
    </row>
    <row r="38">
      <c r="A38" t="inlineStr">
        <is>
          <t>✓ Unspent grants equal instalments received less income recognised</t>
        </is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2026-10-06T01:12:25Z</dcterms:created>
  <dcterms:modified xmlns:dcterms="http://purl.org/dc/terms/" xmlns:xsi="http://www.w3.org/2001/XMLSchema-instance" xsi:type="dcterms:W3CDTF">2026-10-06T01:12:25Z</dcterms:modified>
</cp:coreProperties>
</file>