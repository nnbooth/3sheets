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 fourth sheet" sheetId="1" state="visible" r:id="rId1"/>
    <sheet xmlns:r="http://schemas.openxmlformats.org/officeDocument/2006/relationships" name="Income and expenditure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Grants" sheetId="5" state="visible" r:id="rId5"/>
    <sheet xmlns:r="http://schemas.openxmlformats.org/officeDocument/2006/relationships" name="Workings" sheetId="6" state="visible" r:id="rId6"/>
    <sheet xmlns:r="http://schemas.openxmlformats.org/officeDocument/2006/relationships" name="Assumptions" sheetId="7" state="visible" r:id="rId7"/>
  </sheets>
  <definedNames>
    <definedName name="_xlnm.Print_Titles" localSheetId="0">'The fourth sheet'!$5:$5</definedName>
    <definedName name="_xlnm.Print_Titles" localSheetId="1">'Income and expenditure'!$4:$4</definedName>
    <definedName name="_xlnm.Print_Titles" localSheetId="2">'Balance sheet'!$4:$4</definedName>
    <definedName name="_xlnm.Print_Titles" localSheetId="3">'Cash flow'!$4:$4</definedName>
    <definedName name="_xlnm._FilterDatabase" localSheetId="4" hidden="1">'Grants'!$A$6:$M$12</definedName>
    <definedName name="_xlnm.Print_Titles" localSheetId="4">'Grants'!$6:$6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#,##0;[Red](#,##0);&quot;-&quot;"/>
    <numFmt numFmtId="165" formatCode="0&quot;¢&quot;;[Red](0&quot;¢&quot;)"/>
    <numFmt numFmtId="166" formatCode="0.0&quot; months&quot;;[Red](0.0&quot; months&quot;)"/>
    <numFmt numFmtId="167" formatCode="0.0%;[Red](0.0%);&quot;-&quot;"/>
    <numFmt numFmtId="168" formatCode="yyyy-mm-dd"/>
    <numFmt numFmtId="169" formatCode="d mmm yyyy"/>
  </numFmts>
  <fonts count="12">
    <font>
      <name val="Calibri"/>
      <family val="2"/>
      <color theme="1"/>
      <sz val="11"/>
      <scheme val="minor"/>
    </font>
    <font>
      <b val="1"/>
      <color rgb="0025342A"/>
      <sz val="14"/>
    </font>
    <font>
      <i val="1"/>
      <color rgb="005F6F63"/>
      <sz val="9"/>
    </font>
    <font>
      <b val="1"/>
      <color rgb="002F7A5D"/>
      <sz val="12"/>
    </font>
    <font>
      <i val="1"/>
      <color rgb="005F6F63"/>
    </font>
    <font>
      <b val="1"/>
      <color rgb="00FFFFFF"/>
    </font>
    <font>
      <b val="1"/>
    </font>
    <font>
      <b val="1"/>
      <color rgb="0025342A"/>
    </font>
    <font>
      <b val="1"/>
      <color rgb="002F7A5D"/>
    </font>
    <font>
      <color rgb="005F6F63"/>
    </font>
    <font>
      <b val="1"/>
      <i val="1"/>
      <color rgb="0025342A"/>
    </font>
    <font>
      <b val="1"/>
      <i val="1"/>
      <color rgb="002F7A5D"/>
    </font>
  </fonts>
  <fills count="4">
    <fill>
      <patternFill/>
    </fill>
    <fill>
      <patternFill patternType="gray125"/>
    </fill>
    <fill>
      <patternFill patternType="solid">
        <fgColor rgb="002F7A5D"/>
      </patternFill>
    </fill>
    <fill>
      <patternFill patternType="solid">
        <fgColor rgb="00EAF6EE"/>
      </patternFill>
    </fill>
  </fills>
  <borders count="3">
    <border>
      <left/>
      <right/>
      <top/>
      <bottom/>
      <diagonal/>
    </border>
    <border>
      <top style="thin">
        <color rgb="00DCE8DC"/>
      </top>
    </border>
    <border>
      <top style="thin">
        <color rgb="00DCE8DC"/>
      </top>
      <bottom style="double">
        <color rgb="0025342A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0" fontId="7" fillId="0" borderId="0" pivotButton="0" quotePrefix="0" xfId="0"/>
    <xf numFmtId="167" fontId="0" fillId="0" borderId="0" pivotButton="0" quotePrefix="0" xfId="0"/>
    <xf numFmtId="0" fontId="4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indent="1"/>
    </xf>
    <xf numFmtId="164" fontId="4" fillId="0" borderId="0" pivotButton="0" quotePrefix="0" xfId="0"/>
    <xf numFmtId="0" fontId="7" fillId="0" borderId="1" pivotButton="0" quotePrefix="0" xfId="0"/>
    <xf numFmtId="164" fontId="7" fillId="0" borderId="1" pivotButton="0" quotePrefix="0" xfId="0"/>
    <xf numFmtId="164" fontId="10" fillId="0" borderId="1" pivotButton="0" quotePrefix="0" xfId="0"/>
    <xf numFmtId="0" fontId="8" fillId="3" borderId="2" pivotButton="0" quotePrefix="0" xfId="0"/>
    <xf numFmtId="164" fontId="8" fillId="3" borderId="2" pivotButton="0" quotePrefix="0" xfId="0"/>
    <xf numFmtId="164" fontId="11" fillId="3" borderId="2" pivotButton="0" quotePrefix="0" xfId="0"/>
    <xf numFmtId="49" fontId="0" fillId="0" borderId="0" pivotButton="0" quotePrefix="0" xfId="0"/>
    <xf numFmtId="164" fontId="0" fillId="0" borderId="0" applyAlignment="1" pivotButton="0" quotePrefix="0" xfId="0">
      <alignment horizontal="right"/>
    </xf>
    <xf numFmtId="169" fontId="0" fillId="0" borderId="0" applyAlignment="1" pivotButton="0" quotePrefix="0" xfId="0">
      <alignment horizontal="right"/>
    </xf>
    <xf numFmtId="167" fontId="0" fillId="0" borderId="0" applyAlignment="1" pivotButton="0" quotePrefix="0" xfId="0">
      <alignment horizontal="right"/>
    </xf>
    <xf numFmtId="0" fontId="6" fillId="0" borderId="0" pivotButton="0" quotePrefix="0" xfId="0"/>
    <xf numFmtId="164" fontId="6" fillId="0" borderId="2" pivotButton="0" quotePrefix="0" xfId="0"/>
    <xf numFmtId="0" fontId="3" fillId="0" borderId="0" pivotButton="0" quotePrefix="0" xfId="0"/>
    <xf numFmtId="0" fontId="6" fillId="0" borderId="1" pivotButton="0" quotePrefix="0" xfId="0"/>
    <xf numFmtId="165" fontId="6" fillId="0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164" fontId="6" fillId="0" borderId="1" applyAlignment="1" pivotButton="0" quotePrefix="0" xfId="0">
      <alignment horizontal="right"/>
    </xf>
    <xf numFmtId="167" fontId="6" fillId="0" borderId="1" applyAlignment="1" pivotButton="0" quotePrefix="0" xfId="0">
      <alignment horizontal="right"/>
    </xf>
    <xf numFmtId="164" fontId="6" fillId="0" borderId="0" pivotButton="0" quotePrefix="0" xfId="0"/>
    <xf numFmtId="167" fontId="6" fillId="0" borderId="0" pivotButton="0" quotePrefix="0" xfId="0"/>
    <xf numFmtId="0" fontId="0" fillId="0" borderId="0" applyAlignment="1" pivotButton="0" quotePrefix="0" xfId="0">
      <alignment vertical="top" inden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The fourth sheet: September 2026 against August 2026</t>
        </is>
      </c>
    </row>
    <row r="2">
      <c r="A2" s="2" t="inlineStr">
        <is>
          <t>Sample Community Services Ltd · SAMPLE DATA (invented) · The Fourth Sheet</t>
        </is>
      </c>
    </row>
    <row r="3">
      <c r="A3" s="2" t="inlineStr">
        <is>
          <t>Data status: Sep 2026 locked · Aug 2026 locked · Oct 2026 incomplete (data retrieved 2pm, Tue 6 Oct 2026)</t>
        </is>
      </c>
    </row>
    <row r="4"/>
    <row r="5">
      <c r="A5" s="3" t="inlineStr">
        <is>
          <t>Headline number</t>
        </is>
      </c>
      <c r="B5" s="4" t="inlineStr">
        <is>
          <t>Sep 2026</t>
        </is>
      </c>
      <c r="C5" s="4" t="inlineStr">
        <is>
          <t>Aug 2026</t>
        </is>
      </c>
      <c r="D5" s="4" t="inlineStr">
        <is>
          <t>Change</t>
        </is>
      </c>
    </row>
    <row r="6">
      <c r="A6" t="inlineStr">
        <is>
          <t>Cost to raise a dollar</t>
        </is>
      </c>
      <c r="B6" s="5">
        <f>Workings!B16</f>
        <v/>
      </c>
      <c r="C6" s="5">
        <f>Workings!C16</f>
        <v/>
      </c>
      <c r="D6" s="5">
        <f>B6-C6</f>
        <v/>
      </c>
    </row>
    <row r="7">
      <c r="A7" t="inlineStr">
        <is>
          <t>Unrestricted cash runway</t>
        </is>
      </c>
      <c r="B7" s="6">
        <f>Workings!B27</f>
        <v/>
      </c>
      <c r="C7" s="6">
        <f>Workings!C27</f>
        <v/>
      </c>
      <c r="D7" s="6">
        <f>B7-C7</f>
        <v/>
      </c>
    </row>
    <row r="8">
      <c r="A8" t="inlineStr">
        <is>
          <t>Grants ending in 6 months</t>
        </is>
      </c>
      <c r="B8" s="7">
        <f>Workings!B36</f>
        <v/>
      </c>
    </row>
    <row r="9"/>
    <row r="10"/>
    <row r="11">
      <c r="A11" s="8" t="inlineStr">
        <is>
          <t>Each grant: spent to 30 September 2026 against budget to the same date</t>
        </is>
      </c>
    </row>
    <row r="12">
      <c r="A12" s="2" t="inlineStr">
        <is>
          <t>Whole grant from its start date. Budget to date = the grant spread evenly over its months.</t>
        </is>
      </c>
    </row>
    <row r="13">
      <c r="A13" s="3" t="inlineStr"/>
      <c r="B13" s="4" t="inlineStr">
        <is>
          <t>% of budget</t>
        </is>
      </c>
      <c r="C13" s="4" t="inlineStr">
        <is>
          <t>$ spent</t>
        </is>
      </c>
    </row>
    <row r="14">
      <c r="A14" t="inlineStr">
        <is>
          <t>Youth outreach</t>
        </is>
      </c>
      <c r="B14" s="9">
        <f>Workings!B49</f>
        <v/>
      </c>
      <c r="C14" s="7">
        <f>Workings!B45</f>
        <v/>
      </c>
    </row>
    <row r="15">
      <c r="A15" t="inlineStr">
        <is>
          <t>Housing support</t>
        </is>
      </c>
      <c r="B15" s="9">
        <f>Workings!B80</f>
        <v/>
      </c>
      <c r="C15" s="7">
        <f>Workings!B76</f>
        <v/>
      </c>
    </row>
    <row r="16">
      <c r="A16" t="inlineStr">
        <is>
          <t>Mental health first aid</t>
        </is>
      </c>
      <c r="B16" s="9">
        <f>Workings!B105</f>
        <v/>
      </c>
      <c r="C16" s="7">
        <f>Workings!B101</f>
        <v/>
      </c>
    </row>
    <row r="17">
      <c r="A17" t="inlineStr">
        <is>
          <t>Digital literacy</t>
        </is>
      </c>
      <c r="B17" s="9">
        <f>Workings!B127</f>
        <v/>
      </c>
      <c r="C17" s="7">
        <f>Workings!B123</f>
        <v/>
      </c>
    </row>
    <row r="18">
      <c r="A18" t="inlineStr">
        <is>
          <t>Community meals</t>
        </is>
      </c>
      <c r="B18" s="9">
        <f>Workings!B155</f>
        <v/>
      </c>
      <c r="C18" s="7">
        <f>Workings!B151</f>
        <v/>
      </c>
    </row>
    <row r="19">
      <c r="A19" t="inlineStr">
        <is>
          <t>Volunteer coordinator</t>
        </is>
      </c>
      <c r="B19" s="9">
        <f>Workings!B174</f>
        <v/>
      </c>
      <c r="C19" s="7">
        <f>Workings!B170</f>
        <v/>
      </c>
    </row>
    <row r="20">
      <c r="A20" s="10" t="inlineStr">
        <is>
          <t>Target</t>
        </is>
      </c>
      <c r="B20" s="9" t="n">
        <v>1</v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&amp;L&amp;8 Sample Community Services Ltd&amp;R&amp;8 &amp;A</oddHeader>
    <oddFooter>&amp;L&amp;8 nfp-sample-statements.xlsx&amp;C&amp;8 Data retrieved 2pm, Tue 6 Oct 2026&amp;R&amp;8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Income and expenditure, September 2026</t>
        </is>
      </c>
    </row>
    <row r="2">
      <c r="A2" s="2" t="inlineStr">
        <is>
          <t>Sample Community Services Ltd · SAMPLE DATA (invented) · The Fourth Sheet</t>
        </is>
      </c>
    </row>
    <row r="3">
      <c r="A3" s="2" t="inlineStr">
        <is>
          <t>Data status: Sep 2026 locked · Aug 2026 locked · Oct 2026 incomplete (data retrieved 2pm, Tue 6 Oct 2026)</t>
        </is>
      </c>
    </row>
    <row r="4">
      <c r="A4" s="3" t="inlineStr">
        <is>
          <t>$</t>
        </is>
      </c>
      <c r="B4" s="4" t="inlineStr">
        <is>
          <t>Sep 2026</t>
        </is>
      </c>
      <c r="C4" s="4" t="inlineStr">
        <is>
          <t>Aug 2026</t>
        </is>
      </c>
      <c r="D4" s="4" t="inlineStr">
        <is>
          <t>Change</t>
        </is>
      </c>
    </row>
    <row r="5">
      <c r="A5" s="11" t="inlineStr">
        <is>
          <t>Income</t>
        </is>
      </c>
    </row>
    <row r="6">
      <c r="A6" s="12" t="inlineStr">
        <is>
          <t>Youth outreach grant</t>
        </is>
      </c>
      <c r="B6" s="7" t="n">
        <v>22800</v>
      </c>
      <c r="C6" s="7" t="n">
        <v>21500</v>
      </c>
      <c r="D6" s="13">
        <f>B6-C6</f>
        <v/>
      </c>
    </row>
    <row r="7">
      <c r="A7" s="12" t="inlineStr">
        <is>
          <t>Housing support grant</t>
        </is>
      </c>
      <c r="B7" s="7" t="n">
        <v>31200</v>
      </c>
      <c r="C7" s="7" t="n">
        <v>30500</v>
      </c>
      <c r="D7" s="13">
        <f>B7-C7</f>
        <v/>
      </c>
    </row>
    <row r="8">
      <c r="A8" s="12" t="inlineStr">
        <is>
          <t>Community meals grant</t>
        </is>
      </c>
      <c r="B8" s="7" t="n">
        <v>4300</v>
      </c>
      <c r="C8" s="7" t="n">
        <v>4100</v>
      </c>
      <c r="D8" s="13">
        <f>B8-C8</f>
        <v/>
      </c>
    </row>
    <row r="9">
      <c r="A9" s="12" t="inlineStr">
        <is>
          <t>Digital literacy grant</t>
        </is>
      </c>
      <c r="B9" s="7" t="n">
        <v>4900</v>
      </c>
      <c r="C9" s="7" t="n">
        <v>5200</v>
      </c>
      <c r="D9" s="13">
        <f>B9-C9</f>
        <v/>
      </c>
    </row>
    <row r="10">
      <c r="A10" s="12" t="inlineStr">
        <is>
          <t>Mental health first aid grant</t>
        </is>
      </c>
      <c r="B10" s="7" t="n">
        <v>10800</v>
      </c>
      <c r="C10" s="7" t="n">
        <v>9400</v>
      </c>
      <c r="D10" s="13">
        <f>B10-C10</f>
        <v/>
      </c>
    </row>
    <row r="11">
      <c r="A11" s="12" t="inlineStr">
        <is>
          <t>Volunteer coordinator grant</t>
        </is>
      </c>
      <c r="B11" s="7" t="n">
        <v>3000</v>
      </c>
      <c r="C11" s="7" t="n">
        <v>3000</v>
      </c>
      <c r="D11" s="13">
        <f>B11-C11</f>
        <v/>
      </c>
    </row>
    <row r="12">
      <c r="A12" s="12" t="inlineStr">
        <is>
          <t>Donations</t>
        </is>
      </c>
      <c r="B12" s="7" t="n">
        <v>27900</v>
      </c>
      <c r="C12" s="7" t="n">
        <v>18400</v>
      </c>
      <c r="D12" s="13">
        <f>B12-C12</f>
        <v/>
      </c>
    </row>
    <row r="13">
      <c r="A13" s="12" t="inlineStr">
        <is>
          <t>Fundraising events</t>
        </is>
      </c>
      <c r="B13" s="7" t="n">
        <v>41600</v>
      </c>
      <c r="C13" s="7" t="n">
        <v>0</v>
      </c>
      <c r="D13" s="13">
        <f>B13-C13</f>
        <v/>
      </c>
    </row>
    <row r="14">
      <c r="A14" s="12" t="inlineStr">
        <is>
          <t>Program fees</t>
        </is>
      </c>
      <c r="B14" s="7" t="n">
        <v>28300</v>
      </c>
      <c r="C14" s="7" t="n">
        <v>26800</v>
      </c>
      <c r="D14" s="13">
        <f>B14-C14</f>
        <v/>
      </c>
    </row>
    <row r="15">
      <c r="A15" s="12" t="inlineStr">
        <is>
          <t>Interest</t>
        </is>
      </c>
      <c r="B15" s="7" t="n">
        <v>1380</v>
      </c>
      <c r="C15" s="7" t="n">
        <v>1450</v>
      </c>
      <c r="D15" s="13">
        <f>B15-C15</f>
        <v/>
      </c>
    </row>
    <row r="16">
      <c r="A16" s="14" t="inlineStr">
        <is>
          <t>Total income</t>
        </is>
      </c>
      <c r="B16" s="15">
        <f>SUM(B6:B15)</f>
        <v/>
      </c>
      <c r="C16" s="15">
        <f>SUM(C6:C15)</f>
        <v/>
      </c>
      <c r="D16" s="16">
        <f>B16-C16</f>
        <v/>
      </c>
    </row>
    <row r="17">
      <c r="A17" s="11" t="inlineStr">
        <is>
          <t>Programs</t>
        </is>
      </c>
    </row>
    <row r="18">
      <c r="A18" s="12" t="inlineStr">
        <is>
          <t>Grant-funded program wages</t>
        </is>
      </c>
      <c r="B18" s="7" t="n">
        <v>-57750</v>
      </c>
      <c r="C18" s="7" t="n">
        <v>-55275</v>
      </c>
      <c r="D18" s="13">
        <f>B18-C18</f>
        <v/>
      </c>
    </row>
    <row r="19">
      <c r="A19" s="12" t="inlineStr">
        <is>
          <t>Grant-funded program costs</t>
        </is>
      </c>
      <c r="B19" s="7" t="n">
        <v>-19250</v>
      </c>
      <c r="C19" s="7" t="n">
        <v>-18425</v>
      </c>
      <c r="D19" s="13">
        <f>B19-C19</f>
        <v/>
      </c>
    </row>
    <row r="20">
      <c r="A20" s="12" t="inlineStr">
        <is>
          <t>Program delivery wages (untied)</t>
        </is>
      </c>
      <c r="B20" s="7" t="n">
        <v>-14500</v>
      </c>
      <c r="C20" s="7" t="n">
        <v>-14000</v>
      </c>
      <c r="D20" s="13">
        <f>B20-C20</f>
        <v/>
      </c>
    </row>
    <row r="21">
      <c r="A21" s="12" t="inlineStr">
        <is>
          <t>Program costs (untied)</t>
        </is>
      </c>
      <c r="B21" s="7" t="n">
        <v>-6100</v>
      </c>
      <c r="C21" s="7" t="n">
        <v>-5500</v>
      </c>
      <c r="D21" s="13">
        <f>B21-C21</f>
        <v/>
      </c>
    </row>
    <row r="22">
      <c r="A22" s="14" t="inlineStr">
        <is>
          <t>Total program spend</t>
        </is>
      </c>
      <c r="B22" s="15">
        <f>SUM(B18:B21)</f>
        <v/>
      </c>
      <c r="C22" s="15">
        <f>SUM(C18:C21)</f>
        <v/>
      </c>
      <c r="D22" s="16">
        <f>B22-C22</f>
        <v/>
      </c>
    </row>
    <row r="23">
      <c r="A23" s="11" t="inlineStr">
        <is>
          <t>Fundraising</t>
        </is>
      </c>
    </row>
    <row r="24">
      <c r="A24" s="12" t="inlineStr">
        <is>
          <t>Grant writing and reporting</t>
        </is>
      </c>
      <c r="B24" s="7" t="n">
        <v>-7100</v>
      </c>
      <c r="C24" s="7" t="n">
        <v>-7100</v>
      </c>
      <c r="D24" s="13">
        <f>B24-C24</f>
        <v/>
      </c>
    </row>
    <row r="25">
      <c r="A25" s="12" t="inlineStr">
        <is>
          <t>Donor campaigns</t>
        </is>
      </c>
      <c r="B25" s="7" t="n">
        <v>-5400</v>
      </c>
      <c r="C25" s="7" t="n">
        <v>-2200</v>
      </c>
      <c r="D25" s="13">
        <f>B25-C25</f>
        <v/>
      </c>
    </row>
    <row r="26">
      <c r="A26" s="12" t="inlineStr">
        <is>
          <t>Event costs</t>
        </is>
      </c>
      <c r="B26" s="7" t="n">
        <v>-16900</v>
      </c>
      <c r="C26" s="7" t="n">
        <v>-2400</v>
      </c>
      <c r="D26" s="13">
        <f>B26-C26</f>
        <v/>
      </c>
    </row>
    <row r="27">
      <c r="A27" s="14" t="inlineStr">
        <is>
          <t>Total fundraising costs</t>
        </is>
      </c>
      <c r="B27" s="15">
        <f>SUM(B24:B26)</f>
        <v/>
      </c>
      <c r="C27" s="15">
        <f>SUM(C24:C26)</f>
        <v/>
      </c>
      <c r="D27" s="16">
        <f>B27-C27</f>
        <v/>
      </c>
    </row>
    <row r="28">
      <c r="A28" s="11" t="inlineStr">
        <is>
          <t>Administration</t>
        </is>
      </c>
    </row>
    <row r="29">
      <c r="A29" s="12" t="inlineStr">
        <is>
          <t>Administration wages</t>
        </is>
      </c>
      <c r="B29" s="7" t="n">
        <v>-18300</v>
      </c>
      <c r="C29" s="7" t="n">
        <v>-18300</v>
      </c>
      <c r="D29" s="13">
        <f>B29-C29</f>
        <v/>
      </c>
    </row>
    <row r="30">
      <c r="A30" s="12" t="inlineStr">
        <is>
          <t>Occupancy</t>
        </is>
      </c>
      <c r="B30" s="7" t="n">
        <v>-10000</v>
      </c>
      <c r="C30" s="7" t="n">
        <v>-10000</v>
      </c>
      <c r="D30" s="13">
        <f>B30-C30</f>
        <v/>
      </c>
    </row>
    <row r="31">
      <c r="A31" s="12" t="inlineStr">
        <is>
          <t>Other administration</t>
        </is>
      </c>
      <c r="B31" s="7" t="n">
        <v>-7600</v>
      </c>
      <c r="C31" s="7" t="n">
        <v>-8000</v>
      </c>
      <c r="D31" s="13">
        <f>B31-C31</f>
        <v/>
      </c>
    </row>
    <row r="32">
      <c r="A32" s="14" t="inlineStr">
        <is>
          <t>Total administration</t>
        </is>
      </c>
      <c r="B32" s="15">
        <f>SUM(B29:B31)</f>
        <v/>
      </c>
      <c r="C32" s="15">
        <f>SUM(C29:C31)</f>
        <v/>
      </c>
      <c r="D32" s="16">
        <f>B32-C32</f>
        <v/>
      </c>
    </row>
    <row r="33">
      <c r="A33" s="14" t="inlineStr">
        <is>
          <t>Depreciation</t>
        </is>
      </c>
      <c r="B33" s="15" t="n">
        <v>-2900</v>
      </c>
      <c r="C33" s="15" t="n">
        <v>-2900</v>
      </c>
      <c r="D33" s="16">
        <f>B33-C33</f>
        <v/>
      </c>
    </row>
    <row r="34">
      <c r="A34" s="14" t="inlineStr">
        <is>
          <t>Total expenses</t>
        </is>
      </c>
      <c r="B34" s="15">
        <f>B22+B27+B32+B33</f>
        <v/>
      </c>
      <c r="C34" s="15">
        <f>C22+C27+C32+C33</f>
        <v/>
      </c>
      <c r="D34" s="16">
        <f>B34-C34</f>
        <v/>
      </c>
    </row>
    <row r="35">
      <c r="A35" s="17" t="inlineStr">
        <is>
          <t>Surplus for the month</t>
        </is>
      </c>
      <c r="B35" s="18">
        <f>B16+B34</f>
        <v/>
      </c>
      <c r="C35" s="18">
        <f>C16+C34</f>
        <v/>
      </c>
      <c r="D35" s="19">
        <f>B35-C35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&amp;L&amp;8 Sample Community Services Ltd&amp;R&amp;8 &amp;A</oddHeader>
    <oddFooter>&amp;L&amp;8 nfp-sample-statements.xlsx&amp;C&amp;8 Data retrieved 2pm, Tue 6 Oct 2026&amp;R&amp;8 Page &amp;P of &amp;N</oddFooter>
    <evenHeader/>
    <evenFooter/>
    <firstHeader/>
    <firstFooter/>
  </headerFooter>
  <rowBreaks count="1" manualBreakCount="1">
    <brk id="27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Balance sheet at 30 September 2026</t>
        </is>
      </c>
    </row>
    <row r="2">
      <c r="A2" s="2" t="inlineStr">
        <is>
          <t>Sample Community Services Ltd · SAMPLE DATA (invented) · The Fourth Sheet</t>
        </is>
      </c>
    </row>
    <row r="3">
      <c r="A3" s="2" t="inlineStr">
        <is>
          <t>Data status: Sep 2026 locked · Aug 2026 locked · Oct 2026 incomplete (data retrieved 2pm, Tue 6 Oct 2026)</t>
        </is>
      </c>
    </row>
    <row r="4">
      <c r="A4" s="3" t="inlineStr">
        <is>
          <t>$</t>
        </is>
      </c>
      <c r="B4" s="4" t="inlineStr">
        <is>
          <t>Sep 2026</t>
        </is>
      </c>
      <c r="C4" s="4" t="inlineStr">
        <is>
          <t>Aug 2026</t>
        </is>
      </c>
      <c r="D4" s="4" t="inlineStr">
        <is>
          <t>Change</t>
        </is>
      </c>
    </row>
    <row r="5">
      <c r="A5" s="11" t="inlineStr">
        <is>
          <t>Current assets</t>
        </is>
      </c>
    </row>
    <row r="6">
      <c r="A6" s="12" t="inlineStr">
        <is>
          <t>Cash at bank</t>
        </is>
      </c>
      <c r="B6" s="7" t="n">
        <v>480780</v>
      </c>
      <c r="C6" s="7" t="n">
        <v>525675</v>
      </c>
      <c r="D6" s="13">
        <f>B6-C6</f>
        <v/>
      </c>
    </row>
    <row r="7">
      <c r="A7" s="12" t="inlineStr">
        <is>
          <t>Program fees receivable</t>
        </is>
      </c>
      <c r="B7" s="7" t="n">
        <v>10400</v>
      </c>
      <c r="C7" s="7" t="n">
        <v>9800</v>
      </c>
      <c r="D7" s="13">
        <f>B7-C7</f>
        <v/>
      </c>
    </row>
    <row r="8">
      <c r="A8" s="12" t="inlineStr">
        <is>
          <t>Grants receivable (spent ahead of instalment)</t>
        </is>
      </c>
      <c r="B8" s="7" t="n">
        <v>20900</v>
      </c>
      <c r="C8" s="7" t="n">
        <v>9700</v>
      </c>
      <c r="D8" s="13">
        <f>B8-C8</f>
        <v/>
      </c>
    </row>
    <row r="9">
      <c r="A9" s="12" t="inlineStr">
        <is>
          <t>Prepayments</t>
        </is>
      </c>
      <c r="B9" s="7" t="n">
        <v>21000</v>
      </c>
      <c r="C9" s="7" t="n">
        <v>21000</v>
      </c>
      <c r="D9" s="13">
        <f>B9-C9</f>
        <v/>
      </c>
    </row>
    <row r="10">
      <c r="A10" s="14" t="inlineStr">
        <is>
          <t>Total current assets</t>
        </is>
      </c>
      <c r="B10" s="15">
        <f>SUM(B6:B9)</f>
        <v/>
      </c>
      <c r="C10" s="15">
        <f>SUM(C6:C9)</f>
        <v/>
      </c>
      <c r="D10" s="16">
        <f>B10-C10</f>
        <v/>
      </c>
    </row>
    <row r="11">
      <c r="A11" s="14" t="inlineStr">
        <is>
          <t>Vehicles and equipment</t>
        </is>
      </c>
      <c r="B11" s="15" t="n">
        <v>172200</v>
      </c>
      <c r="C11" s="15" t="n">
        <v>175100</v>
      </c>
      <c r="D11" s="16">
        <f>B11-C11</f>
        <v/>
      </c>
    </row>
    <row r="12">
      <c r="A12" s="14" t="inlineStr">
        <is>
          <t>Total assets</t>
        </is>
      </c>
      <c r="B12" s="15">
        <f>B10+B11</f>
        <v/>
      </c>
      <c r="C12" s="15">
        <f>C10+C11</f>
        <v/>
      </c>
      <c r="D12" s="16">
        <f>B12-C12</f>
        <v/>
      </c>
    </row>
    <row r="13">
      <c r="A13" s="11" t="inlineStr">
        <is>
          <t>Current liabilities</t>
        </is>
      </c>
    </row>
    <row r="14">
      <c r="A14" s="12" t="inlineStr">
        <is>
          <t>Payables (bills due next month)</t>
        </is>
      </c>
      <c r="B14" s="7" t="n">
        <v>65250</v>
      </c>
      <c r="C14" s="7" t="n">
        <v>46525</v>
      </c>
      <c r="D14" s="13">
        <f>B14-C14</f>
        <v/>
      </c>
    </row>
    <row r="15">
      <c r="A15" s="12" t="inlineStr">
        <is>
          <t>Grants received in advance (unspent)</t>
        </is>
      </c>
      <c r="B15" s="7" t="n">
        <v>156100</v>
      </c>
      <c r="C15" s="7" t="n">
        <v>221900</v>
      </c>
      <c r="D15" s="13">
        <f>B15-C15</f>
        <v/>
      </c>
    </row>
    <row r="16">
      <c r="A16" s="12" t="inlineStr">
        <is>
          <t>Employee leave provisions</t>
        </is>
      </c>
      <c r="B16" s="7" t="n">
        <v>166600</v>
      </c>
      <c r="C16" s="7" t="n">
        <v>165900</v>
      </c>
      <c r="D16" s="13">
        <f>B16-C16</f>
        <v/>
      </c>
    </row>
    <row r="17">
      <c r="A17" s="14" t="inlineStr">
        <is>
          <t>Total liabilities</t>
        </is>
      </c>
      <c r="B17" s="15">
        <f>SUM(B14:B16)</f>
        <v/>
      </c>
      <c r="C17" s="15">
        <f>SUM(C14:C16)</f>
        <v/>
      </c>
      <c r="D17" s="16">
        <f>B17-C17</f>
        <v/>
      </c>
    </row>
    <row r="18">
      <c r="A18" s="17" t="inlineStr">
        <is>
          <t>Net assets</t>
        </is>
      </c>
      <c r="B18" s="18">
        <f>B12-B17</f>
        <v/>
      </c>
      <c r="C18" s="18">
        <f>C12-C17</f>
        <v/>
      </c>
      <c r="D18" s="19">
        <f>B18-C18</f>
        <v/>
      </c>
    </row>
    <row r="19">
      <c r="A19" s="11" t="inlineStr">
        <is>
          <t>Equity</t>
        </is>
      </c>
    </row>
    <row r="20">
      <c r="A20" s="17" t="inlineStr">
        <is>
          <t>Accumulated funds</t>
        </is>
      </c>
      <c r="B20" s="18" t="n">
        <v>317330</v>
      </c>
      <c r="C20" s="18" t="n">
        <v>306950</v>
      </c>
      <c r="D20" s="19">
        <f>B20-C20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&amp;L&amp;8 Sample Community Services Ltd&amp;R&amp;8 &amp;A</oddHeader>
    <oddFooter>&amp;L&amp;8 nfp-sample-statements.xlsx&amp;C&amp;8 Data retrieved 2pm, Tue 6 Oct 2026&amp;R&amp;8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Cash flow, September 2026</t>
        </is>
      </c>
    </row>
    <row r="2">
      <c r="A2" s="2" t="inlineStr">
        <is>
          <t>Sample Community Services Ltd · SAMPLE DATA (invented) · The Fourth Sheet</t>
        </is>
      </c>
    </row>
    <row r="3">
      <c r="A3" s="2" t="inlineStr">
        <is>
          <t>Data status: Sep 2026 locked · Aug 2026 locked · Oct 2026 incomplete (data retrieved 2pm, Tue 6 Oct 2026)</t>
        </is>
      </c>
    </row>
    <row r="4">
      <c r="A4" s="3" t="inlineStr">
        <is>
          <t>$</t>
        </is>
      </c>
      <c r="B4" s="4" t="inlineStr">
        <is>
          <t>Sep 2026</t>
        </is>
      </c>
      <c r="C4" s="4" t="inlineStr">
        <is>
          <t>Aug 2026</t>
        </is>
      </c>
      <c r="D4" s="4" t="inlineStr">
        <is>
          <t>Change</t>
        </is>
      </c>
    </row>
    <row r="5">
      <c r="A5" s="11" t="inlineStr">
        <is>
          <t>Operating activities</t>
        </is>
      </c>
    </row>
    <row r="6">
      <c r="A6" s="12" t="inlineStr">
        <is>
          <t>Grant instalments received</t>
        </is>
      </c>
      <c r="B6" s="7" t="n">
        <v>0</v>
      </c>
      <c r="C6" s="7" t="n">
        <v>0</v>
      </c>
      <c r="D6" s="13">
        <f>B6-C6</f>
        <v/>
      </c>
    </row>
    <row r="7">
      <c r="A7" s="12" t="inlineStr">
        <is>
          <t>Donations and fundraising received</t>
        </is>
      </c>
      <c r="B7" s="7" t="n">
        <v>69500</v>
      </c>
      <c r="C7" s="7" t="n">
        <v>18400</v>
      </c>
      <c r="D7" s="13">
        <f>B7-C7</f>
        <v/>
      </c>
    </row>
    <row r="8">
      <c r="A8" s="12" t="inlineStr">
        <is>
          <t>Program fees received</t>
        </is>
      </c>
      <c r="B8" s="7" t="n">
        <v>27700</v>
      </c>
      <c r="C8" s="7" t="n">
        <v>26100</v>
      </c>
      <c r="D8" s="13">
        <f>B8-C8</f>
        <v/>
      </c>
    </row>
    <row r="9">
      <c r="A9" s="12" t="inlineStr">
        <is>
          <t>Interest received</t>
        </is>
      </c>
      <c r="B9" s="7" t="n">
        <v>1380</v>
      </c>
      <c r="C9" s="7" t="n">
        <v>1450</v>
      </c>
      <c r="D9" s="13">
        <f>B9-C9</f>
        <v/>
      </c>
    </row>
    <row r="10">
      <c r="A10" s="12" t="inlineStr">
        <is>
          <t>Payments to suppliers</t>
        </is>
      </c>
      <c r="B10" s="7" t="n">
        <v>-46525</v>
      </c>
      <c r="C10" s="7" t="n">
        <v>-36500</v>
      </c>
      <c r="D10" s="13">
        <f>B10-C10</f>
        <v/>
      </c>
    </row>
    <row r="11">
      <c r="A11" s="12" t="inlineStr">
        <is>
          <t>Payments to employees</t>
        </is>
      </c>
      <c r="B11" s="7" t="n">
        <v>-96950</v>
      </c>
      <c r="C11" s="7" t="n">
        <v>-93775</v>
      </c>
      <c r="D11" s="13">
        <f>B11-C11</f>
        <v/>
      </c>
    </row>
    <row r="12">
      <c r="A12" s="14" t="inlineStr">
        <is>
          <t>Net cash from operating activities</t>
        </is>
      </c>
      <c r="B12" s="15">
        <f>SUM(B6:B11)</f>
        <v/>
      </c>
      <c r="C12" s="15">
        <f>SUM(C6:C11)</f>
        <v/>
      </c>
      <c r="D12" s="16">
        <f>B12-C12</f>
        <v/>
      </c>
    </row>
    <row r="13">
      <c r="A13" s="11" t="inlineStr">
        <is>
          <t>Investing activities</t>
        </is>
      </c>
    </row>
    <row r="14">
      <c r="A14" s="12" t="inlineStr">
        <is>
          <t>Purchase of vehicles and equipment</t>
        </is>
      </c>
      <c r="B14" s="7" t="n">
        <v>0</v>
      </c>
      <c r="C14" s="7" t="n">
        <v>0</v>
      </c>
      <c r="D14" s="13">
        <f>B14-C14</f>
        <v/>
      </c>
    </row>
    <row r="15">
      <c r="A15" s="14" t="inlineStr">
        <is>
          <t>Net cash from investing activities</t>
        </is>
      </c>
      <c r="B15" s="15">
        <f>SUM(B14:B14)</f>
        <v/>
      </c>
      <c r="C15" s="15">
        <f>SUM(C14:C14)</f>
        <v/>
      </c>
      <c r="D15" s="16">
        <f>B15-C15</f>
        <v/>
      </c>
    </row>
    <row r="16">
      <c r="A16" s="14" t="inlineStr">
        <is>
          <t>Net change in cash</t>
        </is>
      </c>
      <c r="B16" s="15">
        <f>B12+B15</f>
        <v/>
      </c>
      <c r="C16" s="15">
        <f>C12+C15</f>
        <v/>
      </c>
      <c r="D16" s="16">
        <f>B16-C16</f>
        <v/>
      </c>
    </row>
    <row r="17">
      <c r="A17" s="14" t="inlineStr">
        <is>
          <t>Cash at start of month</t>
        </is>
      </c>
      <c r="B17" s="15" t="n">
        <v>525675</v>
      </c>
      <c r="C17" s="15" t="n">
        <v>610000</v>
      </c>
      <c r="D17" s="16">
        <f>B17-C17</f>
        <v/>
      </c>
    </row>
    <row r="18">
      <c r="A18" s="17" t="inlineStr">
        <is>
          <t>Cash at end of month</t>
        </is>
      </c>
      <c r="B18" s="18">
        <f>B17+B16</f>
        <v/>
      </c>
      <c r="C18" s="18">
        <f>C17+C16</f>
        <v/>
      </c>
      <c r="D18" s="19">
        <f>B18-C18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&amp;L&amp;8 Sample Community Services Ltd&amp;R&amp;8 &amp;A</oddHeader>
    <oddFooter>&amp;L&amp;8 nfp-sample-statements.xlsx&amp;C&amp;8 Data retrieved 2pm, Tue 6 Oct 2026&amp;R&amp;8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13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Grants at 30 September 2026</t>
        </is>
      </c>
    </row>
    <row r="2">
      <c r="A2" s="2" t="inlineStr">
        <is>
          <t>Sample Community Services Ltd · SAMPLE DATA (invented) · The Fourth Sheet</t>
        </is>
      </c>
    </row>
    <row r="3">
      <c r="A3" s="2" t="inlineStr">
        <is>
          <t>Data status: Sep 2026 locked · Aug 2026 locked · Oct 2026 incomplete (data retrieved 2pm, Tue 6 Oct 2026)</t>
        </is>
      </c>
    </row>
    <row r="4">
      <c r="A4" s="2" t="inlineStr">
        <is>
          <t>Budget to date = the grant spread evenly over its months, to 30 September 2026.</t>
        </is>
      </c>
    </row>
    <row r="5"/>
    <row r="6">
      <c r="A6" s="3" t="inlineStr">
        <is>
          <t>Program</t>
        </is>
      </c>
      <c r="B6" s="4" t="inlineStr">
        <is>
          <t>Funder</t>
        </is>
      </c>
      <c r="C6" s="4" t="inlineStr">
        <is>
          <t>Grant total</t>
        </is>
      </c>
      <c r="D6" s="4" t="inlineStr">
        <is>
          <t>Start</t>
        </is>
      </c>
      <c r="E6" s="4" t="inlineStr">
        <is>
          <t>End</t>
        </is>
      </c>
      <c r="F6" s="4" t="inlineStr">
        <is>
          <t>Received to date</t>
        </is>
      </c>
      <c r="G6" s="4" t="inlineStr">
        <is>
          <t>Spent to date</t>
        </is>
      </c>
      <c r="H6" s="4" t="inlineStr">
        <is>
          <t>Spent Aug</t>
        </is>
      </c>
      <c r="I6" s="4" t="inlineStr">
        <is>
          <t>Spent Sep</t>
        </is>
      </c>
      <c r="J6" s="4" t="inlineStr">
        <is>
          <t>Budget to date</t>
        </is>
      </c>
      <c r="K6" s="4" t="inlineStr">
        <is>
          <t>Spent against budget</t>
        </is>
      </c>
      <c r="L6" s="4" t="inlineStr">
        <is>
          <t>Still to spend</t>
        </is>
      </c>
      <c r="M6" s="4" t="inlineStr">
        <is>
          <t>Months left</t>
        </is>
      </c>
    </row>
    <row r="7">
      <c r="A7" s="20" t="inlineStr">
        <is>
          <t>Youth outreach</t>
        </is>
      </c>
      <c r="B7" s="20" t="inlineStr">
        <is>
          <t>State Department of Families</t>
        </is>
      </c>
      <c r="C7" s="21" t="n">
        <v>480000</v>
      </c>
      <c r="D7" s="22" t="n">
        <v>45839</v>
      </c>
      <c r="E7" s="22" t="n">
        <v>46568</v>
      </c>
      <c r="F7" s="21" t="n">
        <v>300000</v>
      </c>
      <c r="G7" s="21" t="n">
        <v>306300</v>
      </c>
      <c r="H7" s="21" t="n">
        <v>21500</v>
      </c>
      <c r="I7" s="21" t="n">
        <v>22800</v>
      </c>
      <c r="J7" s="21" t="n">
        <v>300000</v>
      </c>
      <c r="K7" s="23">
        <f>IF(J7=0,"",G7/J7)</f>
        <v/>
      </c>
      <c r="L7" s="21">
        <f>C7-G7</f>
        <v/>
      </c>
      <c r="M7" s="21" t="n">
        <v>9</v>
      </c>
    </row>
    <row r="8">
      <c r="A8" s="20" t="inlineStr">
        <is>
          <t>Housing support</t>
        </is>
      </c>
      <c r="B8" s="20" t="inlineStr">
        <is>
          <t>State Housing Program</t>
        </is>
      </c>
      <c r="C8" s="21" t="n">
        <v>360000</v>
      </c>
      <c r="D8" s="22" t="n">
        <v>46023</v>
      </c>
      <c r="E8" s="22" t="n">
        <v>46387</v>
      </c>
      <c r="F8" s="21" t="n">
        <v>360000</v>
      </c>
      <c r="G8" s="21" t="n">
        <v>257700</v>
      </c>
      <c r="H8" s="21" t="n">
        <v>30500</v>
      </c>
      <c r="I8" s="21" t="n">
        <v>31200</v>
      </c>
      <c r="J8" s="21" t="n">
        <v>270000</v>
      </c>
      <c r="K8" s="23">
        <f>IF(J8=0,"",G8/J8)</f>
        <v/>
      </c>
      <c r="L8" s="21">
        <f>C8-G8</f>
        <v/>
      </c>
      <c r="M8" s="21" t="n">
        <v>3</v>
      </c>
    </row>
    <row r="9">
      <c r="A9" s="20" t="inlineStr">
        <is>
          <t>Mental health first aid</t>
        </is>
      </c>
      <c r="B9" s="20" t="inlineStr">
        <is>
          <t>Federal health program</t>
        </is>
      </c>
      <c r="C9" s="21" t="n">
        <v>120000</v>
      </c>
      <c r="D9" s="22" t="n">
        <v>46113</v>
      </c>
      <c r="E9" s="22" t="n">
        <v>46477</v>
      </c>
      <c r="F9" s="21" t="n">
        <v>60000</v>
      </c>
      <c r="G9" s="21" t="n">
        <v>57200</v>
      </c>
      <c r="H9" s="21" t="n">
        <v>9400</v>
      </c>
      <c r="I9" s="21" t="n">
        <v>10800</v>
      </c>
      <c r="J9" s="21" t="n">
        <v>60000</v>
      </c>
      <c r="K9" s="23">
        <f>IF(J9=0,"",G9/J9)</f>
        <v/>
      </c>
      <c r="L9" s="21">
        <f>C9-G9</f>
        <v/>
      </c>
      <c r="M9" s="21" t="n">
        <v>6</v>
      </c>
    </row>
    <row r="10">
      <c r="A10" s="20" t="inlineStr">
        <is>
          <t>Digital literacy</t>
        </is>
      </c>
      <c r="B10" s="20" t="inlineStr">
        <is>
          <t>Philanthropic foundation</t>
        </is>
      </c>
      <c r="C10" s="21" t="n">
        <v>90000</v>
      </c>
      <c r="D10" s="22" t="n">
        <v>45931</v>
      </c>
      <c r="E10" s="22" t="n">
        <v>46477</v>
      </c>
      <c r="F10" s="21" t="n">
        <v>45000</v>
      </c>
      <c r="G10" s="21" t="n">
        <v>59600</v>
      </c>
      <c r="H10" s="21" t="n">
        <v>5200</v>
      </c>
      <c r="I10" s="21" t="n">
        <v>4900</v>
      </c>
      <c r="J10" s="21" t="n">
        <v>60000</v>
      </c>
      <c r="K10" s="23">
        <f>IF(J10=0,"",G10/J10)</f>
        <v/>
      </c>
      <c r="L10" s="21">
        <f>C10-G10</f>
        <v/>
      </c>
      <c r="M10" s="21" t="n">
        <v>6</v>
      </c>
    </row>
    <row r="11">
      <c r="A11" s="20" t="inlineStr">
        <is>
          <t>Community meals</t>
        </is>
      </c>
      <c r="B11" s="20" t="inlineStr">
        <is>
          <t>Local council community grant</t>
        </is>
      </c>
      <c r="C11" s="21" t="n">
        <v>48000</v>
      </c>
      <c r="D11" s="22" t="n">
        <v>46204</v>
      </c>
      <c r="E11" s="22" t="n">
        <v>46568</v>
      </c>
      <c r="F11" s="21" t="n">
        <v>48000</v>
      </c>
      <c r="G11" s="21" t="n">
        <v>12000</v>
      </c>
      <c r="H11" s="21" t="n">
        <v>4100</v>
      </c>
      <c r="I11" s="21" t="n">
        <v>4300</v>
      </c>
      <c r="J11" s="21" t="n">
        <v>12000</v>
      </c>
      <c r="K11" s="23">
        <f>IF(J11=0,"",G11/J11)</f>
        <v/>
      </c>
      <c r="L11" s="21">
        <f>C11-G11</f>
        <v/>
      </c>
      <c r="M11" s="21" t="n">
        <v>9</v>
      </c>
    </row>
    <row r="12">
      <c r="A12" s="20" t="inlineStr">
        <is>
          <t>Volunteer coordinator</t>
        </is>
      </c>
      <c r="B12" s="20" t="inlineStr">
        <is>
          <t>State volunteering grant</t>
        </is>
      </c>
      <c r="C12" s="21" t="n">
        <v>36000</v>
      </c>
      <c r="D12" s="22" t="n">
        <v>46082</v>
      </c>
      <c r="E12" s="22" t="n">
        <v>46446</v>
      </c>
      <c r="F12" s="21" t="n">
        <v>36000</v>
      </c>
      <c r="G12" s="21" t="n">
        <v>21000</v>
      </c>
      <c r="H12" s="21" t="n">
        <v>3000</v>
      </c>
      <c r="I12" s="21" t="n">
        <v>3000</v>
      </c>
      <c r="J12" s="21" t="n">
        <v>21000</v>
      </c>
      <c r="K12" s="23">
        <f>IF(J12=0,"",G12/J12)</f>
        <v/>
      </c>
      <c r="L12" s="21">
        <f>C12-G12</f>
        <v/>
      </c>
      <c r="M12" s="21" t="n">
        <v>5</v>
      </c>
    </row>
    <row r="13">
      <c r="A13" s="24" t="inlineStr">
        <is>
          <t>Total</t>
        </is>
      </c>
      <c r="C13" s="25">
        <f>SUM(C7:C12)</f>
        <v/>
      </c>
      <c r="F13" s="25">
        <f>SUM(F7:F12)</f>
        <v/>
      </c>
      <c r="G13" s="25">
        <f>SUM(G7:G12)</f>
        <v/>
      </c>
      <c r="H13" s="25">
        <f>SUM(H7:H12)</f>
        <v/>
      </c>
      <c r="I13" s="25">
        <f>SUM(I7:I12)</f>
        <v/>
      </c>
      <c r="J13" s="25">
        <f>SUM(J7:J12)</f>
        <v/>
      </c>
      <c r="L13" s="25">
        <f>SUM(L7:L12)</f>
        <v/>
      </c>
    </row>
  </sheetData>
  <autoFilter ref="A6:M12"/>
  <printOptions horizontalCentered="1"/>
  <pageMargins left="0.5" right="0.5" top="0.75" bottom="0.75" header="0.5" footer="0.5"/>
  <pageSetup orientation="landscape" paperSize="9" fitToHeight="0" fitToWidth="1"/>
  <headerFooter>
    <oddHeader>&amp;L&amp;8 Sample Community Services Ltd&amp;R&amp;8 &amp;A</oddHeader>
    <oddFooter>&amp;L&amp;8 nfp-sample-statements.xlsx&amp;C&amp;8 Data retrieved 2pm, Tue 6 Oct 2026&amp;R&amp;8 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88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</t>
        </is>
      </c>
    </row>
    <row r="3">
      <c r="A3" s="2" t="inlineStr">
        <is>
          <t>Data status: Sep 2026 locked · Aug 2026 locked · Oct 2026 incomplete (data retrieved 2pm, Tue 6 Oct 2026)</t>
        </is>
      </c>
    </row>
    <row r="4"/>
    <row r="5">
      <c r="A5" s="26" t="inlineStr">
        <is>
          <t>Cost to raise a dollar</t>
        </is>
      </c>
    </row>
    <row r="6">
      <c r="A6" s="10" t="inlineStr">
        <is>
          <t>Fundraising costs ÷ money raised (grants, donations, events), in cents</t>
        </is>
      </c>
    </row>
    <row r="7">
      <c r="A7" s="3" t="inlineStr"/>
      <c r="B7" s="4" t="inlineStr">
        <is>
          <t>Sep 2026</t>
        </is>
      </c>
      <c r="C7" s="4" t="inlineStr">
        <is>
          <t>Aug 2026</t>
        </is>
      </c>
    </row>
    <row r="8">
      <c r="A8" t="inlineStr">
        <is>
          <t>Grant writing and reporting</t>
        </is>
      </c>
      <c r="B8" s="21" t="n">
        <v>7100</v>
      </c>
      <c r="C8" s="21" t="n">
        <v>7100</v>
      </c>
    </row>
    <row r="9">
      <c r="A9" t="inlineStr">
        <is>
          <t>Donor campaigns</t>
        </is>
      </c>
      <c r="B9" s="21" t="n">
        <v>5400</v>
      </c>
      <c r="C9" s="21" t="n">
        <v>2200</v>
      </c>
    </row>
    <row r="10">
      <c r="A10" t="inlineStr">
        <is>
          <t>Event costs</t>
        </is>
      </c>
      <c r="B10" s="21" t="n">
        <v>16900</v>
      </c>
      <c r="C10" s="21" t="n">
        <v>2400</v>
      </c>
    </row>
    <row r="11">
      <c r="A11" t="inlineStr">
        <is>
          <t>Fundraising costs</t>
        </is>
      </c>
      <c r="B11" s="21">
        <f>B8+B9+B10</f>
        <v/>
      </c>
      <c r="C11" s="21">
        <f>C8+C9+C10</f>
        <v/>
      </c>
    </row>
    <row r="12">
      <c r="A12" t="inlineStr">
        <is>
          <t>Grant income</t>
        </is>
      </c>
      <c r="B12" s="21" t="n">
        <v>77000</v>
      </c>
      <c r="C12" s="21" t="n">
        <v>73700</v>
      </c>
    </row>
    <row r="13">
      <c r="A13" t="inlineStr">
        <is>
          <t>Donations</t>
        </is>
      </c>
      <c r="B13" s="21" t="n">
        <v>27900</v>
      </c>
      <c r="C13" s="21" t="n">
        <v>18400</v>
      </c>
    </row>
    <row r="14">
      <c r="A14" t="inlineStr">
        <is>
          <t>Fundraising events</t>
        </is>
      </c>
      <c r="B14" s="21" t="n">
        <v>41600</v>
      </c>
      <c r="C14" s="21" t="n">
        <v>0</v>
      </c>
    </row>
    <row r="15">
      <c r="A15" t="inlineStr">
        <is>
          <t>Money raised</t>
        </is>
      </c>
      <c r="B15" s="21">
        <f>B12+B13+B14</f>
        <v/>
      </c>
      <c r="C15" s="21">
        <f>C12+C13+C14</f>
        <v/>
      </c>
    </row>
    <row r="16">
      <c r="A16" s="27" t="inlineStr">
        <is>
          <t>Cost per dollar raised</t>
        </is>
      </c>
      <c r="B16" s="28">
        <f>B11/B15*100</f>
        <v/>
      </c>
      <c r="C16" s="28">
        <f>C11/C15*100</f>
        <v/>
      </c>
    </row>
    <row r="17">
      <c r="A17" s="2" t="inlineStr">
        <is>
          <t>September's gala raised $41,600 but cost $16,900 to run, which lifts the month's figure.</t>
        </is>
      </c>
    </row>
    <row r="18"/>
    <row r="19"/>
    <row r="20">
      <c r="A20" s="26" t="inlineStr">
        <is>
          <t>Unrestricted cash runway</t>
        </is>
      </c>
    </row>
    <row r="21">
      <c r="A21" s="10" t="inlineStr">
        <is>
          <t>(Cash at bank − unspent grant money) ÷ this month's cash spending</t>
        </is>
      </c>
    </row>
    <row r="22">
      <c r="A22" s="3" t="inlineStr"/>
      <c r="B22" s="4" t="inlineStr">
        <is>
          <t>Sep 2026</t>
        </is>
      </c>
      <c r="C22" s="4" t="inlineStr">
        <is>
          <t>Aug 2026</t>
        </is>
      </c>
    </row>
    <row r="23">
      <c r="A23" t="inlineStr">
        <is>
          <t>Cash at bank</t>
        </is>
      </c>
      <c r="B23" s="21" t="n">
        <v>480780</v>
      </c>
      <c r="C23" s="21" t="n">
        <v>525675</v>
      </c>
    </row>
    <row r="24">
      <c r="A24" t="inlineStr">
        <is>
          <t>Less unspent grant money (belongs to funders' programs)</t>
        </is>
      </c>
      <c r="B24" s="21" t="n">
        <v>-156100</v>
      </c>
      <c r="C24" s="21" t="n">
        <v>-221900</v>
      </c>
    </row>
    <row r="25">
      <c r="A25" t="inlineStr">
        <is>
          <t>Unrestricted cash</t>
        </is>
      </c>
      <c r="B25" s="21">
        <f>B23+B24</f>
        <v/>
      </c>
      <c r="C25" s="21">
        <f>C23+C24</f>
        <v/>
      </c>
    </row>
    <row r="26">
      <c r="A26" t="inlineStr">
        <is>
          <t>Cash spending in the month (expenses less depreciation)</t>
        </is>
      </c>
      <c r="B26" s="21" t="n">
        <v>162900</v>
      </c>
      <c r="C26" s="21" t="n">
        <v>141200</v>
      </c>
    </row>
    <row r="27">
      <c r="A27" s="27" t="inlineStr">
        <is>
          <t>Runway</t>
        </is>
      </c>
      <c r="B27" s="29">
        <f>B25/B26</f>
        <v/>
      </c>
      <c r="C27" s="29">
        <f>C25/C26</f>
        <v/>
      </c>
    </row>
    <row r="28">
      <c r="A28" s="2" t="inlineStr">
        <is>
          <t>Reserves target: 3.0 months.</t>
        </is>
      </c>
    </row>
    <row r="29"/>
    <row r="30"/>
    <row r="31">
      <c r="A31" s="26" t="inlineStr">
        <is>
          <t>Grants ending in the next 6 months</t>
        </is>
      </c>
    </row>
    <row r="32">
      <c r="A32" s="10" t="inlineStr">
        <is>
          <t>Grant total − spent to date, for each grant ending soon</t>
        </is>
      </c>
    </row>
    <row r="33">
      <c r="A33" s="3" t="inlineStr"/>
      <c r="B33" s="4" t="inlineStr">
        <is>
          <t>Still to spend</t>
        </is>
      </c>
    </row>
    <row r="34">
      <c r="A34" t="inlineStr">
        <is>
          <t>Housing support (ends 31 Dec 2026)</t>
        </is>
      </c>
      <c r="B34" s="21" t="n">
        <v>102300</v>
      </c>
    </row>
    <row r="35">
      <c r="A35" t="inlineStr">
        <is>
          <t>Volunteer coordinator (ends 28 Feb 2027)</t>
        </is>
      </c>
      <c r="B35" s="21" t="n">
        <v>15000</v>
      </c>
    </row>
    <row r="36">
      <c r="A36" s="27" t="inlineStr">
        <is>
          <t>Total still to spend</t>
        </is>
      </c>
      <c r="B36" s="30">
        <f>B34+B35</f>
        <v/>
      </c>
    </row>
    <row r="37">
      <c r="A37" s="2" t="inlineStr">
        <is>
          <t>Unspent money usually has to be returned, or an extension negotiated, so plan the spending now.</t>
        </is>
      </c>
    </row>
    <row r="38"/>
    <row r="39"/>
    <row r="40">
      <c r="A40" s="26" t="inlineStr">
        <is>
          <t>Youth outreach</t>
        </is>
      </c>
    </row>
    <row r="41">
      <c r="A41" s="10" t="inlineStr">
        <is>
          <t>State Department of Families · $480,000 · Jul 2025 to Jun 2027</t>
        </is>
      </c>
    </row>
    <row r="42">
      <c r="A42" s="3" t="inlineStr"/>
      <c r="B42" s="4" t="inlineStr">
        <is>
          <t>This grant</t>
        </is>
      </c>
    </row>
    <row r="43">
      <c r="A43" t="inlineStr">
        <is>
          <t>Grant total</t>
        </is>
      </c>
      <c r="B43" s="21" t="n">
        <v>480000</v>
      </c>
    </row>
    <row r="44">
      <c r="A44" t="inlineStr">
        <is>
          <t>Received from the funder</t>
        </is>
      </c>
      <c r="B44" s="21" t="n">
        <v>300000</v>
      </c>
    </row>
    <row r="45">
      <c r="A45" t="inlineStr">
        <is>
          <t>Spent to date</t>
        </is>
      </c>
      <c r="B45" s="21" t="n">
        <v>306300</v>
      </c>
    </row>
    <row r="46">
      <c r="A46" t="inlineStr">
        <is>
          <t>Budget to date</t>
        </is>
      </c>
      <c r="B46" s="21" t="n">
        <v>300000</v>
      </c>
    </row>
    <row r="47">
      <c r="A47" t="inlineStr">
        <is>
          <t>Months left</t>
        </is>
      </c>
      <c r="B47" s="21" t="n">
        <v>9</v>
      </c>
    </row>
    <row r="48">
      <c r="A48" t="inlineStr">
        <is>
          <t>Still to spend</t>
        </is>
      </c>
      <c r="B48" s="21">
        <f>B43-B45</f>
        <v/>
      </c>
    </row>
    <row r="49">
      <c r="A49" s="27" t="inlineStr">
        <is>
          <t>Spent against budget</t>
        </is>
      </c>
      <c r="B49" s="31">
        <f>B45/B46</f>
        <v/>
      </c>
    </row>
    <row r="50"/>
    <row r="51">
      <c r="A51" s="8" t="inlineStr">
        <is>
          <t>Spend by month against budget</t>
        </is>
      </c>
    </row>
    <row r="52">
      <c r="A52" s="3" t="inlineStr">
        <is>
          <t>Month</t>
        </is>
      </c>
      <c r="B52" s="4" t="inlineStr">
        <is>
          <t>Spend</t>
        </is>
      </c>
      <c r="C52" s="4" t="inlineStr">
        <is>
          <t>Budget</t>
        </is>
      </c>
      <c r="D52" s="4" t="inlineStr">
        <is>
          <t>Spend against budget</t>
        </is>
      </c>
    </row>
    <row r="53">
      <c r="A53" t="inlineStr">
        <is>
          <t>Jul 25</t>
        </is>
      </c>
      <c r="B53" s="7" t="n">
        <v>17363</v>
      </c>
      <c r="C53" s="7" t="n">
        <v>20000</v>
      </c>
      <c r="D53" s="9">
        <f>IF(C53=0,"",B53/C53)</f>
        <v/>
      </c>
    </row>
    <row r="54">
      <c r="A54" t="inlineStr">
        <is>
          <t>Aug 25</t>
        </is>
      </c>
      <c r="B54" s="7" t="n">
        <v>21144</v>
      </c>
      <c r="C54" s="7" t="n">
        <v>20000</v>
      </c>
      <c r="D54" s="9">
        <f>IF(C54=0,"",B54/C54)</f>
        <v/>
      </c>
    </row>
    <row r="55">
      <c r="A55" t="inlineStr">
        <is>
          <t>Sep 25</t>
        </is>
      </c>
      <c r="B55" s="7" t="n">
        <v>17537</v>
      </c>
      <c r="C55" s="7" t="n">
        <v>20000</v>
      </c>
      <c r="D55" s="9">
        <f>IF(C55=0,"",B55/C55)</f>
        <v/>
      </c>
    </row>
    <row r="56">
      <c r="A56" t="inlineStr">
        <is>
          <t>Oct 25</t>
        </is>
      </c>
      <c r="B56" s="7" t="n">
        <v>21925</v>
      </c>
      <c r="C56" s="7" t="n">
        <v>20000</v>
      </c>
      <c r="D56" s="9">
        <f>IF(C56=0,"",B56/C56)</f>
        <v/>
      </c>
    </row>
    <row r="57">
      <c r="A57" t="inlineStr">
        <is>
          <t>Nov 25</t>
        </is>
      </c>
      <c r="B57" s="7" t="n">
        <v>21079</v>
      </c>
      <c r="C57" s="7" t="n">
        <v>20000</v>
      </c>
      <c r="D57" s="9">
        <f>IF(C57=0,"",B57/C57)</f>
        <v/>
      </c>
    </row>
    <row r="58">
      <c r="A58" t="inlineStr">
        <is>
          <t>Dec 25</t>
        </is>
      </c>
      <c r="B58" s="7" t="n">
        <v>19272</v>
      </c>
      <c r="C58" s="7" t="n">
        <v>20000</v>
      </c>
      <c r="D58" s="9">
        <f>IF(C58=0,"",B58/C58)</f>
        <v/>
      </c>
    </row>
    <row r="59">
      <c r="A59" t="inlineStr">
        <is>
          <t>Jan 26</t>
        </is>
      </c>
      <c r="B59" s="7" t="n">
        <v>21157</v>
      </c>
      <c r="C59" s="7" t="n">
        <v>20000</v>
      </c>
      <c r="D59" s="9">
        <f>IF(C59=0,"",B59/C59)</f>
        <v/>
      </c>
    </row>
    <row r="60">
      <c r="A60" t="inlineStr">
        <is>
          <t>Feb 26</t>
        </is>
      </c>
      <c r="B60" s="7" t="n">
        <v>20743</v>
      </c>
      <c r="C60" s="7" t="n">
        <v>20000</v>
      </c>
      <c r="D60" s="9">
        <f>IF(C60=0,"",B60/C60)</f>
        <v/>
      </c>
    </row>
    <row r="61">
      <c r="A61" t="inlineStr">
        <is>
          <t>Mar 26</t>
        </is>
      </c>
      <c r="B61" s="7" t="n">
        <v>16515</v>
      </c>
      <c r="C61" s="7" t="n">
        <v>20000</v>
      </c>
      <c r="D61" s="9">
        <f>IF(C61=0,"",B61/C61)</f>
        <v/>
      </c>
    </row>
    <row r="62">
      <c r="A62" t="inlineStr">
        <is>
          <t>Apr 26</t>
        </is>
      </c>
      <c r="B62" s="7" t="n">
        <v>20451</v>
      </c>
      <c r="C62" s="7" t="n">
        <v>20000</v>
      </c>
      <c r="D62" s="9">
        <f>IF(C62=0,"",B62/C62)</f>
        <v/>
      </c>
    </row>
    <row r="63">
      <c r="A63" t="inlineStr">
        <is>
          <t>May 26</t>
        </is>
      </c>
      <c r="B63" s="7" t="n">
        <v>21174</v>
      </c>
      <c r="C63" s="7" t="n">
        <v>20000</v>
      </c>
      <c r="D63" s="9">
        <f>IF(C63=0,"",B63/C63)</f>
        <v/>
      </c>
    </row>
    <row r="64">
      <c r="A64" t="inlineStr">
        <is>
          <t>Jun 26</t>
        </is>
      </c>
      <c r="B64" s="7" t="n">
        <v>20366</v>
      </c>
      <c r="C64" s="7" t="n">
        <v>20000</v>
      </c>
      <c r="D64" s="9">
        <f>IF(C64=0,"",B64/C64)</f>
        <v/>
      </c>
    </row>
    <row r="65">
      <c r="A65" t="inlineStr">
        <is>
          <t>Jul 26</t>
        </is>
      </c>
      <c r="B65" s="7" t="n">
        <v>23274</v>
      </c>
      <c r="C65" s="7" t="n">
        <v>20000</v>
      </c>
      <c r="D65" s="9">
        <f>IF(C65=0,"",B65/C65)</f>
        <v/>
      </c>
    </row>
    <row r="66">
      <c r="A66" t="inlineStr">
        <is>
          <t>Aug 26</t>
        </is>
      </c>
      <c r="B66" s="7" t="n">
        <v>21500</v>
      </c>
      <c r="C66" s="7" t="n">
        <v>20000</v>
      </c>
      <c r="D66" s="9">
        <f>IF(C66=0,"",B66/C66)</f>
        <v/>
      </c>
    </row>
    <row r="67">
      <c r="A67" t="inlineStr">
        <is>
          <t>Sep 26</t>
        </is>
      </c>
      <c r="B67" s="7" t="n">
        <v>22800</v>
      </c>
      <c r="C67" s="7" t="n">
        <v>20000</v>
      </c>
      <c r="D67" s="9">
        <f>IF(C67=0,"",B67/C67)</f>
        <v/>
      </c>
    </row>
    <row r="68">
      <c r="A68" s="24" t="inlineStr">
        <is>
          <t>Total</t>
        </is>
      </c>
      <c r="B68" s="32">
        <f>SUM(B53:B67)</f>
        <v/>
      </c>
      <c r="C68" s="32">
        <f>SUM(C53:C67)</f>
        <v/>
      </c>
      <c r="D68" s="33">
        <f>IF(C68=0,"",B68/C68)</f>
        <v/>
      </c>
    </row>
    <row r="69"/>
    <row r="70"/>
    <row r="71">
      <c r="A71" s="26" t="inlineStr">
        <is>
          <t>Housing support</t>
        </is>
      </c>
    </row>
    <row r="72">
      <c r="A72" s="10" t="inlineStr">
        <is>
          <t>State Housing Program · $360,000 · Jan 2026 to Dec 2026</t>
        </is>
      </c>
    </row>
    <row r="73">
      <c r="A73" s="3" t="inlineStr"/>
      <c r="B73" s="4" t="inlineStr">
        <is>
          <t>This grant</t>
        </is>
      </c>
    </row>
    <row r="74">
      <c r="A74" t="inlineStr">
        <is>
          <t>Grant total</t>
        </is>
      </c>
      <c r="B74" s="21" t="n">
        <v>360000</v>
      </c>
    </row>
    <row r="75">
      <c r="A75" t="inlineStr">
        <is>
          <t>Received from the funder</t>
        </is>
      </c>
      <c r="B75" s="21" t="n">
        <v>360000</v>
      </c>
    </row>
    <row r="76">
      <c r="A76" t="inlineStr">
        <is>
          <t>Spent to date</t>
        </is>
      </c>
      <c r="B76" s="21" t="n">
        <v>257700</v>
      </c>
    </row>
    <row r="77">
      <c r="A77" t="inlineStr">
        <is>
          <t>Budget to date</t>
        </is>
      </c>
      <c r="B77" s="21" t="n">
        <v>270000</v>
      </c>
    </row>
    <row r="78">
      <c r="A78" t="inlineStr">
        <is>
          <t>Months left</t>
        </is>
      </c>
      <c r="B78" s="21" t="n">
        <v>3</v>
      </c>
    </row>
    <row r="79">
      <c r="A79" t="inlineStr">
        <is>
          <t>Still to spend</t>
        </is>
      </c>
      <c r="B79" s="21">
        <f>B74-B76</f>
        <v/>
      </c>
    </row>
    <row r="80">
      <c r="A80" s="27" t="inlineStr">
        <is>
          <t>Spent against budget</t>
        </is>
      </c>
      <c r="B80" s="31">
        <f>B76/B77</f>
        <v/>
      </c>
    </row>
    <row r="81"/>
    <row r="82">
      <c r="A82" s="8" t="inlineStr">
        <is>
          <t>Spend by month against budget</t>
        </is>
      </c>
    </row>
    <row r="83">
      <c r="A83" s="3" t="inlineStr">
        <is>
          <t>Month</t>
        </is>
      </c>
      <c r="B83" s="4" t="inlineStr">
        <is>
          <t>Spend</t>
        </is>
      </c>
      <c r="C83" s="4" t="inlineStr">
        <is>
          <t>Budget</t>
        </is>
      </c>
      <c r="D83" s="4" t="inlineStr">
        <is>
          <t>Spend against budget</t>
        </is>
      </c>
    </row>
    <row r="84">
      <c r="A84" t="inlineStr">
        <is>
          <t>Jan 26</t>
        </is>
      </c>
      <c r="B84" s="7" t="n">
        <v>30502</v>
      </c>
      <c r="C84" s="7" t="n">
        <v>30000</v>
      </c>
      <c r="D84" s="9">
        <f>IF(C84=0,"",B84/C84)</f>
        <v/>
      </c>
    </row>
    <row r="85">
      <c r="A85" t="inlineStr">
        <is>
          <t>Feb 26</t>
        </is>
      </c>
      <c r="B85" s="7" t="n">
        <v>26508</v>
      </c>
      <c r="C85" s="7" t="n">
        <v>30000</v>
      </c>
      <c r="D85" s="9">
        <f>IF(C85=0,"",B85/C85)</f>
        <v/>
      </c>
    </row>
    <row r="86">
      <c r="A86" t="inlineStr">
        <is>
          <t>Mar 26</t>
        </is>
      </c>
      <c r="B86" s="7" t="n">
        <v>24832</v>
      </c>
      <c r="C86" s="7" t="n">
        <v>30000</v>
      </c>
      <c r="D86" s="9">
        <f>IF(C86=0,"",B86/C86)</f>
        <v/>
      </c>
    </row>
    <row r="87">
      <c r="A87" t="inlineStr">
        <is>
          <t>Apr 26</t>
        </is>
      </c>
      <c r="B87" s="7" t="n">
        <v>23730</v>
      </c>
      <c r="C87" s="7" t="n">
        <v>30000</v>
      </c>
      <c r="D87" s="9">
        <f>IF(C87=0,"",B87/C87)</f>
        <v/>
      </c>
    </row>
    <row r="88">
      <c r="A88" t="inlineStr">
        <is>
          <t>May 26</t>
        </is>
      </c>
      <c r="B88" s="7" t="n">
        <v>31337</v>
      </c>
      <c r="C88" s="7" t="n">
        <v>30000</v>
      </c>
      <c r="D88" s="9">
        <f>IF(C88=0,"",B88/C88)</f>
        <v/>
      </c>
    </row>
    <row r="89">
      <c r="A89" t="inlineStr">
        <is>
          <t>Jun 26</t>
        </is>
      </c>
      <c r="B89" s="7" t="n">
        <v>29994</v>
      </c>
      <c r="C89" s="7" t="n">
        <v>30000</v>
      </c>
      <c r="D89" s="9">
        <f>IF(C89=0,"",B89/C89)</f>
        <v/>
      </c>
    </row>
    <row r="90">
      <c r="A90" t="inlineStr">
        <is>
          <t>Jul 26</t>
        </is>
      </c>
      <c r="B90" s="7" t="n">
        <v>29097</v>
      </c>
      <c r="C90" s="7" t="n">
        <v>30000</v>
      </c>
      <c r="D90" s="9">
        <f>IF(C90=0,"",B90/C90)</f>
        <v/>
      </c>
    </row>
    <row r="91">
      <c r="A91" t="inlineStr">
        <is>
          <t>Aug 26</t>
        </is>
      </c>
      <c r="B91" s="7" t="n">
        <v>30500</v>
      </c>
      <c r="C91" s="7" t="n">
        <v>30000</v>
      </c>
      <c r="D91" s="9">
        <f>IF(C91=0,"",B91/C91)</f>
        <v/>
      </c>
    </row>
    <row r="92">
      <c r="A92" t="inlineStr">
        <is>
          <t>Sep 26</t>
        </is>
      </c>
      <c r="B92" s="7" t="n">
        <v>31200</v>
      </c>
      <c r="C92" s="7" t="n">
        <v>30000</v>
      </c>
      <c r="D92" s="9">
        <f>IF(C92=0,"",B92/C92)</f>
        <v/>
      </c>
    </row>
    <row r="93">
      <c r="A93" s="24" t="inlineStr">
        <is>
          <t>Total</t>
        </is>
      </c>
      <c r="B93" s="32">
        <f>SUM(B84:B92)</f>
        <v/>
      </c>
      <c r="C93" s="32">
        <f>SUM(C84:C92)</f>
        <v/>
      </c>
      <c r="D93" s="33">
        <f>IF(C93=0,"",B93/C93)</f>
        <v/>
      </c>
    </row>
    <row r="94"/>
    <row r="95"/>
    <row r="96">
      <c r="A96" s="26" t="inlineStr">
        <is>
          <t>Mental health first aid</t>
        </is>
      </c>
    </row>
    <row r="97">
      <c r="A97" s="10" t="inlineStr">
        <is>
          <t>Federal health program · $120,000 · Apr 2026 to Mar 2027</t>
        </is>
      </c>
    </row>
    <row r="98">
      <c r="A98" s="3" t="inlineStr"/>
      <c r="B98" s="4" t="inlineStr">
        <is>
          <t>This grant</t>
        </is>
      </c>
    </row>
    <row r="99">
      <c r="A99" t="inlineStr">
        <is>
          <t>Grant total</t>
        </is>
      </c>
      <c r="B99" s="21" t="n">
        <v>120000</v>
      </c>
    </row>
    <row r="100">
      <c r="A100" t="inlineStr">
        <is>
          <t>Received from the funder</t>
        </is>
      </c>
      <c r="B100" s="21" t="n">
        <v>60000</v>
      </c>
    </row>
    <row r="101">
      <c r="A101" t="inlineStr">
        <is>
          <t>Spent to date</t>
        </is>
      </c>
      <c r="B101" s="21" t="n">
        <v>57200</v>
      </c>
    </row>
    <row r="102">
      <c r="A102" t="inlineStr">
        <is>
          <t>Budget to date</t>
        </is>
      </c>
      <c r="B102" s="21" t="n">
        <v>60000</v>
      </c>
    </row>
    <row r="103">
      <c r="A103" t="inlineStr">
        <is>
          <t>Months left</t>
        </is>
      </c>
      <c r="B103" s="21" t="n">
        <v>6</v>
      </c>
    </row>
    <row r="104">
      <c r="A104" t="inlineStr">
        <is>
          <t>Still to spend</t>
        </is>
      </c>
      <c r="B104" s="21">
        <f>B99-B101</f>
        <v/>
      </c>
    </row>
    <row r="105">
      <c r="A105" s="27" t="inlineStr">
        <is>
          <t>Spent against budget</t>
        </is>
      </c>
      <c r="B105" s="31">
        <f>B101/B102</f>
        <v/>
      </c>
    </row>
    <row r="106"/>
    <row r="107">
      <c r="A107" s="8" t="inlineStr">
        <is>
          <t>Spend by month against budget</t>
        </is>
      </c>
    </row>
    <row r="108">
      <c r="A108" s="3" t="inlineStr">
        <is>
          <t>Month</t>
        </is>
      </c>
      <c r="B108" s="4" t="inlineStr">
        <is>
          <t>Spend</t>
        </is>
      </c>
      <c r="C108" s="4" t="inlineStr">
        <is>
          <t>Budget</t>
        </is>
      </c>
      <c r="D108" s="4" t="inlineStr">
        <is>
          <t>Spend against budget</t>
        </is>
      </c>
    </row>
    <row r="109">
      <c r="A109" t="inlineStr">
        <is>
          <t>Apr 26</t>
        </is>
      </c>
      <c r="B109" s="7" t="n">
        <v>9584</v>
      </c>
      <c r="C109" s="7" t="n">
        <v>10000</v>
      </c>
      <c r="D109" s="9">
        <f>IF(C109=0,"",B109/C109)</f>
        <v/>
      </c>
    </row>
    <row r="110">
      <c r="A110" t="inlineStr">
        <is>
          <t>May 26</t>
        </is>
      </c>
      <c r="B110" s="7" t="n">
        <v>8950</v>
      </c>
      <c r="C110" s="7" t="n">
        <v>10000</v>
      </c>
      <c r="D110" s="9">
        <f>IF(C110=0,"",B110/C110)</f>
        <v/>
      </c>
    </row>
    <row r="111">
      <c r="A111" t="inlineStr">
        <is>
          <t>Jun 26</t>
        </is>
      </c>
      <c r="B111" s="7" t="n">
        <v>9797</v>
      </c>
      <c r="C111" s="7" t="n">
        <v>10000</v>
      </c>
      <c r="D111" s="9">
        <f>IF(C111=0,"",B111/C111)</f>
        <v/>
      </c>
    </row>
    <row r="112">
      <c r="A112" t="inlineStr">
        <is>
          <t>Jul 26</t>
        </is>
      </c>
      <c r="B112" s="7" t="n">
        <v>8669</v>
      </c>
      <c r="C112" s="7" t="n">
        <v>10000</v>
      </c>
      <c r="D112" s="9">
        <f>IF(C112=0,"",B112/C112)</f>
        <v/>
      </c>
    </row>
    <row r="113">
      <c r="A113" t="inlineStr">
        <is>
          <t>Aug 26</t>
        </is>
      </c>
      <c r="B113" s="7" t="n">
        <v>9400</v>
      </c>
      <c r="C113" s="7" t="n">
        <v>10000</v>
      </c>
      <c r="D113" s="9">
        <f>IF(C113=0,"",B113/C113)</f>
        <v/>
      </c>
    </row>
    <row r="114">
      <c r="A114" t="inlineStr">
        <is>
          <t>Sep 26</t>
        </is>
      </c>
      <c r="B114" s="7" t="n">
        <v>10800</v>
      </c>
      <c r="C114" s="7" t="n">
        <v>10000</v>
      </c>
      <c r="D114" s="9">
        <f>IF(C114=0,"",B114/C114)</f>
        <v/>
      </c>
    </row>
    <row r="115">
      <c r="A115" s="24" t="inlineStr">
        <is>
          <t>Total</t>
        </is>
      </c>
      <c r="B115" s="32">
        <f>SUM(B109:B114)</f>
        <v/>
      </c>
      <c r="C115" s="32">
        <f>SUM(C109:C114)</f>
        <v/>
      </c>
      <c r="D115" s="33">
        <f>IF(C115=0,"",B115/C115)</f>
        <v/>
      </c>
    </row>
    <row r="116"/>
    <row r="117"/>
    <row r="118">
      <c r="A118" s="26" t="inlineStr">
        <is>
          <t>Digital literacy</t>
        </is>
      </c>
    </row>
    <row r="119">
      <c r="A119" s="10" t="inlineStr">
        <is>
          <t>Philanthropic foundation · $90,000 · Oct 2025 to Mar 2027</t>
        </is>
      </c>
    </row>
    <row r="120">
      <c r="A120" s="3" t="inlineStr"/>
      <c r="B120" s="4" t="inlineStr">
        <is>
          <t>This grant</t>
        </is>
      </c>
    </row>
    <row r="121">
      <c r="A121" t="inlineStr">
        <is>
          <t>Grant total</t>
        </is>
      </c>
      <c r="B121" s="21" t="n">
        <v>90000</v>
      </c>
    </row>
    <row r="122">
      <c r="A122" t="inlineStr">
        <is>
          <t>Received from the funder</t>
        </is>
      </c>
      <c r="B122" s="21" t="n">
        <v>45000</v>
      </c>
    </row>
    <row r="123">
      <c r="A123" t="inlineStr">
        <is>
          <t>Spent to date</t>
        </is>
      </c>
      <c r="B123" s="21" t="n">
        <v>59600</v>
      </c>
    </row>
    <row r="124">
      <c r="A124" t="inlineStr">
        <is>
          <t>Budget to date</t>
        </is>
      </c>
      <c r="B124" s="21" t="n">
        <v>60000</v>
      </c>
    </row>
    <row r="125">
      <c r="A125" t="inlineStr">
        <is>
          <t>Months left</t>
        </is>
      </c>
      <c r="B125" s="21" t="n">
        <v>6</v>
      </c>
    </row>
    <row r="126">
      <c r="A126" t="inlineStr">
        <is>
          <t>Still to spend</t>
        </is>
      </c>
      <c r="B126" s="21">
        <f>B121-B123</f>
        <v/>
      </c>
    </row>
    <row r="127">
      <c r="A127" s="27" t="inlineStr">
        <is>
          <t>Spent against budget</t>
        </is>
      </c>
      <c r="B127" s="31">
        <f>B123/B124</f>
        <v/>
      </c>
    </row>
    <row r="128"/>
    <row r="129">
      <c r="A129" s="8" t="inlineStr">
        <is>
          <t>Spend by month against budget</t>
        </is>
      </c>
    </row>
    <row r="130">
      <c r="A130" s="3" t="inlineStr">
        <is>
          <t>Month</t>
        </is>
      </c>
      <c r="B130" s="4" t="inlineStr">
        <is>
          <t>Spend</t>
        </is>
      </c>
      <c r="C130" s="4" t="inlineStr">
        <is>
          <t>Budget</t>
        </is>
      </c>
      <c r="D130" s="4" t="inlineStr">
        <is>
          <t>Spend against budget</t>
        </is>
      </c>
    </row>
    <row r="131">
      <c r="A131" t="inlineStr">
        <is>
          <t>Oct 25</t>
        </is>
      </c>
      <c r="B131" s="7" t="n">
        <v>5160</v>
      </c>
      <c r="C131" s="7" t="n">
        <v>5000</v>
      </c>
      <c r="D131" s="9">
        <f>IF(C131=0,"",B131/C131)</f>
        <v/>
      </c>
    </row>
    <row r="132">
      <c r="A132" t="inlineStr">
        <is>
          <t>Nov 25</t>
        </is>
      </c>
      <c r="B132" s="7" t="n">
        <v>4585</v>
      </c>
      <c r="C132" s="7" t="n">
        <v>5000</v>
      </c>
      <c r="D132" s="9">
        <f>IF(C132=0,"",B132/C132)</f>
        <v/>
      </c>
    </row>
    <row r="133">
      <c r="A133" t="inlineStr">
        <is>
          <t>Dec 25</t>
        </is>
      </c>
      <c r="B133" s="7" t="n">
        <v>5221</v>
      </c>
      <c r="C133" s="7" t="n">
        <v>5000</v>
      </c>
      <c r="D133" s="9">
        <f>IF(C133=0,"",B133/C133)</f>
        <v/>
      </c>
    </row>
    <row r="134">
      <c r="A134" t="inlineStr">
        <is>
          <t>Jan 26</t>
        </is>
      </c>
      <c r="B134" s="7" t="n">
        <v>4426</v>
      </c>
      <c r="C134" s="7" t="n">
        <v>5000</v>
      </c>
      <c r="D134" s="9">
        <f>IF(C134=0,"",B134/C134)</f>
        <v/>
      </c>
    </row>
    <row r="135">
      <c r="A135" t="inlineStr">
        <is>
          <t>Feb 26</t>
        </is>
      </c>
      <c r="B135" s="7" t="n">
        <v>5408</v>
      </c>
      <c r="C135" s="7" t="n">
        <v>5000</v>
      </c>
      <c r="D135" s="9">
        <f>IF(C135=0,"",B135/C135)</f>
        <v/>
      </c>
    </row>
    <row r="136">
      <c r="A136" t="inlineStr">
        <is>
          <t>Mar 26</t>
        </is>
      </c>
      <c r="B136" s="7" t="n">
        <v>5427</v>
      </c>
      <c r="C136" s="7" t="n">
        <v>5000</v>
      </c>
      <c r="D136" s="9">
        <f>IF(C136=0,"",B136/C136)</f>
        <v/>
      </c>
    </row>
    <row r="137">
      <c r="A137" t="inlineStr">
        <is>
          <t>Apr 26</t>
        </is>
      </c>
      <c r="B137" s="7" t="n">
        <v>5509</v>
      </c>
      <c r="C137" s="7" t="n">
        <v>5000</v>
      </c>
      <c r="D137" s="9">
        <f>IF(C137=0,"",B137/C137)</f>
        <v/>
      </c>
    </row>
    <row r="138">
      <c r="A138" t="inlineStr">
        <is>
          <t>May 26</t>
        </is>
      </c>
      <c r="B138" s="7" t="n">
        <v>4635</v>
      </c>
      <c r="C138" s="7" t="n">
        <v>5000</v>
      </c>
      <c r="D138" s="9">
        <f>IF(C138=0,"",B138/C138)</f>
        <v/>
      </c>
    </row>
    <row r="139">
      <c r="A139" t="inlineStr">
        <is>
          <t>Jun 26</t>
        </is>
      </c>
      <c r="B139" s="7" t="n">
        <v>4316</v>
      </c>
      <c r="C139" s="7" t="n">
        <v>5000</v>
      </c>
      <c r="D139" s="9">
        <f>IF(C139=0,"",B139/C139)</f>
        <v/>
      </c>
    </row>
    <row r="140">
      <c r="A140" t="inlineStr">
        <is>
          <t>Jul 26</t>
        </is>
      </c>
      <c r="B140" s="7" t="n">
        <v>4813</v>
      </c>
      <c r="C140" s="7" t="n">
        <v>5000</v>
      </c>
      <c r="D140" s="9">
        <f>IF(C140=0,"",B140/C140)</f>
        <v/>
      </c>
    </row>
    <row r="141">
      <c r="A141" t="inlineStr">
        <is>
          <t>Aug 26</t>
        </is>
      </c>
      <c r="B141" s="7" t="n">
        <v>5200</v>
      </c>
      <c r="C141" s="7" t="n">
        <v>5000</v>
      </c>
      <c r="D141" s="9">
        <f>IF(C141=0,"",B141/C141)</f>
        <v/>
      </c>
    </row>
    <row r="142">
      <c r="A142" t="inlineStr">
        <is>
          <t>Sep 26</t>
        </is>
      </c>
      <c r="B142" s="7" t="n">
        <v>4900</v>
      </c>
      <c r="C142" s="7" t="n">
        <v>5000</v>
      </c>
      <c r="D142" s="9">
        <f>IF(C142=0,"",B142/C142)</f>
        <v/>
      </c>
    </row>
    <row r="143">
      <c r="A143" s="24" t="inlineStr">
        <is>
          <t>Total</t>
        </is>
      </c>
      <c r="B143" s="32">
        <f>SUM(B131:B142)</f>
        <v/>
      </c>
      <c r="C143" s="32">
        <f>SUM(C131:C142)</f>
        <v/>
      </c>
      <c r="D143" s="33">
        <f>IF(C143=0,"",B143/C143)</f>
        <v/>
      </c>
    </row>
    <row r="144"/>
    <row r="145"/>
    <row r="146">
      <c r="A146" s="26" t="inlineStr">
        <is>
          <t>Community meals</t>
        </is>
      </c>
    </row>
    <row r="147">
      <c r="A147" s="10" t="inlineStr">
        <is>
          <t>Local council community grant · $48,000 · Jul 2026 to Jun 2027</t>
        </is>
      </c>
    </row>
    <row r="148">
      <c r="A148" s="3" t="inlineStr"/>
      <c r="B148" s="4" t="inlineStr">
        <is>
          <t>This grant</t>
        </is>
      </c>
    </row>
    <row r="149">
      <c r="A149" t="inlineStr">
        <is>
          <t>Grant total</t>
        </is>
      </c>
      <c r="B149" s="21" t="n">
        <v>48000</v>
      </c>
    </row>
    <row r="150">
      <c r="A150" t="inlineStr">
        <is>
          <t>Received from the funder</t>
        </is>
      </c>
      <c r="B150" s="21" t="n">
        <v>48000</v>
      </c>
    </row>
    <row r="151">
      <c r="A151" t="inlineStr">
        <is>
          <t>Spent to date</t>
        </is>
      </c>
      <c r="B151" s="21" t="n">
        <v>12000</v>
      </c>
    </row>
    <row r="152">
      <c r="A152" t="inlineStr">
        <is>
          <t>Budget to date</t>
        </is>
      </c>
      <c r="B152" s="21" t="n">
        <v>12000</v>
      </c>
    </row>
    <row r="153">
      <c r="A153" t="inlineStr">
        <is>
          <t>Months left</t>
        </is>
      </c>
      <c r="B153" s="21" t="n">
        <v>9</v>
      </c>
    </row>
    <row r="154">
      <c r="A154" t="inlineStr">
        <is>
          <t>Still to spend</t>
        </is>
      </c>
      <c r="B154" s="21">
        <f>B149-B151</f>
        <v/>
      </c>
    </row>
    <row r="155">
      <c r="A155" s="27" t="inlineStr">
        <is>
          <t>Spent against budget</t>
        </is>
      </c>
      <c r="B155" s="31">
        <f>B151/B152</f>
        <v/>
      </c>
    </row>
    <row r="156"/>
    <row r="157">
      <c r="A157" s="8" t="inlineStr">
        <is>
          <t>Spend by month against budget</t>
        </is>
      </c>
    </row>
    <row r="158">
      <c r="A158" s="3" t="inlineStr">
        <is>
          <t>Month</t>
        </is>
      </c>
      <c r="B158" s="4" t="inlineStr">
        <is>
          <t>Spend</t>
        </is>
      </c>
      <c r="C158" s="4" t="inlineStr">
        <is>
          <t>Budget</t>
        </is>
      </c>
      <c r="D158" s="4" t="inlineStr">
        <is>
          <t>Spend against budget</t>
        </is>
      </c>
    </row>
    <row r="159">
      <c r="A159" t="inlineStr">
        <is>
          <t>Jul 26</t>
        </is>
      </c>
      <c r="B159" s="7" t="n">
        <v>3600</v>
      </c>
      <c r="C159" s="7" t="n">
        <v>4000</v>
      </c>
      <c r="D159" s="9">
        <f>IF(C159=0,"",B159/C159)</f>
        <v/>
      </c>
    </row>
    <row r="160">
      <c r="A160" t="inlineStr">
        <is>
          <t>Aug 26</t>
        </is>
      </c>
      <c r="B160" s="7" t="n">
        <v>4100</v>
      </c>
      <c r="C160" s="7" t="n">
        <v>4000</v>
      </c>
      <c r="D160" s="9">
        <f>IF(C160=0,"",B160/C160)</f>
        <v/>
      </c>
    </row>
    <row r="161">
      <c r="A161" t="inlineStr">
        <is>
          <t>Sep 26</t>
        </is>
      </c>
      <c r="B161" s="7" t="n">
        <v>4300</v>
      </c>
      <c r="C161" s="7" t="n">
        <v>4000</v>
      </c>
      <c r="D161" s="9">
        <f>IF(C161=0,"",B161/C161)</f>
        <v/>
      </c>
    </row>
    <row r="162">
      <c r="A162" s="24" t="inlineStr">
        <is>
          <t>Total</t>
        </is>
      </c>
      <c r="B162" s="32">
        <f>SUM(B159:B161)</f>
        <v/>
      </c>
      <c r="C162" s="32">
        <f>SUM(C159:C161)</f>
        <v/>
      </c>
      <c r="D162" s="33">
        <f>IF(C162=0,"",B162/C162)</f>
        <v/>
      </c>
    </row>
    <row r="163"/>
    <row r="164"/>
    <row r="165">
      <c r="A165" s="26" t="inlineStr">
        <is>
          <t>Volunteer coordinator</t>
        </is>
      </c>
    </row>
    <row r="166">
      <c r="A166" s="10" t="inlineStr">
        <is>
          <t>State volunteering grant · $36,000 · Mar 2026 to Feb 2027</t>
        </is>
      </c>
    </row>
    <row r="167">
      <c r="A167" s="3" t="inlineStr"/>
      <c r="B167" s="4" t="inlineStr">
        <is>
          <t>This grant</t>
        </is>
      </c>
    </row>
    <row r="168">
      <c r="A168" t="inlineStr">
        <is>
          <t>Grant total</t>
        </is>
      </c>
      <c r="B168" s="21" t="n">
        <v>36000</v>
      </c>
    </row>
    <row r="169">
      <c r="A169" t="inlineStr">
        <is>
          <t>Received from the funder</t>
        </is>
      </c>
      <c r="B169" s="21" t="n">
        <v>36000</v>
      </c>
    </row>
    <row r="170">
      <c r="A170" t="inlineStr">
        <is>
          <t>Spent to date</t>
        </is>
      </c>
      <c r="B170" s="21" t="n">
        <v>21000</v>
      </c>
    </row>
    <row r="171">
      <c r="A171" t="inlineStr">
        <is>
          <t>Budget to date</t>
        </is>
      </c>
      <c r="B171" s="21" t="n">
        <v>21000</v>
      </c>
    </row>
    <row r="172">
      <c r="A172" t="inlineStr">
        <is>
          <t>Months left</t>
        </is>
      </c>
      <c r="B172" s="21" t="n">
        <v>5</v>
      </c>
    </row>
    <row r="173">
      <c r="A173" t="inlineStr">
        <is>
          <t>Still to spend</t>
        </is>
      </c>
      <c r="B173" s="21">
        <f>B168-B170</f>
        <v/>
      </c>
    </row>
    <row r="174">
      <c r="A174" s="27" t="inlineStr">
        <is>
          <t>Spent against budget</t>
        </is>
      </c>
      <c r="B174" s="31">
        <f>B170/B171</f>
        <v/>
      </c>
    </row>
    <row r="175"/>
    <row r="176">
      <c r="A176" s="8" t="inlineStr">
        <is>
          <t>Spend by month against budget</t>
        </is>
      </c>
    </row>
    <row r="177">
      <c r="A177" s="3" t="inlineStr">
        <is>
          <t>Month</t>
        </is>
      </c>
      <c r="B177" s="4" t="inlineStr">
        <is>
          <t>Spend</t>
        </is>
      </c>
      <c r="C177" s="4" t="inlineStr">
        <is>
          <t>Budget</t>
        </is>
      </c>
      <c r="D177" s="4" t="inlineStr">
        <is>
          <t>Spend against budget</t>
        </is>
      </c>
    </row>
    <row r="178">
      <c r="A178" t="inlineStr">
        <is>
          <t>Mar 26</t>
        </is>
      </c>
      <c r="B178" s="7" t="n">
        <v>2932</v>
      </c>
      <c r="C178" s="7" t="n">
        <v>3000</v>
      </c>
      <c r="D178" s="9">
        <f>IF(C178=0,"",B178/C178)</f>
        <v/>
      </c>
    </row>
    <row r="179">
      <c r="A179" t="inlineStr">
        <is>
          <t>Apr 26</t>
        </is>
      </c>
      <c r="B179" s="7" t="n">
        <v>3555</v>
      </c>
      <c r="C179" s="7" t="n">
        <v>3000</v>
      </c>
      <c r="D179" s="9">
        <f>IF(C179=0,"",B179/C179)</f>
        <v/>
      </c>
    </row>
    <row r="180">
      <c r="A180" t="inlineStr">
        <is>
          <t>May 26</t>
        </is>
      </c>
      <c r="B180" s="7" t="n">
        <v>2649</v>
      </c>
      <c r="C180" s="7" t="n">
        <v>3000</v>
      </c>
      <c r="D180" s="9">
        <f>IF(C180=0,"",B180/C180)</f>
        <v/>
      </c>
    </row>
    <row r="181">
      <c r="A181" t="inlineStr">
        <is>
          <t>Jun 26</t>
        </is>
      </c>
      <c r="B181" s="7" t="n">
        <v>2699</v>
      </c>
      <c r="C181" s="7" t="n">
        <v>3000</v>
      </c>
      <c r="D181" s="9">
        <f>IF(C181=0,"",B181/C181)</f>
        <v/>
      </c>
    </row>
    <row r="182">
      <c r="A182" t="inlineStr">
        <is>
          <t>Jul 26</t>
        </is>
      </c>
      <c r="B182" s="7" t="n">
        <v>3165</v>
      </c>
      <c r="C182" s="7" t="n">
        <v>3000</v>
      </c>
      <c r="D182" s="9">
        <f>IF(C182=0,"",B182/C182)</f>
        <v/>
      </c>
    </row>
    <row r="183">
      <c r="A183" t="inlineStr">
        <is>
          <t>Aug 26</t>
        </is>
      </c>
      <c r="B183" s="7" t="n">
        <v>3000</v>
      </c>
      <c r="C183" s="7" t="n">
        <v>3000</v>
      </c>
      <c r="D183" s="9">
        <f>IF(C183=0,"",B183/C183)</f>
        <v/>
      </c>
    </row>
    <row r="184">
      <c r="A184" t="inlineStr">
        <is>
          <t>Sep 26</t>
        </is>
      </c>
      <c r="B184" s="7" t="n">
        <v>3000</v>
      </c>
      <c r="C184" s="7" t="n">
        <v>3000</v>
      </c>
      <c r="D184" s="9">
        <f>IF(C184=0,"",B184/C184)</f>
        <v/>
      </c>
    </row>
    <row r="185">
      <c r="A185" s="24" t="inlineStr">
        <is>
          <t>Total</t>
        </is>
      </c>
      <c r="B185" s="32">
        <f>SUM(B178:B184)</f>
        <v/>
      </c>
      <c r="C185" s="32">
        <f>SUM(C178:C184)</f>
        <v/>
      </c>
      <c r="D185" s="33">
        <f>IF(C185=0,"",B185/C185)</f>
        <v/>
      </c>
    </row>
    <row r="186"/>
    <row r="187"/>
    <row r="188"/>
  </sheetData>
  <printOptions horizontalCentered="1"/>
  <pageMargins left="0.5" right="0.5" top="0.75" bottom="0.75" header="0.5" footer="0.5"/>
  <pageSetup orientation="landscape" paperSize="9" fitToHeight="0" fitToWidth="1"/>
  <headerFooter>
    <oddHeader>&amp;L&amp;8 Sample Community Services Ltd&amp;R&amp;8 &amp;A</oddHeader>
    <oddFooter>&amp;L&amp;8 nfp-sample-statements.xlsx&amp;C&amp;8 Data retrieved 2pm, Tue 6 Oct 2026&amp;R&amp;8 Page &amp;P of &amp;N</oddFooter>
    <evenHeader/>
    <evenFooter/>
    <firstHeader/>
    <firstFooter/>
  </headerFooter>
  <rowBreaks count="7" manualBreakCount="7">
    <brk id="30" min="0" max="16383" man="1"/>
    <brk id="39" min="0" max="16383" man="1"/>
    <brk id="70" min="0" max="16383" man="1"/>
    <brk id="95" min="0" max="16383" man="1"/>
    <brk id="117" min="0" max="16383" man="1"/>
    <brk id="145" min="0" max="16383" man="1"/>
    <brk id="164" min="0" max="16383" man="1"/>
  </rowBreak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48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90" customWidth="1" min="2" max="2"/>
  </cols>
  <sheetData>
    <row r="1">
      <c r="A1" s="1" t="inlineStr">
        <is>
          <t>Assumptions</t>
        </is>
      </c>
    </row>
    <row r="2">
      <c r="A2" s="2" t="inlineStr">
        <is>
          <t>Sample Community Services Ltd · SAMPLE DATA (invented) · The Fourth Sheet</t>
        </is>
      </c>
    </row>
    <row r="3">
      <c r="A3" s="2" t="inlineStr">
        <is>
          <t>Data status: Sep 2026 locked · Aug 2026 locked · Oct 2026 incomplete (data retrieved 2pm, Tue 6 Oct 2026)</t>
        </is>
      </c>
    </row>
    <row r="4"/>
    <row r="5">
      <c r="A5" s="11" t="inlineStr">
        <is>
          <t>The organisation</t>
        </is>
      </c>
    </row>
    <row r="6">
      <c r="A6" s="34" t="inlineStr">
        <is>
          <t>What it is</t>
        </is>
      </c>
      <c r="B6" s="35" t="inlineStr">
        <is>
          <t>A Brisbane community services charity funded by six grants, donations, events and program fees. About 18 staff. Registered charity, income-tax exempt.</t>
        </is>
      </c>
    </row>
    <row r="7">
      <c r="A7" s="34" t="inlineStr">
        <is>
          <t>Reporting month</t>
        </is>
      </c>
      <c r="B7" s="35" t="inlineStr">
        <is>
          <t>September 2026, compared with August 2026</t>
        </is>
      </c>
    </row>
    <row r="8">
      <c r="A8" s="34" t="inlineStr">
        <is>
          <t>Financial year</t>
        </is>
      </c>
      <c r="B8" s="35" t="inlineStr">
        <is>
          <t>FY2027: 1 July 2026 to 30 June 2027</t>
        </is>
      </c>
    </row>
    <row r="9"/>
    <row r="10">
      <c r="A10" s="11" t="inlineStr">
        <is>
          <t>Grants</t>
        </is>
      </c>
    </row>
    <row r="11">
      <c r="A11" s="34" t="inlineStr">
        <is>
          <t>Youth outreach</t>
        </is>
      </c>
      <c r="B11" s="35" t="inlineStr">
        <is>
          <t>State Department of Families: $480,000, 2025-07 to 2027-06</t>
        </is>
      </c>
    </row>
    <row r="12">
      <c r="A12" s="34" t="inlineStr">
        <is>
          <t>Housing support</t>
        </is>
      </c>
      <c r="B12" s="35" t="inlineStr">
        <is>
          <t>State Housing Program: $360,000, 2026-01 to 2026-12</t>
        </is>
      </c>
    </row>
    <row r="13">
      <c r="A13" s="34" t="inlineStr">
        <is>
          <t>Community meals</t>
        </is>
      </c>
      <c r="B13" s="35" t="inlineStr">
        <is>
          <t>Local council community grant: $48,000, 2026-07 to 2027-06</t>
        </is>
      </c>
    </row>
    <row r="14">
      <c r="A14" s="34" t="inlineStr">
        <is>
          <t>Digital literacy</t>
        </is>
      </c>
      <c r="B14" s="35" t="inlineStr">
        <is>
          <t>Philanthropic foundation: $90,000, 2025-10 to 2027-03</t>
        </is>
      </c>
    </row>
    <row r="15">
      <c r="A15" s="34" t="inlineStr">
        <is>
          <t>Mental health first aid</t>
        </is>
      </c>
      <c r="B15" s="35" t="inlineStr">
        <is>
          <t>Federal health program: $120,000, 2026-04 to 2027-03</t>
        </is>
      </c>
    </row>
    <row r="16">
      <c r="A16" s="34" t="inlineStr">
        <is>
          <t>Volunteer coordinator</t>
        </is>
      </c>
      <c r="B16" s="35" t="inlineStr">
        <is>
          <t>State volunteering grant: $36,000, 2026-03 to 2027-02</t>
        </is>
      </c>
    </row>
    <row r="17">
      <c r="A17" s="34" t="inlineStr">
        <is>
          <t>Grant income</t>
        </is>
      </c>
      <c r="B17" s="35" t="inlineStr">
        <is>
          <t>recognised as the money is spent on the program</t>
        </is>
      </c>
    </row>
    <row r="18">
      <c r="A18" s="34" t="inlineStr">
        <is>
          <t>Unspent grants</t>
        </is>
      </c>
      <c r="B18" s="35" t="inlineStr">
        <is>
          <t>instalments received but not yet spent are a liability (grants received in advance)</t>
        </is>
      </c>
    </row>
    <row r="19"/>
    <row r="20">
      <c r="A20" s="11" t="inlineStr">
        <is>
          <t>Other income and costs</t>
        </is>
      </c>
    </row>
    <row r="21">
      <c r="A21" s="34" t="inlineStr">
        <is>
          <t>Donations</t>
        </is>
      </c>
      <c r="B21" s="35" t="inlineStr">
        <is>
          <t>including the spring appeal in September</t>
        </is>
      </c>
    </row>
    <row r="22">
      <c r="A22" s="34" t="inlineStr">
        <is>
          <t>Fundraising event</t>
        </is>
      </c>
      <c r="B22" s="35" t="inlineStr">
        <is>
          <t>September gala: income and costs in the same month</t>
        </is>
      </c>
    </row>
    <row r="23">
      <c r="A23" s="34" t="inlineStr">
        <is>
          <t>Grant-funded spending</t>
        </is>
      </c>
      <c r="B23" s="35" t="inlineStr">
        <is>
          <t>75% wages, the rest program costs</t>
        </is>
      </c>
    </row>
    <row r="24">
      <c r="A24" s="34" t="inlineStr">
        <is>
          <t>Income tax</t>
        </is>
      </c>
      <c r="B24" s="35" t="inlineStr">
        <is>
          <t>none: registered charity, income-tax exempt</t>
        </is>
      </c>
    </row>
    <row r="25"/>
    <row r="26">
      <c r="A26" s="11" t="inlineStr">
        <is>
          <t>Cash and balance sheet</t>
        </is>
      </c>
    </row>
    <row r="27">
      <c r="A27" s="34" t="inlineStr">
        <is>
          <t>Suppliers</t>
        </is>
      </c>
      <c r="B27" s="35" t="inlineStr">
        <is>
          <t>paid the following month</t>
        </is>
      </c>
    </row>
    <row r="28">
      <c r="A28" s="34" t="inlineStr">
        <is>
          <t>Unrestricted cash</t>
        </is>
      </c>
      <c r="B28" s="35" t="inlineStr">
        <is>
          <t>cash at bank less unspent grant money</t>
        </is>
      </c>
    </row>
    <row r="29">
      <c r="A29" s="34" t="inlineStr">
        <is>
          <t>Cash runway</t>
        </is>
      </c>
      <c r="B29" s="35" t="inlineStr">
        <is>
          <t>unrestricted cash ÷ this month's cash spending</t>
        </is>
      </c>
    </row>
    <row r="30">
      <c r="A30" s="34" t="inlineStr">
        <is>
          <t>Reserves target</t>
        </is>
      </c>
      <c r="B30" s="35" t="inlineStr">
        <is>
          <t>3 months of spending</t>
        </is>
      </c>
    </row>
    <row r="31">
      <c r="A31" s="34" t="inlineStr">
        <is>
          <t>GST</t>
        </is>
      </c>
      <c r="B31" s="35" t="inlineStr">
        <is>
          <t>excluded throughout, for simplicity</t>
        </is>
      </c>
    </row>
    <row r="32"/>
    <row r="33">
      <c r="A33" s="11" t="inlineStr">
        <is>
          <t>Checks (all passed)</t>
        </is>
      </c>
    </row>
    <row r="34">
      <c r="A34" t="inlineStr">
        <is>
          <t>✓ Every subtotal and total adds up</t>
        </is>
      </c>
    </row>
    <row r="35">
      <c r="A35" t="inlineStr">
        <is>
          <t>✓ Balance sheet balances: assets = liabilities + accumulated funds</t>
        </is>
      </c>
    </row>
    <row r="36">
      <c r="A36" t="inlineStr">
        <is>
          <t>✓ Cash flow ends at the cash in the bank</t>
        </is>
      </c>
    </row>
    <row r="37">
      <c r="A37" t="inlineStr">
        <is>
          <t>✓ Surplus ties to the movement in accumulated funds</t>
        </is>
      </c>
    </row>
    <row r="38">
      <c r="A38" t="inlineStr">
        <is>
          <t>✓ Grant income equals what was spent on each grant</t>
        </is>
      </c>
    </row>
    <row r="39">
      <c r="A39" t="inlineStr">
        <is>
          <t>✓ Unspent grants equal instalments received less income recognised</t>
        </is>
      </c>
    </row>
    <row r="41">
      <c r="A41" s="11" t="inlineStr">
        <is>
          <t>Print check (done before this file was saved)</t>
        </is>
      </c>
    </row>
    <row r="42">
      <c r="A42" t="inlineStr">
        <is>
          <t>✓ The fourth sheet: 1 page, 100% scale, no block split</t>
        </is>
      </c>
    </row>
    <row r="43">
      <c r="A43" t="inlineStr">
        <is>
          <t>✓ Income and expenditure: 2 pages, 100% scale, no block split</t>
        </is>
      </c>
    </row>
    <row r="44">
      <c r="A44" t="inlineStr">
        <is>
          <t>✓ Balance sheet: 1 page, 100% scale, no block split</t>
        </is>
      </c>
    </row>
    <row r="45">
      <c r="A45" t="inlineStr">
        <is>
          <t>✓ Cash flow: 1 page, 100% scale, no block split</t>
        </is>
      </c>
    </row>
    <row r="46">
      <c r="A46" t="inlineStr">
        <is>
          <t>✓ Grants: 1 page, 66% scale, no block split</t>
        </is>
      </c>
    </row>
    <row r="47">
      <c r="A47" t="inlineStr">
        <is>
          <t>✓ Workings: 8 pages, 100% scale, no block split</t>
        </is>
      </c>
    </row>
    <row r="48">
      <c r="A48" t="inlineStr">
        <is>
          <t>✓ Assumptions: 2 pages, 100% scale, no block split</t>
        </is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&amp;L&amp;8 Sample Community Services Ltd&amp;R&amp;8 &amp;A</oddHeader>
    <oddFooter>&amp;L&amp;8 nfp-sample-statements.xlsx&amp;C&amp;8 Data retrieved 2pm, Tue 6 Oct 2026&amp;R&amp;8 Page &amp;P of &amp;N</oddFooter>
    <evenHeader/>
    <evenFooter/>
    <firstHeader/>
    <firstFooter/>
  </headerFooter>
  <rowBreaks count="1" manualBreakCount="1">
    <brk id="25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2026-10-06T07:08:32Z</dcterms:created>
  <dcterms:modified xmlns:dcterms="http://purl.org/dc/terms/" xmlns:xsi="http://www.w3.org/2001/XMLSchema-instance" xsi:type="dcterms:W3CDTF">2026-10-06T07:08:32Z</dcterms:modified>
</cp:coreProperties>
</file>