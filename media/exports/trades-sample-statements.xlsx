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fourth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Workings" sheetId="6" state="visible" r:id="rId6"/>
    <sheet xmlns:r="http://schemas.openxmlformats.org/officeDocument/2006/relationships" name="Assumptions" sheetId="7" state="visible" r:id="rId7"/>
  </sheets>
  <definedNames>
    <definedName name="_xlnm.Print_Titles" localSheetId="0">'The fourth sheet'!$5:$5</definedName>
    <definedName name="_xlnm.Print_Titles" localSheetId="1">'Profit and loss'!$4:$4</definedName>
    <definedName name="_xlnm.Print_Titles" localSheetId="2">'Balance sheet'!$4:$4</definedName>
    <definedName name="_xlnm.Print_Titles" localSheetId="3">'Cash flow'!$4:$4</definedName>
    <definedName name="_xlnm._FilterDatabase" localSheetId="4" hidden="1">'Jobs'!$A$6:$L$167</definedName>
    <definedName name="_xlnm.Print_Titles" localSheetId="4">'Jobs'!$6:$6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&quot;-&quot;"/>
    <numFmt numFmtId="165" formatCode="0.0%;[Red](0.0%);&quot;-&quot;"/>
    <numFmt numFmtId="166" formatCode="#,##0.0;[Red](#,##0.0);&quot;-&quot;"/>
    <numFmt numFmtId="167" formatCode="yyyy-mm-dd"/>
    <numFmt numFmtId="168" formatCode="d mmm yyyy"/>
  </numFmts>
  <fonts count="12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i val="1"/>
      <color rgb="005F6F63"/>
    </font>
    <font>
      <b val="1"/>
      <color rgb="00FFFFFF"/>
    </font>
    <font>
      <b val="1"/>
    </font>
    <font>
      <b val="1"/>
      <color rgb="0025342A"/>
    </font>
    <font>
      <b val="1"/>
      <color rgb="002F7A5D"/>
    </font>
    <font>
      <color rgb="005F6F63"/>
    </font>
    <font>
      <b val="1"/>
      <i val="1"/>
      <color rgb="0025342A"/>
    </font>
    <font>
      <b val="1"/>
      <i val="1"/>
      <color rgb="002F7A5D"/>
    </font>
  </fonts>
  <fills count="4">
    <fill>
      <patternFill/>
    </fill>
    <fill>
      <patternFill patternType="gray125"/>
    </fill>
    <fill>
      <patternFill patternType="solid">
        <fgColor rgb="002F7A5D"/>
      </patternFill>
    </fill>
    <fill>
      <patternFill patternType="solid">
        <fgColor rgb="00EAF6EE"/>
      </patternFill>
    </fill>
  </fills>
  <borders count="3">
    <border>
      <left/>
      <right/>
      <top/>
      <bottom/>
      <diagonal/>
    </border>
    <border>
      <top style="thin">
        <color rgb="00DCE8DC"/>
      </top>
    </border>
    <border>
      <top style="thin">
        <color rgb="00DCE8DC"/>
      </top>
      <bottom style="double">
        <color rgb="002534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indent="1"/>
    </xf>
    <xf numFmtId="164" fontId="4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164" fontId="10" fillId="0" borderId="1" pivotButton="0" quotePrefix="0" xfId="0"/>
    <xf numFmtId="0" fontId="8" fillId="3" borderId="2" pivotButton="0" quotePrefix="0" xfId="0"/>
    <xf numFmtId="164" fontId="8" fillId="3" borderId="2" pivotButton="0" quotePrefix="0" xfId="0"/>
    <xf numFmtId="164" fontId="11" fillId="3" borderId="2" pivotButton="0" quotePrefix="0" xfId="0"/>
    <xf numFmtId="49" fontId="0" fillId="0" borderId="0" pivotButton="0" quotePrefix="0" xfId="0"/>
    <xf numFmtId="168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6" fillId="0" borderId="0" pivotButton="0" quotePrefix="0" xfId="0"/>
    <xf numFmtId="164" fontId="6" fillId="0" borderId="2" pivotButton="0" quotePrefix="0" xfId="0"/>
    <xf numFmtId="166" fontId="6" fillId="0" borderId="2" pivotButton="0" quotePrefix="0" xfId="0"/>
    <xf numFmtId="0" fontId="3" fillId="0" borderId="0" pivotButton="0" quotePrefix="0" xfId="0"/>
    <xf numFmtId="0" fontId="6" fillId="0" borderId="1" pivotButton="0" quotePrefix="0" xfId="0"/>
    <xf numFmtId="165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0" fillId="0" borderId="0" applyAlignment="1" pivotButton="0" quotePrefix="0" xfId="0">
      <alignment vertical="top" inden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fourth sheet: September 2026 against August 2026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3" t="inlineStr">
        <is>
          <t>Headline number</t>
        </is>
      </c>
      <c r="B5" s="4" t="inlineStr">
        <is>
          <t>Sep 2026</t>
        </is>
      </c>
      <c r="C5" s="4" t="inlineStr">
        <is>
          <t>Aug 2026</t>
        </is>
      </c>
      <c r="D5" s="4" t="inlineStr">
        <is>
          <t>Change</t>
        </is>
      </c>
    </row>
    <row r="6">
      <c r="A6" t="inlineStr">
        <is>
          <t>Gross margin</t>
        </is>
      </c>
      <c r="B6" s="5">
        <f>Workings!B13</f>
        <v/>
      </c>
      <c r="C6" s="5">
        <f>Workings!C13</f>
        <v/>
      </c>
      <c r="D6" s="5">
        <f>B6-C6</f>
        <v/>
      </c>
    </row>
    <row r="7">
      <c r="A7" t="inlineStr">
        <is>
          <t>Cost to win a customer</t>
        </is>
      </c>
      <c r="B7" s="6">
        <f>Workings!B22</f>
        <v/>
      </c>
      <c r="C7" s="6">
        <f>Workings!C22</f>
        <v/>
      </c>
      <c r="D7" s="6">
        <f>B7-C7</f>
        <v/>
      </c>
    </row>
    <row r="8">
      <c r="A8" t="inlineStr">
        <is>
          <t>Technician time on jobs</t>
        </is>
      </c>
      <c r="B8" s="5">
        <f>Workings!B33</f>
        <v/>
      </c>
      <c r="C8" s="5">
        <f>Workings!C33</f>
        <v/>
      </c>
      <c r="D8" s="5">
        <f>B8-C8</f>
        <v/>
      </c>
    </row>
    <row r="9"/>
    <row r="10"/>
    <row r="11">
      <c r="A11" s="7" t="inlineStr">
        <is>
          <t>Margin on each installation job invoiced in September 2026</t>
        </is>
      </c>
    </row>
    <row r="12">
      <c r="A12" s="2" t="inlineStr">
        <is>
          <t>Whole job, recognised when invoiced: revenue less materials, subcontractors and technician time at $68/hour. One 35.0% target for every job for now.</t>
        </is>
      </c>
    </row>
    <row r="13">
      <c r="A13" s="3" t="inlineStr"/>
      <c r="B13" s="4" t="inlineStr">
        <is>
          <t>Margin %</t>
        </is>
      </c>
      <c r="C13" s="4" t="inlineStr">
        <is>
          <t>Gross profit $</t>
        </is>
      </c>
    </row>
    <row r="14">
      <c r="A14" t="inlineStr">
        <is>
          <t>Bulimba EV chargers</t>
        </is>
      </c>
      <c r="B14" s="5">
        <f>Workings!B47</f>
        <v/>
      </c>
      <c r="C14" s="6">
        <f>Workings!B46</f>
        <v/>
      </c>
    </row>
    <row r="15">
      <c r="A15" t="inlineStr">
        <is>
          <t>Milton office LED lighting</t>
        </is>
      </c>
      <c r="B15" s="5">
        <f>Workings!B60</f>
        <v/>
      </c>
      <c r="C15" s="6">
        <f>Workings!B59</f>
        <v/>
      </c>
    </row>
    <row r="16">
      <c r="A16" t="inlineStr">
        <is>
          <t>Chermside clinic cabling</t>
        </is>
      </c>
      <c r="B16" s="5">
        <f>Workings!B73</f>
        <v/>
      </c>
      <c r="C16" s="6">
        <f>Workings!B72</f>
        <v/>
      </c>
    </row>
    <row r="17">
      <c r="A17" t="inlineStr">
        <is>
          <t>West End cafe air-con</t>
        </is>
      </c>
      <c r="B17" s="5">
        <f>Workings!B86</f>
        <v/>
      </c>
      <c r="C17" s="6">
        <f>Workings!B85</f>
        <v/>
      </c>
    </row>
    <row r="18">
      <c r="A18" t="inlineStr">
        <is>
          <t>Carindale solar and battery</t>
        </is>
      </c>
      <c r="B18" s="5">
        <f>Workings!B99</f>
        <v/>
      </c>
      <c r="C18" s="6">
        <f>Workings!B98</f>
        <v/>
      </c>
    </row>
    <row r="19">
      <c r="A19" t="inlineStr">
        <is>
          <t>Wacol warehouse switchboard</t>
        </is>
      </c>
      <c r="B19" s="5">
        <f>Workings!B112</f>
        <v/>
      </c>
      <c r="C19" s="6">
        <f>Workings!B111</f>
        <v/>
      </c>
    </row>
    <row r="20">
      <c r="A20" s="8" t="inlineStr">
        <is>
          <t>Target</t>
        </is>
      </c>
      <c r="B20" s="5" t="n">
        <v>0.35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trades-sample-statements.xlsx&amp;C&amp;8 Data retrieved 2pm, Tue 6 Oct 2026&amp;R&amp;8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Profit and loss, September 2026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9" t="inlineStr">
        <is>
          <t>Revenue</t>
        </is>
      </c>
    </row>
    <row r="6">
      <c r="A6" s="10" t="inlineStr">
        <is>
          <t>Maintenance contracts (14)</t>
        </is>
      </c>
      <c r="B6" s="6" t="n">
        <v>40500</v>
      </c>
      <c r="C6" s="6" t="n">
        <v>40500</v>
      </c>
      <c r="D6" s="11">
        <f>B6-C6</f>
        <v/>
      </c>
    </row>
    <row r="7">
      <c r="A7" s="10" t="inlineStr">
        <is>
          <t>Installations (jobs)</t>
        </is>
      </c>
      <c r="B7" s="6" t="n">
        <v>130700</v>
      </c>
      <c r="C7" s="6" t="n">
        <v>109600</v>
      </c>
      <c r="D7" s="11">
        <f>B7-C7</f>
        <v/>
      </c>
    </row>
    <row r="8">
      <c r="A8" s="10" t="inlineStr">
        <is>
          <t>Call-outs and repairs</t>
        </is>
      </c>
      <c r="B8" s="6" t="n">
        <v>31137</v>
      </c>
      <c r="C8" s="6" t="n">
        <v>28907</v>
      </c>
      <c r="D8" s="11">
        <f>B8-C8</f>
        <v/>
      </c>
    </row>
    <row r="9">
      <c r="A9" s="12" t="inlineStr">
        <is>
          <t>Total revenue</t>
        </is>
      </c>
      <c r="B9" s="13">
        <f>SUM(B6:B8)</f>
        <v/>
      </c>
      <c r="C9" s="13">
        <f>SUM(C6:C8)</f>
        <v/>
      </c>
      <c r="D9" s="14">
        <f>B9-C9</f>
        <v/>
      </c>
    </row>
    <row r="10">
      <c r="A10" s="9" t="inlineStr">
        <is>
          <t>Cost of sales</t>
        </is>
      </c>
    </row>
    <row r="11">
      <c r="A11" s="10" t="inlineStr">
        <is>
          <t>Materials</t>
        </is>
      </c>
      <c r="B11" s="6" t="n">
        <v>-64860</v>
      </c>
      <c r="C11" s="6" t="n">
        <v>-51530</v>
      </c>
      <c r="D11" s="11">
        <f>B11-C11</f>
        <v/>
      </c>
    </row>
    <row r="12">
      <c r="A12" s="10" t="inlineStr">
        <is>
          <t>Subcontractors</t>
        </is>
      </c>
      <c r="B12" s="6" t="n">
        <v>-13200</v>
      </c>
      <c r="C12" s="6" t="n">
        <v>-9300</v>
      </c>
      <c r="D12" s="11">
        <f>B12-C12</f>
        <v/>
      </c>
    </row>
    <row r="13">
      <c r="A13" s="10" t="inlineStr">
        <is>
          <t>Technician wages (incl. super)</t>
        </is>
      </c>
      <c r="B13" s="6" t="n">
        <v>-54600</v>
      </c>
      <c r="C13" s="6" t="n">
        <v>-54600</v>
      </c>
      <c r="D13" s="11">
        <f>B13-C13</f>
        <v/>
      </c>
    </row>
    <row r="14">
      <c r="A14" s="12" t="inlineStr">
        <is>
          <t>Total cost of sales</t>
        </is>
      </c>
      <c r="B14" s="13">
        <f>SUM(B11:B13)</f>
        <v/>
      </c>
      <c r="C14" s="13">
        <f>SUM(C11:C13)</f>
        <v/>
      </c>
      <c r="D14" s="14">
        <f>B14-C14</f>
        <v/>
      </c>
    </row>
    <row r="15">
      <c r="A15" s="12" t="inlineStr">
        <is>
          <t>Gross profit</t>
        </is>
      </c>
      <c r="B15" s="13">
        <f>B9+B14</f>
        <v/>
      </c>
      <c r="C15" s="13">
        <f>C9+C14</f>
        <v/>
      </c>
      <c r="D15" s="14">
        <f>B15-C15</f>
        <v/>
      </c>
    </row>
    <row r="16">
      <c r="A16" s="9" t="inlineStr">
        <is>
          <t>Operating expenses</t>
        </is>
      </c>
    </row>
    <row r="17">
      <c r="A17" s="10" t="inlineStr">
        <is>
          <t>Office and admin wages</t>
        </is>
      </c>
      <c r="B17" s="6" t="n">
        <v>-21900</v>
      </c>
      <c r="C17" s="6" t="n">
        <v>-21900</v>
      </c>
      <c r="D17" s="11">
        <f>B17-C17</f>
        <v/>
      </c>
    </row>
    <row r="18">
      <c r="A18" s="10" t="inlineStr">
        <is>
          <t>Marketing</t>
        </is>
      </c>
      <c r="B18" s="6" t="n">
        <v>-7600</v>
      </c>
      <c r="C18" s="6" t="n">
        <v>-8400</v>
      </c>
      <c r="D18" s="11">
        <f>B18-C18</f>
        <v/>
      </c>
    </row>
    <row r="19">
      <c r="A19" s="10" t="inlineStr">
        <is>
          <t>Vehicles and fuel</t>
        </is>
      </c>
      <c r="B19" s="6" t="n">
        <v>-8300</v>
      </c>
      <c r="C19" s="6" t="n">
        <v>-7900</v>
      </c>
      <c r="D19" s="11">
        <f>B19-C19</f>
        <v/>
      </c>
    </row>
    <row r="20">
      <c r="A20" s="10" t="inlineStr">
        <is>
          <t>Rent and occupancy</t>
        </is>
      </c>
      <c r="B20" s="6" t="n">
        <v>-7000</v>
      </c>
      <c r="C20" s="6" t="n">
        <v>-7000</v>
      </c>
      <c r="D20" s="11">
        <f>B20-C20</f>
        <v/>
      </c>
    </row>
    <row r="21">
      <c r="A21" s="10" t="inlineStr">
        <is>
          <t>Insurance</t>
        </is>
      </c>
      <c r="B21" s="6" t="n">
        <v>-3000</v>
      </c>
      <c r="C21" s="6" t="n">
        <v>-3000</v>
      </c>
      <c r="D21" s="11">
        <f>B21-C21</f>
        <v/>
      </c>
    </row>
    <row r="22">
      <c r="A22" s="10" t="inlineStr">
        <is>
          <t>IT and software</t>
        </is>
      </c>
      <c r="B22" s="6" t="n">
        <v>-2300</v>
      </c>
      <c r="C22" s="6" t="n">
        <v>-2300</v>
      </c>
      <c r="D22" s="11">
        <f>B22-C22</f>
        <v/>
      </c>
    </row>
    <row r="23">
      <c r="A23" s="10" t="inlineStr">
        <is>
          <t>Other overheads</t>
        </is>
      </c>
      <c r="B23" s="6" t="n">
        <v>-3900</v>
      </c>
      <c r="C23" s="6" t="n">
        <v>-3600</v>
      </c>
      <c r="D23" s="11">
        <f>B23-C23</f>
        <v/>
      </c>
    </row>
    <row r="24">
      <c r="A24" s="12" t="inlineStr">
        <is>
          <t>Total operating expenses</t>
        </is>
      </c>
      <c r="B24" s="13">
        <f>SUM(B17:B23)</f>
        <v/>
      </c>
      <c r="C24" s="13">
        <f>SUM(C17:C23)</f>
        <v/>
      </c>
      <c r="D24" s="14">
        <f>B24-C24</f>
        <v/>
      </c>
    </row>
    <row r="25">
      <c r="A25" s="12" t="inlineStr">
        <is>
          <t>EBITDA</t>
        </is>
      </c>
      <c r="B25" s="13">
        <f>B15+B24</f>
        <v/>
      </c>
      <c r="C25" s="13">
        <f>C15+C24</f>
        <v/>
      </c>
      <c r="D25" s="14">
        <f>B25-C25</f>
        <v/>
      </c>
    </row>
    <row r="26">
      <c r="A26" s="12" t="inlineStr">
        <is>
          <t>Depreciation</t>
        </is>
      </c>
      <c r="B26" s="13" t="n">
        <v>-4500</v>
      </c>
      <c r="C26" s="13" t="n">
        <v>-4300</v>
      </c>
      <c r="D26" s="14">
        <f>B26-C26</f>
        <v/>
      </c>
    </row>
    <row r="27">
      <c r="A27" s="12" t="inlineStr">
        <is>
          <t>Interest</t>
        </is>
      </c>
      <c r="B27" s="13" t="n">
        <v>-1080</v>
      </c>
      <c r="C27" s="13" t="n">
        <v>-1100</v>
      </c>
      <c r="D27" s="14">
        <f>B27-C27</f>
        <v/>
      </c>
    </row>
    <row r="28">
      <c r="A28" s="12" t="inlineStr">
        <is>
          <t>Profit before tax</t>
        </is>
      </c>
      <c r="B28" s="13">
        <f>B25+B26+B27</f>
        <v/>
      </c>
      <c r="C28" s="13">
        <f>C25+C26+C27</f>
        <v/>
      </c>
      <c r="D28" s="14">
        <f>B28-C28</f>
        <v/>
      </c>
    </row>
    <row r="29">
      <c r="A29" s="12" t="inlineStr">
        <is>
          <t>Income tax provision (25%)</t>
        </is>
      </c>
      <c r="B29" s="13" t="n">
        <v>-2524</v>
      </c>
      <c r="C29" s="13" t="n">
        <v>-1019</v>
      </c>
      <c r="D29" s="14">
        <f>B29-C29</f>
        <v/>
      </c>
    </row>
    <row r="30">
      <c r="A30" s="15" t="inlineStr">
        <is>
          <t>Net profit after tax</t>
        </is>
      </c>
      <c r="B30" s="16">
        <f>B28+B29</f>
        <v/>
      </c>
      <c r="C30" s="16">
        <f>C28+C29</f>
        <v/>
      </c>
      <c r="D30" s="17">
        <f>B30-C30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trades-sample-statements.xlsx&amp;C&amp;8 Data retrieved 2pm, Tue 6 Oct 2026&amp;R&amp;8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sheet at 30 September 2026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9" t="inlineStr">
        <is>
          <t>Current assets</t>
        </is>
      </c>
    </row>
    <row r="6">
      <c r="A6" s="10" t="inlineStr">
        <is>
          <t>Cash at bank</t>
        </is>
      </c>
      <c r="B6" s="6" t="n">
        <v>59746</v>
      </c>
      <c r="C6" s="6" t="n">
        <v>65263</v>
      </c>
      <c r="D6" s="11">
        <f>B6-C6</f>
        <v/>
      </c>
    </row>
    <row r="7">
      <c r="A7" s="10" t="inlineStr">
        <is>
          <t>Trade debtors (unpaid invoices)</t>
        </is>
      </c>
      <c r="B7" s="6" t="n">
        <v>151063</v>
      </c>
      <c r="C7" s="6" t="n">
        <v>129819</v>
      </c>
      <c r="D7" s="11">
        <f>B7-C7</f>
        <v/>
      </c>
    </row>
    <row r="8">
      <c r="A8" s="10" t="inlineStr">
        <is>
          <t>Materials on hand</t>
        </is>
      </c>
      <c r="B8" s="6" t="n">
        <v>66000</v>
      </c>
      <c r="C8" s="6" t="n">
        <v>66000</v>
      </c>
      <c r="D8" s="11">
        <f>B8-C8</f>
        <v/>
      </c>
    </row>
    <row r="9">
      <c r="A9" s="10" t="inlineStr">
        <is>
          <t>Prepayments</t>
        </is>
      </c>
      <c r="B9" s="6" t="n">
        <v>21000</v>
      </c>
      <c r="C9" s="6" t="n">
        <v>21000</v>
      </c>
      <c r="D9" s="11">
        <f>B9-C9</f>
        <v/>
      </c>
    </row>
    <row r="10">
      <c r="A10" s="12" t="inlineStr">
        <is>
          <t>Total current assets</t>
        </is>
      </c>
      <c r="B10" s="13">
        <f>SUM(B6:B9)</f>
        <v/>
      </c>
      <c r="C10" s="13">
        <f>SUM(C6:C9)</f>
        <v/>
      </c>
      <c r="D10" s="14">
        <f>B10-C10</f>
        <v/>
      </c>
    </row>
    <row r="11">
      <c r="A11" s="12" t="inlineStr">
        <is>
          <t>Vehicles and equipment</t>
        </is>
      </c>
      <c r="B11" s="13" t="n">
        <v>255200</v>
      </c>
      <c r="C11" s="13" t="n">
        <v>247700</v>
      </c>
      <c r="D11" s="14">
        <f>B11-C11</f>
        <v/>
      </c>
    </row>
    <row r="12">
      <c r="A12" s="12" t="inlineStr">
        <is>
          <t>Total assets</t>
        </is>
      </c>
      <c r="B12" s="13">
        <f>B10+B11</f>
        <v/>
      </c>
      <c r="C12" s="13">
        <f>C10+C11</f>
        <v/>
      </c>
      <c r="D12" s="14">
        <f>B12-C12</f>
        <v/>
      </c>
    </row>
    <row r="13">
      <c r="A13" s="9" t="inlineStr">
        <is>
          <t>Current liabilities</t>
        </is>
      </c>
    </row>
    <row r="14">
      <c r="A14" s="10" t="inlineStr">
        <is>
          <t>Trade creditors (bills due next month)</t>
        </is>
      </c>
      <c r="B14" s="6" t="n">
        <v>78060</v>
      </c>
      <c r="C14" s="6" t="n">
        <v>60830</v>
      </c>
      <c r="D14" s="11">
        <f>B14-C14</f>
        <v/>
      </c>
    </row>
    <row r="15">
      <c r="A15" s="10" t="inlineStr">
        <is>
          <t>Employee leave provisions</t>
        </is>
      </c>
      <c r="B15" s="6" t="n">
        <v>106000</v>
      </c>
      <c r="C15" s="6" t="n">
        <v>105100</v>
      </c>
      <c r="D15" s="11">
        <f>B15-C15</f>
        <v/>
      </c>
    </row>
    <row r="16">
      <c r="A16" s="10" t="inlineStr">
        <is>
          <t>Income tax payable</t>
        </is>
      </c>
      <c r="B16" s="6" t="n">
        <v>35043</v>
      </c>
      <c r="C16" s="6" t="n">
        <v>32519</v>
      </c>
      <c r="D16" s="11">
        <f>B16-C16</f>
        <v/>
      </c>
    </row>
    <row r="17">
      <c r="A17" s="12" t="inlineStr">
        <is>
          <t>Total current liabilities</t>
        </is>
      </c>
      <c r="B17" s="13">
        <f>SUM(B14:B16)</f>
        <v/>
      </c>
      <c r="C17" s="13">
        <f>SUM(C14:C16)</f>
        <v/>
      </c>
      <c r="D17" s="14">
        <f>B17-C17</f>
        <v/>
      </c>
    </row>
    <row r="18">
      <c r="A18" s="12" t="inlineStr">
        <is>
          <t>Equipment finance</t>
        </is>
      </c>
      <c r="B18" s="13" t="n">
        <v>95000</v>
      </c>
      <c r="C18" s="13" t="n">
        <v>100000</v>
      </c>
      <c r="D18" s="14">
        <f>B18-C18</f>
        <v/>
      </c>
    </row>
    <row r="19">
      <c r="A19" s="12" t="inlineStr">
        <is>
          <t>Total liabilities</t>
        </is>
      </c>
      <c r="B19" s="13">
        <f>B17+B18</f>
        <v/>
      </c>
      <c r="C19" s="13">
        <f>C17+C18</f>
        <v/>
      </c>
      <c r="D19" s="14">
        <f>B19-C19</f>
        <v/>
      </c>
    </row>
    <row r="20">
      <c r="A20" s="15" t="inlineStr">
        <is>
          <t>Net assets</t>
        </is>
      </c>
      <c r="B20" s="16">
        <f>B12-B19</f>
        <v/>
      </c>
      <c r="C20" s="16">
        <f>C12-C19</f>
        <v/>
      </c>
      <c r="D20" s="17">
        <f>B20-C20</f>
        <v/>
      </c>
    </row>
    <row r="21">
      <c r="A21" s="9" t="inlineStr">
        <is>
          <t>Equity</t>
        </is>
      </c>
    </row>
    <row r="22">
      <c r="A22" s="10" t="inlineStr">
        <is>
          <t>Share capital</t>
        </is>
      </c>
      <c r="B22" s="6" t="n">
        <v>10000</v>
      </c>
      <c r="C22" s="6" t="n">
        <v>10000</v>
      </c>
      <c r="D22" s="11">
        <f>B22-C22</f>
        <v/>
      </c>
    </row>
    <row r="23">
      <c r="A23" s="10" t="inlineStr">
        <is>
          <t>Retained earnings</t>
        </is>
      </c>
      <c r="B23" s="6" t="n">
        <v>228906</v>
      </c>
      <c r="C23" s="6" t="n">
        <v>221333</v>
      </c>
      <c r="D23" s="11">
        <f>B23-C23</f>
        <v/>
      </c>
    </row>
    <row r="24">
      <c r="A24" s="15" t="inlineStr">
        <is>
          <t>Total equity</t>
        </is>
      </c>
      <c r="B24" s="16">
        <f>SUM(B22:B23)</f>
        <v/>
      </c>
      <c r="C24" s="16">
        <f>SUM(C22:C23)</f>
        <v/>
      </c>
      <c r="D24" s="17">
        <f>B24-C24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trades-sample-statements.xlsx&amp;C&amp;8 Data retrieved 2pm, Tue 6 Oct 2026&amp;R&amp;8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Cash flow, September 2026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9" t="inlineStr">
        <is>
          <t>Operating activities</t>
        </is>
      </c>
    </row>
    <row r="6">
      <c r="A6" s="10" t="inlineStr">
        <is>
          <t>Receipts from customers (invoices paid)</t>
        </is>
      </c>
      <c r="B6" s="6" t="n">
        <v>181093</v>
      </c>
      <c r="C6" s="6" t="n">
        <v>156273</v>
      </c>
      <c r="D6" s="11">
        <f>B6-C6</f>
        <v/>
      </c>
    </row>
    <row r="7">
      <c r="A7" s="10" t="inlineStr">
        <is>
          <t>Payments to suppliers</t>
        </is>
      </c>
      <c r="B7" s="6" t="n">
        <v>-92930</v>
      </c>
      <c r="C7" s="6" t="n">
        <v>-97510</v>
      </c>
      <c r="D7" s="11">
        <f>B7-C7</f>
        <v/>
      </c>
    </row>
    <row r="8">
      <c r="A8" s="10" t="inlineStr">
        <is>
          <t>Payments to employees</t>
        </is>
      </c>
      <c r="B8" s="6" t="n">
        <v>-75600</v>
      </c>
      <c r="C8" s="6" t="n">
        <v>-75400</v>
      </c>
      <c r="D8" s="11">
        <f>B8-C8</f>
        <v/>
      </c>
    </row>
    <row r="9">
      <c r="A9" s="10" t="inlineStr">
        <is>
          <t>Interest paid</t>
        </is>
      </c>
      <c r="B9" s="6" t="n">
        <v>-1080</v>
      </c>
      <c r="C9" s="6" t="n">
        <v>-1100</v>
      </c>
      <c r="D9" s="11">
        <f>B9-C9</f>
        <v/>
      </c>
    </row>
    <row r="10">
      <c r="A10" s="10" t="inlineStr">
        <is>
          <t>Income tax paid</t>
        </is>
      </c>
      <c r="B10" s="6" t="n">
        <v>0</v>
      </c>
      <c r="C10" s="6" t="n">
        <v>0</v>
      </c>
      <c r="D10" s="11">
        <f>B10-C10</f>
        <v/>
      </c>
    </row>
    <row r="11">
      <c r="A11" s="12" t="inlineStr">
        <is>
          <t>Net cash from operating activities</t>
        </is>
      </c>
      <c r="B11" s="13">
        <f>SUM(B6:B10)</f>
        <v/>
      </c>
      <c r="C11" s="13">
        <f>SUM(C6:C10)</f>
        <v/>
      </c>
      <c r="D11" s="14">
        <f>B11-C11</f>
        <v/>
      </c>
    </row>
    <row r="12">
      <c r="A12" s="9" t="inlineStr">
        <is>
          <t>Investing activities</t>
        </is>
      </c>
    </row>
    <row r="13">
      <c r="A13" s="10" t="inlineStr">
        <is>
          <t>Purchase of vehicles and equipment</t>
        </is>
      </c>
      <c r="B13" s="6" t="n">
        <v>-12000</v>
      </c>
      <c r="C13" s="6" t="n">
        <v>0</v>
      </c>
      <c r="D13" s="11">
        <f>B13-C13</f>
        <v/>
      </c>
    </row>
    <row r="14">
      <c r="A14" s="12" t="inlineStr">
        <is>
          <t>Net cash from investing activities</t>
        </is>
      </c>
      <c r="B14" s="13">
        <f>SUM(B13:B13)</f>
        <v/>
      </c>
      <c r="C14" s="13">
        <f>SUM(C13:C13)</f>
        <v/>
      </c>
      <c r="D14" s="14">
        <f>B14-C14</f>
        <v/>
      </c>
    </row>
    <row r="15">
      <c r="A15" s="9" t="inlineStr">
        <is>
          <t>Financing activities</t>
        </is>
      </c>
    </row>
    <row r="16">
      <c r="A16" s="10" t="inlineStr">
        <is>
          <t>Equipment finance repaid</t>
        </is>
      </c>
      <c r="B16" s="6" t="n">
        <v>-5000</v>
      </c>
      <c r="C16" s="6" t="n">
        <v>-5000</v>
      </c>
      <c r="D16" s="11">
        <f>B16-C16</f>
        <v/>
      </c>
    </row>
    <row r="17">
      <c r="A17" s="12" t="inlineStr">
        <is>
          <t>Net cash from financing activities</t>
        </is>
      </c>
      <c r="B17" s="13">
        <f>SUM(B16:B16)</f>
        <v/>
      </c>
      <c r="C17" s="13">
        <f>SUM(C16:C16)</f>
        <v/>
      </c>
      <c r="D17" s="14">
        <f>B17-C17</f>
        <v/>
      </c>
    </row>
    <row r="18">
      <c r="A18" s="12" t="inlineStr">
        <is>
          <t>Net change in cash</t>
        </is>
      </c>
      <c r="B18" s="13">
        <f>B11+B14+B17</f>
        <v/>
      </c>
      <c r="C18" s="13">
        <f>C11+C14+C17</f>
        <v/>
      </c>
      <c r="D18" s="14">
        <f>B18-C18</f>
        <v/>
      </c>
    </row>
    <row r="19">
      <c r="A19" s="12" t="inlineStr">
        <is>
          <t>Cash at start of month</t>
        </is>
      </c>
      <c r="B19" s="13" t="n">
        <v>65263</v>
      </c>
      <c r="C19" s="13" t="n">
        <v>88000</v>
      </c>
      <c r="D19" s="14">
        <f>B19-C19</f>
        <v/>
      </c>
    </row>
    <row r="20">
      <c r="A20" s="15" t="inlineStr">
        <is>
          <t>Cash at end of month</t>
        </is>
      </c>
      <c r="B20" s="16">
        <f>B19+B18</f>
        <v/>
      </c>
      <c r="C20" s="16">
        <f>C19+C18</f>
        <v/>
      </c>
      <c r="D20" s="17">
        <f>B20-C20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trades-sample-statements.xlsx&amp;C&amp;8 Data retrieved 2pm, Tue 6 Oct 2026&amp;R&amp;8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6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Jobs, September and August 2026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>
      <c r="A4" t="inlineStr">
        <is>
          <t>Technician cost rate ($ per hour)</t>
        </is>
      </c>
      <c r="B4" s="6" t="n">
        <v>68</v>
      </c>
    </row>
    <row r="5"/>
    <row r="6">
      <c r="A6" s="3" t="inlineStr">
        <is>
          <t>Month</t>
        </is>
      </c>
      <c r="B6" s="4" t="inlineStr">
        <is>
          <t>Job</t>
        </is>
      </c>
      <c r="C6" s="4" t="inlineStr">
        <is>
          <t>Type</t>
        </is>
      </c>
      <c r="D6" s="4" t="inlineStr">
        <is>
          <t>Invoiced</t>
        </is>
      </c>
      <c r="E6" s="4" t="inlineStr">
        <is>
          <t>Paid</t>
        </is>
      </c>
      <c r="F6" s="4" t="inlineStr">
        <is>
          <t>Revenue</t>
        </is>
      </c>
      <c r="G6" s="4" t="inlineStr">
        <is>
          <t>Materials</t>
        </is>
      </c>
      <c r="H6" s="4" t="inlineStr">
        <is>
          <t>Subcontractors</t>
        </is>
      </c>
      <c r="I6" s="4" t="inlineStr">
        <is>
          <t>Tech hours</t>
        </is>
      </c>
      <c r="J6" s="4" t="inlineStr">
        <is>
          <t>Labour cost</t>
        </is>
      </c>
      <c r="K6" s="4" t="inlineStr">
        <is>
          <t>Gross profit</t>
        </is>
      </c>
      <c r="L6" s="4" t="inlineStr">
        <is>
          <t>Margin %</t>
        </is>
      </c>
    </row>
    <row r="7">
      <c r="A7" s="18" t="inlineStr">
        <is>
          <t>2026-09</t>
        </is>
      </c>
      <c r="B7" s="18" t="inlineStr">
        <is>
          <t>Call-out 1, September</t>
        </is>
      </c>
      <c r="C7" s="18" t="inlineStr">
        <is>
          <t>Call-out</t>
        </is>
      </c>
      <c r="D7" s="19" t="n">
        <v>46273</v>
      </c>
      <c r="E7" s="19" t="n">
        <v>46273</v>
      </c>
      <c r="F7" s="20" t="n">
        <v>589</v>
      </c>
      <c r="G7" s="20" t="n">
        <v>230</v>
      </c>
      <c r="H7" s="20" t="n">
        <v>0</v>
      </c>
      <c r="I7" s="21" t="n">
        <v>2</v>
      </c>
      <c r="J7" s="20">
        <f>I7*$B$4</f>
        <v/>
      </c>
      <c r="K7" s="20">
        <f>F7-G7-H7-J7</f>
        <v/>
      </c>
      <c r="L7" s="22">
        <f>IF(F7=0,"",K7/F7)</f>
        <v/>
      </c>
    </row>
    <row r="8">
      <c r="A8" s="18" t="inlineStr">
        <is>
          <t>2026-09</t>
        </is>
      </c>
      <c r="B8" s="18" t="inlineStr">
        <is>
          <t>Call-out 10, September</t>
        </is>
      </c>
      <c r="C8" s="18" t="inlineStr">
        <is>
          <t>Call-out</t>
        </is>
      </c>
      <c r="D8" s="19" t="n">
        <v>46282</v>
      </c>
      <c r="E8" s="19" t="n">
        <v>46284</v>
      </c>
      <c r="F8" s="20" t="n">
        <v>539</v>
      </c>
      <c r="G8" s="20" t="n">
        <v>80</v>
      </c>
      <c r="H8" s="20" t="n">
        <v>0</v>
      </c>
      <c r="I8" s="21" t="n">
        <v>3</v>
      </c>
      <c r="J8" s="20">
        <f>I8*$B$4</f>
        <v/>
      </c>
      <c r="K8" s="20">
        <f>F8-G8-H8-J8</f>
        <v/>
      </c>
      <c r="L8" s="22">
        <f>IF(F8=0,"",K8/F8)</f>
        <v/>
      </c>
    </row>
    <row r="9">
      <c r="A9" s="18" t="inlineStr">
        <is>
          <t>2026-09</t>
        </is>
      </c>
      <c r="B9" s="18" t="inlineStr">
        <is>
          <t>Call-out 11, September</t>
        </is>
      </c>
      <c r="C9" s="18" t="inlineStr">
        <is>
          <t>Call-out</t>
        </is>
      </c>
      <c r="D9" s="19" t="n">
        <v>46289</v>
      </c>
      <c r="E9" s="19" t="n">
        <v>46296</v>
      </c>
      <c r="F9" s="20" t="n">
        <v>526</v>
      </c>
      <c r="G9" s="20" t="n">
        <v>70</v>
      </c>
      <c r="H9" s="20" t="n">
        <v>0</v>
      </c>
      <c r="I9" s="21" t="n">
        <v>3</v>
      </c>
      <c r="J9" s="20">
        <f>I9*$B$4</f>
        <v/>
      </c>
      <c r="K9" s="20">
        <f>F9-G9-H9-J9</f>
        <v/>
      </c>
      <c r="L9" s="22">
        <f>IF(F9=0,"",K9/F9)</f>
        <v/>
      </c>
    </row>
    <row r="10">
      <c r="A10" s="18" t="inlineStr">
        <is>
          <t>2026-09</t>
        </is>
      </c>
      <c r="B10" s="18" t="inlineStr">
        <is>
          <t>Call-out 12, September</t>
        </is>
      </c>
      <c r="C10" s="18" t="inlineStr">
        <is>
          <t>Call-out</t>
        </is>
      </c>
      <c r="D10" s="19" t="n">
        <v>46282</v>
      </c>
      <c r="E10" s="19" t="n">
        <v>46289</v>
      </c>
      <c r="F10" s="20" t="n">
        <v>413</v>
      </c>
      <c r="G10" s="20" t="n">
        <v>150</v>
      </c>
      <c r="H10" s="20" t="n">
        <v>0</v>
      </c>
      <c r="I10" s="21" t="n">
        <v>1.5</v>
      </c>
      <c r="J10" s="20">
        <f>I10*$B$4</f>
        <v/>
      </c>
      <c r="K10" s="20">
        <f>F10-G10-H10-J10</f>
        <v/>
      </c>
      <c r="L10" s="22">
        <f>IF(F10=0,"",K10/F10)</f>
        <v/>
      </c>
    </row>
    <row r="11">
      <c r="A11" s="18" t="inlineStr">
        <is>
          <t>2026-09</t>
        </is>
      </c>
      <c r="B11" s="18" t="inlineStr">
        <is>
          <t>Call-out 13, September</t>
        </is>
      </c>
      <c r="C11" s="18" t="inlineStr">
        <is>
          <t>Call-out</t>
        </is>
      </c>
      <c r="D11" s="19" t="n">
        <v>46269</v>
      </c>
      <c r="E11" s="19" t="n">
        <v>46269</v>
      </c>
      <c r="F11" s="20" t="n">
        <v>775</v>
      </c>
      <c r="G11" s="20" t="n">
        <v>150</v>
      </c>
      <c r="H11" s="20" t="n">
        <v>0</v>
      </c>
      <c r="I11" s="21" t="n">
        <v>4</v>
      </c>
      <c r="J11" s="20">
        <f>I11*$B$4</f>
        <v/>
      </c>
      <c r="K11" s="20">
        <f>F11-G11-H11-J11</f>
        <v/>
      </c>
      <c r="L11" s="22">
        <f>IF(F11=0,"",K11/F11)</f>
        <v/>
      </c>
    </row>
    <row r="12">
      <c r="A12" s="18" t="inlineStr">
        <is>
          <t>2026-09</t>
        </is>
      </c>
      <c r="B12" s="18" t="inlineStr">
        <is>
          <t>Call-out 14, September</t>
        </is>
      </c>
      <c r="C12" s="18" t="inlineStr">
        <is>
          <t>Call-out</t>
        </is>
      </c>
      <c r="D12" s="19" t="n">
        <v>46269</v>
      </c>
      <c r="E12" s="19" t="n">
        <v>46269</v>
      </c>
      <c r="F12" s="20" t="n">
        <v>348</v>
      </c>
      <c r="G12" s="20" t="n">
        <v>100</v>
      </c>
      <c r="H12" s="20" t="n">
        <v>0</v>
      </c>
      <c r="I12" s="21" t="n">
        <v>1.5</v>
      </c>
      <c r="J12" s="20">
        <f>I12*$B$4</f>
        <v/>
      </c>
      <c r="K12" s="20">
        <f>F12-G12-H12-J12</f>
        <v/>
      </c>
      <c r="L12" s="22">
        <f>IF(F12=0,"",K12/F12)</f>
        <v/>
      </c>
    </row>
    <row r="13">
      <c r="A13" s="18" t="inlineStr">
        <is>
          <t>2026-09</t>
        </is>
      </c>
      <c r="B13" s="18" t="inlineStr">
        <is>
          <t>Call-out 15, September</t>
        </is>
      </c>
      <c r="C13" s="18" t="inlineStr">
        <is>
          <t>Call-out</t>
        </is>
      </c>
      <c r="D13" s="19" t="n">
        <v>46280</v>
      </c>
      <c r="E13" s="19" t="n">
        <v>46310</v>
      </c>
      <c r="F13" s="20" t="n">
        <v>775</v>
      </c>
      <c r="G13" s="20" t="n">
        <v>150</v>
      </c>
      <c r="H13" s="20" t="n">
        <v>0</v>
      </c>
      <c r="I13" s="21" t="n">
        <v>4</v>
      </c>
      <c r="J13" s="20">
        <f>I13*$B$4</f>
        <v/>
      </c>
      <c r="K13" s="20">
        <f>F13-G13-H13-J13</f>
        <v/>
      </c>
      <c r="L13" s="22">
        <f>IF(F13=0,"",K13/F13)</f>
        <v/>
      </c>
    </row>
    <row r="14">
      <c r="A14" s="18" t="inlineStr">
        <is>
          <t>2026-09</t>
        </is>
      </c>
      <c r="B14" s="18" t="inlineStr">
        <is>
          <t>Call-out 16, September</t>
        </is>
      </c>
      <c r="C14" s="18" t="inlineStr">
        <is>
          <t>Call-out</t>
        </is>
      </c>
      <c r="D14" s="19" t="n">
        <v>46266</v>
      </c>
      <c r="E14" s="19" t="n">
        <v>46273</v>
      </c>
      <c r="F14" s="20" t="n">
        <v>368</v>
      </c>
      <c r="G14" s="20" t="n">
        <v>60</v>
      </c>
      <c r="H14" s="20" t="n">
        <v>0</v>
      </c>
      <c r="I14" s="21" t="n">
        <v>2</v>
      </c>
      <c r="J14" s="20">
        <f>I14*$B$4</f>
        <v/>
      </c>
      <c r="K14" s="20">
        <f>F14-G14-H14-J14</f>
        <v/>
      </c>
      <c r="L14" s="22">
        <f>IF(F14=0,"",K14/F14)</f>
        <v/>
      </c>
    </row>
    <row r="15">
      <c r="A15" s="18" t="inlineStr">
        <is>
          <t>2026-09</t>
        </is>
      </c>
      <c r="B15" s="18" t="inlineStr">
        <is>
          <t>Call-out 17, September</t>
        </is>
      </c>
      <c r="C15" s="18" t="inlineStr">
        <is>
          <t>Call-out</t>
        </is>
      </c>
      <c r="D15" s="19" t="n">
        <v>46273</v>
      </c>
      <c r="E15" s="19" t="n">
        <v>46280</v>
      </c>
      <c r="F15" s="20" t="n">
        <v>526</v>
      </c>
      <c r="G15" s="20" t="n">
        <v>70</v>
      </c>
      <c r="H15" s="20" t="n">
        <v>0</v>
      </c>
      <c r="I15" s="21" t="n">
        <v>3</v>
      </c>
      <c r="J15" s="20">
        <f>I15*$B$4</f>
        <v/>
      </c>
      <c r="K15" s="20">
        <f>F15-G15-H15-J15</f>
        <v/>
      </c>
      <c r="L15" s="22">
        <f>IF(F15=0,"",K15/F15)</f>
        <v/>
      </c>
    </row>
    <row r="16">
      <c r="A16" s="18" t="inlineStr">
        <is>
          <t>2026-09</t>
        </is>
      </c>
      <c r="B16" s="18" t="inlineStr">
        <is>
          <t>Call-out 18, September</t>
        </is>
      </c>
      <c r="C16" s="18" t="inlineStr">
        <is>
          <t>Call-out</t>
        </is>
      </c>
      <c r="D16" s="19" t="n">
        <v>46271</v>
      </c>
      <c r="E16" s="19" t="n">
        <v>46271</v>
      </c>
      <c r="F16" s="20" t="n">
        <v>467</v>
      </c>
      <c r="G16" s="20" t="n">
        <v>80</v>
      </c>
      <c r="H16" s="20" t="n">
        <v>0</v>
      </c>
      <c r="I16" s="21" t="n">
        <v>2.5</v>
      </c>
      <c r="J16" s="20">
        <f>I16*$B$4</f>
        <v/>
      </c>
      <c r="K16" s="20">
        <f>F16-G16-H16-J16</f>
        <v/>
      </c>
      <c r="L16" s="22">
        <f>IF(F16=0,"",K16/F16)</f>
        <v/>
      </c>
    </row>
    <row r="17">
      <c r="A17" s="18" t="inlineStr">
        <is>
          <t>2026-09</t>
        </is>
      </c>
      <c r="B17" s="18" t="inlineStr">
        <is>
          <t>Call-out 19, September</t>
        </is>
      </c>
      <c r="C17" s="18" t="inlineStr">
        <is>
          <t>Call-out</t>
        </is>
      </c>
      <c r="D17" s="19" t="n">
        <v>46288</v>
      </c>
      <c r="E17" s="19" t="n">
        <v>46288</v>
      </c>
      <c r="F17" s="20" t="n">
        <v>589</v>
      </c>
      <c r="G17" s="20" t="n">
        <v>230</v>
      </c>
      <c r="H17" s="20" t="n">
        <v>0</v>
      </c>
      <c r="I17" s="21" t="n">
        <v>2</v>
      </c>
      <c r="J17" s="20">
        <f>I17*$B$4</f>
        <v/>
      </c>
      <c r="K17" s="20">
        <f>F17-G17-H17-J17</f>
        <v/>
      </c>
      <c r="L17" s="22">
        <f>IF(F17=0,"",K17/F17)</f>
        <v/>
      </c>
    </row>
    <row r="18">
      <c r="A18" s="18" t="inlineStr">
        <is>
          <t>2026-09</t>
        </is>
      </c>
      <c r="B18" s="18" t="inlineStr">
        <is>
          <t>Call-out 2, September</t>
        </is>
      </c>
      <c r="C18" s="18" t="inlineStr">
        <is>
          <t>Call-out</t>
        </is>
      </c>
      <c r="D18" s="19" t="n">
        <v>46280</v>
      </c>
      <c r="E18" s="19" t="n">
        <v>46280</v>
      </c>
      <c r="F18" s="20" t="n">
        <v>604</v>
      </c>
      <c r="G18" s="20" t="n">
        <v>130</v>
      </c>
      <c r="H18" s="20" t="n">
        <v>0</v>
      </c>
      <c r="I18" s="21" t="n">
        <v>3</v>
      </c>
      <c r="J18" s="20">
        <f>I18*$B$4</f>
        <v/>
      </c>
      <c r="K18" s="20">
        <f>F18-G18-H18-J18</f>
        <v/>
      </c>
      <c r="L18" s="22">
        <f>IF(F18=0,"",K18/F18)</f>
        <v/>
      </c>
    </row>
    <row r="19">
      <c r="A19" s="18" t="inlineStr">
        <is>
          <t>2026-09</t>
        </is>
      </c>
      <c r="B19" s="18" t="inlineStr">
        <is>
          <t>Call-out 20, September</t>
        </is>
      </c>
      <c r="C19" s="18" t="inlineStr">
        <is>
          <t>Call-out</t>
        </is>
      </c>
      <c r="D19" s="19" t="n">
        <v>46289</v>
      </c>
      <c r="E19" s="19" t="n">
        <v>46296</v>
      </c>
      <c r="F19" s="20" t="n">
        <v>342</v>
      </c>
      <c r="G19" s="20" t="n">
        <v>40</v>
      </c>
      <c r="H19" s="20" t="n">
        <v>0</v>
      </c>
      <c r="I19" s="21" t="n">
        <v>2</v>
      </c>
      <c r="J19" s="20">
        <f>I19*$B$4</f>
        <v/>
      </c>
      <c r="K19" s="20">
        <f>F19-G19-H19-J19</f>
        <v/>
      </c>
      <c r="L19" s="22">
        <f>IF(F19=0,"",K19/F19)</f>
        <v/>
      </c>
    </row>
    <row r="20">
      <c r="A20" s="18" t="inlineStr">
        <is>
          <t>2026-09</t>
        </is>
      </c>
      <c r="B20" s="18" t="inlineStr">
        <is>
          <t>Call-out 21, September</t>
        </is>
      </c>
      <c r="C20" s="18" t="inlineStr">
        <is>
          <t>Call-out</t>
        </is>
      </c>
      <c r="D20" s="19" t="n">
        <v>46290</v>
      </c>
      <c r="E20" s="19" t="n">
        <v>46297</v>
      </c>
      <c r="F20" s="20" t="n">
        <v>461</v>
      </c>
      <c r="G20" s="20" t="n">
        <v>20</v>
      </c>
      <c r="H20" s="20" t="n">
        <v>0</v>
      </c>
      <c r="I20" s="21" t="n">
        <v>3</v>
      </c>
      <c r="J20" s="20">
        <f>I20*$B$4</f>
        <v/>
      </c>
      <c r="K20" s="20">
        <f>F20-G20-H20-J20</f>
        <v/>
      </c>
      <c r="L20" s="22">
        <f>IF(F20=0,"",K20/F20)</f>
        <v/>
      </c>
    </row>
    <row r="21">
      <c r="A21" s="18" t="inlineStr">
        <is>
          <t>2026-09</t>
        </is>
      </c>
      <c r="B21" s="18" t="inlineStr">
        <is>
          <t>Call-out 22, September</t>
        </is>
      </c>
      <c r="C21" s="18" t="inlineStr">
        <is>
          <t>Call-out</t>
        </is>
      </c>
      <c r="D21" s="19" t="n">
        <v>46282</v>
      </c>
      <c r="E21" s="19" t="n">
        <v>46312</v>
      </c>
      <c r="F21" s="20" t="n">
        <v>441</v>
      </c>
      <c r="G21" s="20" t="n">
        <v>60</v>
      </c>
      <c r="H21" s="20" t="n">
        <v>0</v>
      </c>
      <c r="I21" s="21" t="n">
        <v>2.5</v>
      </c>
      <c r="J21" s="20">
        <f>I21*$B$4</f>
        <v/>
      </c>
      <c r="K21" s="20">
        <f>F21-G21-H21-J21</f>
        <v/>
      </c>
      <c r="L21" s="22">
        <f>IF(F21=0,"",K21/F21)</f>
        <v/>
      </c>
    </row>
    <row r="22">
      <c r="A22" s="18" t="inlineStr">
        <is>
          <t>2026-09</t>
        </is>
      </c>
      <c r="B22" s="18" t="inlineStr">
        <is>
          <t>Call-out 23, September</t>
        </is>
      </c>
      <c r="C22" s="18" t="inlineStr">
        <is>
          <t>Call-out</t>
        </is>
      </c>
      <c r="D22" s="19" t="n">
        <v>46287</v>
      </c>
      <c r="E22" s="19" t="n">
        <v>46287</v>
      </c>
      <c r="F22" s="20" t="n">
        <v>749</v>
      </c>
      <c r="G22" s="20" t="n">
        <v>130</v>
      </c>
      <c r="H22" s="20" t="n">
        <v>0</v>
      </c>
      <c r="I22" s="21" t="n">
        <v>4</v>
      </c>
      <c r="J22" s="20">
        <f>I22*$B$4</f>
        <v/>
      </c>
      <c r="K22" s="20">
        <f>F22-G22-H22-J22</f>
        <v/>
      </c>
      <c r="L22" s="22">
        <f>IF(F22=0,"",K22/F22)</f>
        <v/>
      </c>
    </row>
    <row r="23">
      <c r="A23" s="18" t="inlineStr">
        <is>
          <t>2026-09</t>
        </is>
      </c>
      <c r="B23" s="18" t="inlineStr">
        <is>
          <t>Call-out 24, September</t>
        </is>
      </c>
      <c r="C23" s="18" t="inlineStr">
        <is>
          <t>Call-out</t>
        </is>
      </c>
      <c r="D23" s="19" t="n">
        <v>46293</v>
      </c>
      <c r="E23" s="19" t="n">
        <v>46293</v>
      </c>
      <c r="F23" s="20" t="n">
        <v>801</v>
      </c>
      <c r="G23" s="20" t="n">
        <v>170</v>
      </c>
      <c r="H23" s="20" t="n">
        <v>0</v>
      </c>
      <c r="I23" s="21" t="n">
        <v>4</v>
      </c>
      <c r="J23" s="20">
        <f>I23*$B$4</f>
        <v/>
      </c>
      <c r="K23" s="20">
        <f>F23-G23-H23-J23</f>
        <v/>
      </c>
      <c r="L23" s="22">
        <f>IF(F23=0,"",K23/F23)</f>
        <v/>
      </c>
    </row>
    <row r="24">
      <c r="A24" s="18" t="inlineStr">
        <is>
          <t>2026-09</t>
        </is>
      </c>
      <c r="B24" s="18" t="inlineStr">
        <is>
          <t>Call-out 25, September</t>
        </is>
      </c>
      <c r="C24" s="18" t="inlineStr">
        <is>
          <t>Call-out</t>
        </is>
      </c>
      <c r="D24" s="19" t="n">
        <v>46291</v>
      </c>
      <c r="E24" s="19" t="n">
        <v>46291</v>
      </c>
      <c r="F24" s="20" t="n">
        <v>322</v>
      </c>
      <c r="G24" s="20" t="n">
        <v>80</v>
      </c>
      <c r="H24" s="20" t="n">
        <v>0</v>
      </c>
      <c r="I24" s="21" t="n">
        <v>1.5</v>
      </c>
      <c r="J24" s="20">
        <f>I24*$B$4</f>
        <v/>
      </c>
      <c r="K24" s="20">
        <f>F24-G24-H24-J24</f>
        <v/>
      </c>
      <c r="L24" s="22">
        <f>IF(F24=0,"",K24/F24)</f>
        <v/>
      </c>
    </row>
    <row r="25">
      <c r="A25" s="18" t="inlineStr">
        <is>
          <t>2026-09</t>
        </is>
      </c>
      <c r="B25" s="18" t="inlineStr">
        <is>
          <t>Call-out 26, September</t>
        </is>
      </c>
      <c r="C25" s="18" t="inlineStr">
        <is>
          <t>Call-out</t>
        </is>
      </c>
      <c r="D25" s="19" t="n">
        <v>46291</v>
      </c>
      <c r="E25" s="19" t="n">
        <v>46305</v>
      </c>
      <c r="F25" s="20" t="n">
        <v>374</v>
      </c>
      <c r="G25" s="20" t="n">
        <v>120</v>
      </c>
      <c r="H25" s="20" t="n">
        <v>0</v>
      </c>
      <c r="I25" s="21" t="n">
        <v>1.5</v>
      </c>
      <c r="J25" s="20">
        <f>I25*$B$4</f>
        <v/>
      </c>
      <c r="K25" s="20">
        <f>F25-G25-H25-J25</f>
        <v/>
      </c>
      <c r="L25" s="22">
        <f>IF(F25=0,"",K25/F25)</f>
        <v/>
      </c>
    </row>
    <row r="26">
      <c r="A26" s="18" t="inlineStr">
        <is>
          <t>2026-09</t>
        </is>
      </c>
      <c r="B26" s="18" t="inlineStr">
        <is>
          <t>Call-out 27, September</t>
        </is>
      </c>
      <c r="C26" s="18" t="inlineStr">
        <is>
          <t>Call-out</t>
        </is>
      </c>
      <c r="D26" s="19" t="n">
        <v>46269</v>
      </c>
      <c r="E26" s="19" t="n">
        <v>46276</v>
      </c>
      <c r="F26" s="20" t="n">
        <v>550</v>
      </c>
      <c r="G26" s="20" t="n">
        <v>200</v>
      </c>
      <c r="H26" s="20" t="n">
        <v>0</v>
      </c>
      <c r="I26" s="21" t="n">
        <v>2</v>
      </c>
      <c r="J26" s="20">
        <f>I26*$B$4</f>
        <v/>
      </c>
      <c r="K26" s="20">
        <f>F26-G26-H26-J26</f>
        <v/>
      </c>
      <c r="L26" s="22">
        <f>IF(F26=0,"",K26/F26)</f>
        <v/>
      </c>
    </row>
    <row r="27">
      <c r="A27" s="18" t="inlineStr">
        <is>
          <t>2026-09</t>
        </is>
      </c>
      <c r="B27" s="18" t="inlineStr">
        <is>
          <t>Call-out 28, September</t>
        </is>
      </c>
      <c r="C27" s="18" t="inlineStr">
        <is>
          <t>Call-out</t>
        </is>
      </c>
      <c r="D27" s="19" t="n">
        <v>46290</v>
      </c>
      <c r="E27" s="19" t="n">
        <v>46304</v>
      </c>
      <c r="F27" s="20" t="n">
        <v>563</v>
      </c>
      <c r="G27" s="20" t="n">
        <v>210</v>
      </c>
      <c r="H27" s="20" t="n">
        <v>0</v>
      </c>
      <c r="I27" s="21" t="n">
        <v>2</v>
      </c>
      <c r="J27" s="20">
        <f>I27*$B$4</f>
        <v/>
      </c>
      <c r="K27" s="20">
        <f>F27-G27-H27-J27</f>
        <v/>
      </c>
      <c r="L27" s="22">
        <f>IF(F27=0,"",K27/F27)</f>
        <v/>
      </c>
    </row>
    <row r="28">
      <c r="A28" s="18" t="inlineStr">
        <is>
          <t>2026-09</t>
        </is>
      </c>
      <c r="B28" s="18" t="inlineStr">
        <is>
          <t>Call-out 29, September</t>
        </is>
      </c>
      <c r="C28" s="18" t="inlineStr">
        <is>
          <t>Call-out</t>
        </is>
      </c>
      <c r="D28" s="19" t="n">
        <v>46293</v>
      </c>
      <c r="E28" s="19" t="n">
        <v>46300</v>
      </c>
      <c r="F28" s="20" t="n">
        <v>606</v>
      </c>
      <c r="G28" s="20" t="n">
        <v>20</v>
      </c>
      <c r="H28" s="20" t="n">
        <v>0</v>
      </c>
      <c r="I28" s="21" t="n">
        <v>4</v>
      </c>
      <c r="J28" s="20">
        <f>I28*$B$4</f>
        <v/>
      </c>
      <c r="K28" s="20">
        <f>F28-G28-H28-J28</f>
        <v/>
      </c>
      <c r="L28" s="22">
        <f>IF(F28=0,"",K28/F28)</f>
        <v/>
      </c>
    </row>
    <row r="29">
      <c r="A29" s="18" t="inlineStr">
        <is>
          <t>2026-09</t>
        </is>
      </c>
      <c r="B29" s="18" t="inlineStr">
        <is>
          <t>Call-out 3, September</t>
        </is>
      </c>
      <c r="C29" s="18" t="inlineStr">
        <is>
          <t>Call-out</t>
        </is>
      </c>
      <c r="D29" s="19" t="n">
        <v>46276</v>
      </c>
      <c r="E29" s="19" t="n">
        <v>46276</v>
      </c>
      <c r="F29" s="20" t="n">
        <v>565</v>
      </c>
      <c r="G29" s="20" t="n">
        <v>100</v>
      </c>
      <c r="H29" s="20" t="n">
        <v>0</v>
      </c>
      <c r="I29" s="21" t="n">
        <v>3</v>
      </c>
      <c r="J29" s="20">
        <f>I29*$B$4</f>
        <v/>
      </c>
      <c r="K29" s="20">
        <f>F29-G29-H29-J29</f>
        <v/>
      </c>
      <c r="L29" s="22">
        <f>IF(F29=0,"",K29/F29)</f>
        <v/>
      </c>
    </row>
    <row r="30">
      <c r="A30" s="18" t="inlineStr">
        <is>
          <t>2026-09</t>
        </is>
      </c>
      <c r="B30" s="18" t="inlineStr">
        <is>
          <t>Call-out 30, September</t>
        </is>
      </c>
      <c r="C30" s="18" t="inlineStr">
        <is>
          <t>Call-out</t>
        </is>
      </c>
      <c r="D30" s="19" t="n">
        <v>46278</v>
      </c>
      <c r="E30" s="19" t="n">
        <v>46278</v>
      </c>
      <c r="F30" s="20" t="n">
        <v>643</v>
      </c>
      <c r="G30" s="20" t="n">
        <v>160</v>
      </c>
      <c r="H30" s="20" t="n">
        <v>0</v>
      </c>
      <c r="I30" s="21" t="n">
        <v>3</v>
      </c>
      <c r="J30" s="20">
        <f>I30*$B$4</f>
        <v/>
      </c>
      <c r="K30" s="20">
        <f>F30-G30-H30-J30</f>
        <v/>
      </c>
      <c r="L30" s="22">
        <f>IF(F30=0,"",K30/F30)</f>
        <v/>
      </c>
    </row>
    <row r="31">
      <c r="A31" s="18" t="inlineStr">
        <is>
          <t>2026-09</t>
        </is>
      </c>
      <c r="B31" s="18" t="inlineStr">
        <is>
          <t>Call-out 31, September</t>
        </is>
      </c>
      <c r="C31" s="18" t="inlineStr">
        <is>
          <t>Call-out</t>
        </is>
      </c>
      <c r="D31" s="19" t="n">
        <v>46278</v>
      </c>
      <c r="E31" s="19" t="n">
        <v>46308</v>
      </c>
      <c r="F31" s="20" t="n">
        <v>342</v>
      </c>
      <c r="G31" s="20" t="n">
        <v>40</v>
      </c>
      <c r="H31" s="20" t="n">
        <v>0</v>
      </c>
      <c r="I31" s="21" t="n">
        <v>2</v>
      </c>
      <c r="J31" s="20">
        <f>I31*$B$4</f>
        <v/>
      </c>
      <c r="K31" s="20">
        <f>F31-G31-H31-J31</f>
        <v/>
      </c>
      <c r="L31" s="22">
        <f>IF(F31=0,"",K31/F31)</f>
        <v/>
      </c>
    </row>
    <row r="32">
      <c r="A32" s="18" t="inlineStr">
        <is>
          <t>2026-09</t>
        </is>
      </c>
      <c r="B32" s="18" t="inlineStr">
        <is>
          <t>Call-out 32, September</t>
        </is>
      </c>
      <c r="C32" s="18" t="inlineStr">
        <is>
          <t>Call-out</t>
        </is>
      </c>
      <c r="D32" s="19" t="n">
        <v>46286</v>
      </c>
      <c r="E32" s="19" t="n">
        <v>46316</v>
      </c>
      <c r="F32" s="20" t="n">
        <v>597</v>
      </c>
      <c r="G32" s="20" t="n">
        <v>180</v>
      </c>
      <c r="H32" s="20" t="n">
        <v>0</v>
      </c>
      <c r="I32" s="21" t="n">
        <v>2.5</v>
      </c>
      <c r="J32" s="20">
        <f>I32*$B$4</f>
        <v/>
      </c>
      <c r="K32" s="20">
        <f>F32-G32-H32-J32</f>
        <v/>
      </c>
      <c r="L32" s="22">
        <f>IF(F32=0,"",K32/F32)</f>
        <v/>
      </c>
    </row>
    <row r="33">
      <c r="A33" s="18" t="inlineStr">
        <is>
          <t>2026-09</t>
        </is>
      </c>
      <c r="B33" s="18" t="inlineStr">
        <is>
          <t>Call-out 33, September</t>
        </is>
      </c>
      <c r="C33" s="18" t="inlineStr">
        <is>
          <t>Call-out</t>
        </is>
      </c>
      <c r="D33" s="19" t="n">
        <v>46273</v>
      </c>
      <c r="E33" s="19" t="n">
        <v>46273</v>
      </c>
      <c r="F33" s="20" t="n">
        <v>452</v>
      </c>
      <c r="G33" s="20" t="n">
        <v>180</v>
      </c>
      <c r="H33" s="20" t="n">
        <v>0</v>
      </c>
      <c r="I33" s="21" t="n">
        <v>1.5</v>
      </c>
      <c r="J33" s="20">
        <f>I33*$B$4</f>
        <v/>
      </c>
      <c r="K33" s="20">
        <f>F33-G33-H33-J33</f>
        <v/>
      </c>
      <c r="L33" s="22">
        <f>IF(F33=0,"",K33/F33)</f>
        <v/>
      </c>
    </row>
    <row r="34">
      <c r="A34" s="18" t="inlineStr">
        <is>
          <t>2026-09</t>
        </is>
      </c>
      <c r="B34" s="18" t="inlineStr">
        <is>
          <t>Call-out 34, September</t>
        </is>
      </c>
      <c r="C34" s="18" t="inlineStr">
        <is>
          <t>Call-out</t>
        </is>
      </c>
      <c r="D34" s="19" t="n">
        <v>46267</v>
      </c>
      <c r="E34" s="19" t="n">
        <v>46274</v>
      </c>
      <c r="F34" s="20" t="n">
        <v>441</v>
      </c>
      <c r="G34" s="20" t="n">
        <v>60</v>
      </c>
      <c r="H34" s="20" t="n">
        <v>0</v>
      </c>
      <c r="I34" s="21" t="n">
        <v>2.5</v>
      </c>
      <c r="J34" s="20">
        <f>I34*$B$4</f>
        <v/>
      </c>
      <c r="K34" s="20">
        <f>F34-G34-H34-J34</f>
        <v/>
      </c>
      <c r="L34" s="22">
        <f>IF(F34=0,"",K34/F34)</f>
        <v/>
      </c>
    </row>
    <row r="35">
      <c r="A35" s="18" t="inlineStr">
        <is>
          <t>2026-09</t>
        </is>
      </c>
      <c r="B35" s="18" t="inlineStr">
        <is>
          <t>Call-out 35, September</t>
        </is>
      </c>
      <c r="C35" s="18" t="inlineStr">
        <is>
          <t>Call-out</t>
        </is>
      </c>
      <c r="D35" s="19" t="n">
        <v>46270</v>
      </c>
      <c r="E35" s="19" t="n">
        <v>46277</v>
      </c>
      <c r="F35" s="20" t="n">
        <v>316</v>
      </c>
      <c r="G35" s="20" t="n">
        <v>20</v>
      </c>
      <c r="H35" s="20" t="n">
        <v>0</v>
      </c>
      <c r="I35" s="21" t="n">
        <v>2</v>
      </c>
      <c r="J35" s="20">
        <f>I35*$B$4</f>
        <v/>
      </c>
      <c r="K35" s="20">
        <f>F35-G35-H35-J35</f>
        <v/>
      </c>
      <c r="L35" s="22">
        <f>IF(F35=0,"",K35/F35)</f>
        <v/>
      </c>
    </row>
    <row r="36">
      <c r="A36" s="18" t="inlineStr">
        <is>
          <t>2026-09</t>
        </is>
      </c>
      <c r="B36" s="18" t="inlineStr">
        <is>
          <t>Call-out 36, September</t>
        </is>
      </c>
      <c r="C36" s="18" t="inlineStr">
        <is>
          <t>Call-out</t>
        </is>
      </c>
      <c r="D36" s="19" t="n">
        <v>46278</v>
      </c>
      <c r="E36" s="19" t="n">
        <v>46278</v>
      </c>
      <c r="F36" s="20" t="n">
        <v>335</v>
      </c>
      <c r="G36" s="20" t="n">
        <v>90</v>
      </c>
      <c r="H36" s="20" t="n">
        <v>0</v>
      </c>
      <c r="I36" s="21" t="n">
        <v>1.5</v>
      </c>
      <c r="J36" s="20">
        <f>I36*$B$4</f>
        <v/>
      </c>
      <c r="K36" s="20">
        <f>F36-G36-H36-J36</f>
        <v/>
      </c>
      <c r="L36" s="22">
        <f>IF(F36=0,"",K36/F36)</f>
        <v/>
      </c>
    </row>
    <row r="37">
      <c r="A37" s="18" t="inlineStr">
        <is>
          <t>2026-09</t>
        </is>
      </c>
      <c r="B37" s="18" t="inlineStr">
        <is>
          <t>Call-out 37, September</t>
        </is>
      </c>
      <c r="C37" s="18" t="inlineStr">
        <is>
          <t>Call-out</t>
        </is>
      </c>
      <c r="D37" s="19" t="n">
        <v>46283</v>
      </c>
      <c r="E37" s="19" t="n">
        <v>46285</v>
      </c>
      <c r="F37" s="20" t="n">
        <v>322</v>
      </c>
      <c r="G37" s="20" t="n">
        <v>80</v>
      </c>
      <c r="H37" s="20" t="n">
        <v>0</v>
      </c>
      <c r="I37" s="21" t="n">
        <v>1.5</v>
      </c>
      <c r="J37" s="20">
        <f>I37*$B$4</f>
        <v/>
      </c>
      <c r="K37" s="20">
        <f>F37-G37-H37-J37</f>
        <v/>
      </c>
      <c r="L37" s="22">
        <f>IF(F37=0,"",K37/F37)</f>
        <v/>
      </c>
    </row>
    <row r="38">
      <c r="A38" s="18" t="inlineStr">
        <is>
          <t>2026-09</t>
        </is>
      </c>
      <c r="B38" s="18" t="inlineStr">
        <is>
          <t>Call-out 38, September</t>
        </is>
      </c>
      <c r="C38" s="18" t="inlineStr">
        <is>
          <t>Call-out</t>
        </is>
      </c>
      <c r="D38" s="19" t="n">
        <v>46288</v>
      </c>
      <c r="E38" s="19" t="n">
        <v>46302</v>
      </c>
      <c r="F38" s="20" t="n">
        <v>381</v>
      </c>
      <c r="G38" s="20" t="n">
        <v>70</v>
      </c>
      <c r="H38" s="20" t="n">
        <v>0</v>
      </c>
      <c r="I38" s="21" t="n">
        <v>2</v>
      </c>
      <c r="J38" s="20">
        <f>I38*$B$4</f>
        <v/>
      </c>
      <c r="K38" s="20">
        <f>F38-G38-H38-J38</f>
        <v/>
      </c>
      <c r="L38" s="22">
        <f>IF(F38=0,"",K38/F38)</f>
        <v/>
      </c>
    </row>
    <row r="39">
      <c r="A39" s="18" t="inlineStr">
        <is>
          <t>2026-09</t>
        </is>
      </c>
      <c r="B39" s="18" t="inlineStr">
        <is>
          <t>Call-out 39, September</t>
        </is>
      </c>
      <c r="C39" s="18" t="inlineStr">
        <is>
          <t>Call-out</t>
        </is>
      </c>
      <c r="D39" s="19" t="n">
        <v>46288</v>
      </c>
      <c r="E39" s="19" t="n">
        <v>46288</v>
      </c>
      <c r="F39" s="20" t="n">
        <v>262</v>
      </c>
      <c r="G39" s="20" t="n">
        <v>90</v>
      </c>
      <c r="H39" s="20" t="n">
        <v>0</v>
      </c>
      <c r="I39" s="21" t="n">
        <v>1</v>
      </c>
      <c r="J39" s="20">
        <f>I39*$B$4</f>
        <v/>
      </c>
      <c r="K39" s="20">
        <f>F39-G39-H39-J39</f>
        <v/>
      </c>
      <c r="L39" s="22">
        <f>IF(F39=0,"",K39/F39)</f>
        <v/>
      </c>
    </row>
    <row r="40">
      <c r="A40" s="18" t="inlineStr">
        <is>
          <t>2026-09</t>
        </is>
      </c>
      <c r="B40" s="18" t="inlineStr">
        <is>
          <t>Call-out 4, September</t>
        </is>
      </c>
      <c r="C40" s="18" t="inlineStr">
        <is>
          <t>Call-out</t>
        </is>
      </c>
      <c r="D40" s="19" t="n">
        <v>46277</v>
      </c>
      <c r="E40" s="19" t="n">
        <v>46277</v>
      </c>
      <c r="F40" s="20" t="n">
        <v>472</v>
      </c>
      <c r="G40" s="20" t="n">
        <v>140</v>
      </c>
      <c r="H40" s="20" t="n">
        <v>0</v>
      </c>
      <c r="I40" s="21" t="n">
        <v>2</v>
      </c>
      <c r="J40" s="20">
        <f>I40*$B$4</f>
        <v/>
      </c>
      <c r="K40" s="20">
        <f>F40-G40-H40-J40</f>
        <v/>
      </c>
      <c r="L40" s="22">
        <f>IF(F40=0,"",K40/F40)</f>
        <v/>
      </c>
    </row>
    <row r="41">
      <c r="A41" s="18" t="inlineStr">
        <is>
          <t>2026-09</t>
        </is>
      </c>
      <c r="B41" s="18" t="inlineStr">
        <is>
          <t>Call-out 40, September</t>
        </is>
      </c>
      <c r="C41" s="18" t="inlineStr">
        <is>
          <t>Call-out</t>
        </is>
      </c>
      <c r="D41" s="19" t="n">
        <v>46266</v>
      </c>
      <c r="E41" s="19" t="n">
        <v>46296</v>
      </c>
      <c r="F41" s="20" t="n">
        <v>623</v>
      </c>
      <c r="G41" s="20" t="n">
        <v>200</v>
      </c>
      <c r="H41" s="20" t="n">
        <v>0</v>
      </c>
      <c r="I41" s="21" t="n">
        <v>2.5</v>
      </c>
      <c r="J41" s="20">
        <f>I41*$B$4</f>
        <v/>
      </c>
      <c r="K41" s="20">
        <f>F41-G41-H41-J41</f>
        <v/>
      </c>
      <c r="L41" s="22">
        <f>IF(F41=0,"",K41/F41)</f>
        <v/>
      </c>
    </row>
    <row r="42">
      <c r="A42" s="18" t="inlineStr">
        <is>
          <t>2026-09</t>
        </is>
      </c>
      <c r="B42" s="18" t="inlineStr">
        <is>
          <t>Call-out 41, September</t>
        </is>
      </c>
      <c r="C42" s="18" t="inlineStr">
        <is>
          <t>Call-out</t>
        </is>
      </c>
      <c r="D42" s="19" t="n">
        <v>46283</v>
      </c>
      <c r="E42" s="19" t="n">
        <v>46290</v>
      </c>
      <c r="F42" s="20" t="n">
        <v>288</v>
      </c>
      <c r="G42" s="20" t="n">
        <v>110</v>
      </c>
      <c r="H42" s="20" t="n">
        <v>0</v>
      </c>
      <c r="I42" s="21" t="n">
        <v>1</v>
      </c>
      <c r="J42" s="20">
        <f>I42*$B$4</f>
        <v/>
      </c>
      <c r="K42" s="20">
        <f>F42-G42-H42-J42</f>
        <v/>
      </c>
      <c r="L42" s="22">
        <f>IF(F42=0,"",K42/F42)</f>
        <v/>
      </c>
    </row>
    <row r="43">
      <c r="A43" s="18" t="inlineStr">
        <is>
          <t>2026-09</t>
        </is>
      </c>
      <c r="B43" s="18" t="inlineStr">
        <is>
          <t>Call-out 42, September</t>
        </is>
      </c>
      <c r="C43" s="18" t="inlineStr">
        <is>
          <t>Call-out</t>
        </is>
      </c>
      <c r="D43" s="19" t="n">
        <v>46278</v>
      </c>
      <c r="E43" s="19" t="n">
        <v>46292</v>
      </c>
      <c r="F43" s="20" t="n">
        <v>552</v>
      </c>
      <c r="G43" s="20" t="n">
        <v>90</v>
      </c>
      <c r="H43" s="20" t="n">
        <v>0</v>
      </c>
      <c r="I43" s="21" t="n">
        <v>3</v>
      </c>
      <c r="J43" s="20">
        <f>I43*$B$4</f>
        <v/>
      </c>
      <c r="K43" s="20">
        <f>F43-G43-H43-J43</f>
        <v/>
      </c>
      <c r="L43" s="22">
        <f>IF(F43=0,"",K43/F43)</f>
        <v/>
      </c>
    </row>
    <row r="44">
      <c r="A44" s="18" t="inlineStr">
        <is>
          <t>2026-09</t>
        </is>
      </c>
      <c r="B44" s="18" t="inlineStr">
        <is>
          <t>Call-out 43, September</t>
        </is>
      </c>
      <c r="C44" s="18" t="inlineStr">
        <is>
          <t>Call-out</t>
        </is>
      </c>
      <c r="D44" s="19" t="n">
        <v>46281</v>
      </c>
      <c r="E44" s="19" t="n">
        <v>46311</v>
      </c>
      <c r="F44" s="20" t="n">
        <v>270</v>
      </c>
      <c r="G44" s="20" t="n">
        <v>40</v>
      </c>
      <c r="H44" s="20" t="n">
        <v>0</v>
      </c>
      <c r="I44" s="21" t="n">
        <v>1.5</v>
      </c>
      <c r="J44" s="20">
        <f>I44*$B$4</f>
        <v/>
      </c>
      <c r="K44" s="20">
        <f>F44-G44-H44-J44</f>
        <v/>
      </c>
      <c r="L44" s="22">
        <f>IF(F44=0,"",K44/F44)</f>
        <v/>
      </c>
    </row>
    <row r="45">
      <c r="A45" s="18" t="inlineStr">
        <is>
          <t>2026-09</t>
        </is>
      </c>
      <c r="B45" s="18" t="inlineStr">
        <is>
          <t>Call-out 44, September</t>
        </is>
      </c>
      <c r="C45" s="18" t="inlineStr">
        <is>
          <t>Call-out</t>
        </is>
      </c>
      <c r="D45" s="19" t="n">
        <v>46286</v>
      </c>
      <c r="E45" s="19" t="n">
        <v>46293</v>
      </c>
      <c r="F45" s="20" t="n">
        <v>684</v>
      </c>
      <c r="G45" s="20" t="n">
        <v>80</v>
      </c>
      <c r="H45" s="20" t="n">
        <v>0</v>
      </c>
      <c r="I45" s="21" t="n">
        <v>4</v>
      </c>
      <c r="J45" s="20">
        <f>I45*$B$4</f>
        <v/>
      </c>
      <c r="K45" s="20">
        <f>F45-G45-H45-J45</f>
        <v/>
      </c>
      <c r="L45" s="22">
        <f>IF(F45=0,"",K45/F45)</f>
        <v/>
      </c>
    </row>
    <row r="46">
      <c r="A46" s="18" t="inlineStr">
        <is>
          <t>2026-09</t>
        </is>
      </c>
      <c r="B46" s="18" t="inlineStr">
        <is>
          <t>Call-out 45, September</t>
        </is>
      </c>
      <c r="C46" s="18" t="inlineStr">
        <is>
          <t>Call-out</t>
        </is>
      </c>
      <c r="D46" s="19" t="n">
        <v>46282</v>
      </c>
      <c r="E46" s="19" t="n">
        <v>46282</v>
      </c>
      <c r="F46" s="20" t="n">
        <v>645</v>
      </c>
      <c r="G46" s="20" t="n">
        <v>50</v>
      </c>
      <c r="H46" s="20" t="n">
        <v>0</v>
      </c>
      <c r="I46" s="21" t="n">
        <v>4</v>
      </c>
      <c r="J46" s="20">
        <f>I46*$B$4</f>
        <v/>
      </c>
      <c r="K46" s="20">
        <f>F46-G46-H46-J46</f>
        <v/>
      </c>
      <c r="L46" s="22">
        <f>IF(F46=0,"",K46/F46)</f>
        <v/>
      </c>
    </row>
    <row r="47">
      <c r="A47" s="18" t="inlineStr">
        <is>
          <t>2026-09</t>
        </is>
      </c>
      <c r="B47" s="18" t="inlineStr">
        <is>
          <t>Call-out 46, September</t>
        </is>
      </c>
      <c r="C47" s="18" t="inlineStr">
        <is>
          <t>Call-out</t>
        </is>
      </c>
      <c r="D47" s="19" t="n">
        <v>46273</v>
      </c>
      <c r="E47" s="19" t="n">
        <v>46273</v>
      </c>
      <c r="F47" s="20" t="n">
        <v>565</v>
      </c>
      <c r="G47" s="20" t="n">
        <v>100</v>
      </c>
      <c r="H47" s="20" t="n">
        <v>0</v>
      </c>
      <c r="I47" s="21" t="n">
        <v>3</v>
      </c>
      <c r="J47" s="20">
        <f>I47*$B$4</f>
        <v/>
      </c>
      <c r="K47" s="20">
        <f>F47-G47-H47-J47</f>
        <v/>
      </c>
      <c r="L47" s="22">
        <f>IF(F47=0,"",K47/F47)</f>
        <v/>
      </c>
    </row>
    <row r="48">
      <c r="A48" s="18" t="inlineStr">
        <is>
          <t>2026-09</t>
        </is>
      </c>
      <c r="B48" s="18" t="inlineStr">
        <is>
          <t>Call-out 47, September</t>
        </is>
      </c>
      <c r="C48" s="18" t="inlineStr">
        <is>
          <t>Call-out</t>
        </is>
      </c>
      <c r="D48" s="19" t="n">
        <v>46266</v>
      </c>
      <c r="E48" s="19" t="n">
        <v>46273</v>
      </c>
      <c r="F48" s="20" t="n">
        <v>441</v>
      </c>
      <c r="G48" s="20" t="n">
        <v>60</v>
      </c>
      <c r="H48" s="20" t="n">
        <v>0</v>
      </c>
      <c r="I48" s="21" t="n">
        <v>2.5</v>
      </c>
      <c r="J48" s="20">
        <f>I48*$B$4</f>
        <v/>
      </c>
      <c r="K48" s="20">
        <f>F48-G48-H48-J48</f>
        <v/>
      </c>
      <c r="L48" s="22">
        <f>IF(F48=0,"",K48/F48)</f>
        <v/>
      </c>
    </row>
    <row r="49">
      <c r="A49" s="18" t="inlineStr">
        <is>
          <t>2026-09</t>
        </is>
      </c>
      <c r="B49" s="18" t="inlineStr">
        <is>
          <t>Call-out 48, September</t>
        </is>
      </c>
      <c r="C49" s="18" t="inlineStr">
        <is>
          <t>Call-out</t>
        </is>
      </c>
      <c r="D49" s="19" t="n">
        <v>46281</v>
      </c>
      <c r="E49" s="19" t="n">
        <v>46283</v>
      </c>
      <c r="F49" s="20" t="n">
        <v>327</v>
      </c>
      <c r="G49" s="20" t="n">
        <v>140</v>
      </c>
      <c r="H49" s="20" t="n">
        <v>0</v>
      </c>
      <c r="I49" s="21" t="n">
        <v>1</v>
      </c>
      <c r="J49" s="20">
        <f>I49*$B$4</f>
        <v/>
      </c>
      <c r="K49" s="20">
        <f>F49-G49-H49-J49</f>
        <v/>
      </c>
      <c r="L49" s="22">
        <f>IF(F49=0,"",K49/F49)</f>
        <v/>
      </c>
    </row>
    <row r="50">
      <c r="A50" s="18" t="inlineStr">
        <is>
          <t>2026-09</t>
        </is>
      </c>
      <c r="B50" s="18" t="inlineStr">
        <is>
          <t>Call-out 49, September</t>
        </is>
      </c>
      <c r="C50" s="18" t="inlineStr">
        <is>
          <t>Call-out</t>
        </is>
      </c>
      <c r="D50" s="19" t="n">
        <v>46292</v>
      </c>
      <c r="E50" s="19" t="n">
        <v>46306</v>
      </c>
      <c r="F50" s="20" t="n">
        <v>550</v>
      </c>
      <c r="G50" s="20" t="n">
        <v>200</v>
      </c>
      <c r="H50" s="20" t="n">
        <v>0</v>
      </c>
      <c r="I50" s="21" t="n">
        <v>2</v>
      </c>
      <c r="J50" s="20">
        <f>I50*$B$4</f>
        <v/>
      </c>
      <c r="K50" s="20">
        <f>F50-G50-H50-J50</f>
        <v/>
      </c>
      <c r="L50" s="22">
        <f>IF(F50=0,"",K50/F50)</f>
        <v/>
      </c>
    </row>
    <row r="51">
      <c r="A51" s="18" t="inlineStr">
        <is>
          <t>2026-09</t>
        </is>
      </c>
      <c r="B51" s="18" t="inlineStr">
        <is>
          <t>Call-out 5, September</t>
        </is>
      </c>
      <c r="C51" s="18" t="inlineStr">
        <is>
          <t>Call-out</t>
        </is>
      </c>
      <c r="D51" s="19" t="n">
        <v>46291</v>
      </c>
      <c r="E51" s="19" t="n">
        <v>46291</v>
      </c>
      <c r="F51" s="20" t="n">
        <v>472</v>
      </c>
      <c r="G51" s="20" t="n">
        <v>140</v>
      </c>
      <c r="H51" s="20" t="n">
        <v>0</v>
      </c>
      <c r="I51" s="21" t="n">
        <v>2</v>
      </c>
      <c r="J51" s="20">
        <f>I51*$B$4</f>
        <v/>
      </c>
      <c r="K51" s="20">
        <f>F51-G51-H51-J51</f>
        <v/>
      </c>
      <c r="L51" s="22">
        <f>IF(F51=0,"",K51/F51)</f>
        <v/>
      </c>
    </row>
    <row r="52">
      <c r="A52" s="18" t="inlineStr">
        <is>
          <t>2026-09</t>
        </is>
      </c>
      <c r="B52" s="18" t="inlineStr">
        <is>
          <t>Call-out 50, September</t>
        </is>
      </c>
      <c r="C52" s="18" t="inlineStr">
        <is>
          <t>Call-out</t>
        </is>
      </c>
      <c r="D52" s="19" t="n">
        <v>46293</v>
      </c>
      <c r="E52" s="19" t="n">
        <v>46323</v>
      </c>
      <c r="F52" s="20" t="n">
        <v>517</v>
      </c>
      <c r="G52" s="20" t="n">
        <v>230</v>
      </c>
      <c r="H52" s="20" t="n">
        <v>0</v>
      </c>
      <c r="I52" s="21" t="n">
        <v>1.5</v>
      </c>
      <c r="J52" s="20">
        <f>I52*$B$4</f>
        <v/>
      </c>
      <c r="K52" s="20">
        <f>F52-G52-H52-J52</f>
        <v/>
      </c>
      <c r="L52" s="22">
        <f>IF(F52=0,"",K52/F52)</f>
        <v/>
      </c>
    </row>
    <row r="53">
      <c r="A53" s="18" t="inlineStr">
        <is>
          <t>2026-09</t>
        </is>
      </c>
      <c r="B53" s="18" t="inlineStr">
        <is>
          <t>Call-out 51, September</t>
        </is>
      </c>
      <c r="C53" s="18" t="inlineStr">
        <is>
          <t>Call-out</t>
        </is>
      </c>
      <c r="D53" s="19" t="n">
        <v>46287</v>
      </c>
      <c r="E53" s="19" t="n">
        <v>46287</v>
      </c>
      <c r="F53" s="20" t="n">
        <v>643</v>
      </c>
      <c r="G53" s="20" t="n">
        <v>160</v>
      </c>
      <c r="H53" s="20" t="n">
        <v>0</v>
      </c>
      <c r="I53" s="21" t="n">
        <v>3</v>
      </c>
      <c r="J53" s="20">
        <f>I53*$B$4</f>
        <v/>
      </c>
      <c r="K53" s="20">
        <f>F53-G53-H53-J53</f>
        <v/>
      </c>
      <c r="L53" s="22">
        <f>IF(F53=0,"",K53/F53)</f>
        <v/>
      </c>
    </row>
    <row r="54">
      <c r="A54" s="18" t="inlineStr">
        <is>
          <t>2026-09</t>
        </is>
      </c>
      <c r="B54" s="18" t="inlineStr">
        <is>
          <t>Call-out 52, September</t>
        </is>
      </c>
      <c r="C54" s="18" t="inlineStr">
        <is>
          <t>Call-out</t>
        </is>
      </c>
      <c r="D54" s="19" t="n">
        <v>46287</v>
      </c>
      <c r="E54" s="19" t="n">
        <v>46294</v>
      </c>
      <c r="F54" s="20" t="n">
        <v>420</v>
      </c>
      <c r="G54" s="20" t="n">
        <v>100</v>
      </c>
      <c r="H54" s="20" t="n">
        <v>0</v>
      </c>
      <c r="I54" s="21" t="n">
        <v>2</v>
      </c>
      <c r="J54" s="20">
        <f>I54*$B$4</f>
        <v/>
      </c>
      <c r="K54" s="20">
        <f>F54-G54-H54-J54</f>
        <v/>
      </c>
      <c r="L54" s="22">
        <f>IF(F54=0,"",K54/F54)</f>
        <v/>
      </c>
    </row>
    <row r="55">
      <c r="A55" s="18" t="inlineStr">
        <is>
          <t>2026-09</t>
        </is>
      </c>
      <c r="B55" s="18" t="inlineStr">
        <is>
          <t>Call-out 53, September</t>
        </is>
      </c>
      <c r="C55" s="18" t="inlineStr">
        <is>
          <t>Call-out</t>
        </is>
      </c>
      <c r="D55" s="19" t="n">
        <v>46267</v>
      </c>
      <c r="E55" s="19" t="n">
        <v>46267</v>
      </c>
      <c r="F55" s="20" t="n">
        <v>309</v>
      </c>
      <c r="G55" s="20" t="n">
        <v>70</v>
      </c>
      <c r="H55" s="20" t="n">
        <v>0</v>
      </c>
      <c r="I55" s="21" t="n">
        <v>1.5</v>
      </c>
      <c r="J55" s="20">
        <f>I55*$B$4</f>
        <v/>
      </c>
      <c r="K55" s="20">
        <f>F55-G55-H55-J55</f>
        <v/>
      </c>
      <c r="L55" s="22">
        <f>IF(F55=0,"",K55/F55)</f>
        <v/>
      </c>
    </row>
    <row r="56">
      <c r="A56" s="18" t="inlineStr">
        <is>
          <t>2026-09</t>
        </is>
      </c>
      <c r="B56" s="18" t="inlineStr">
        <is>
          <t>Call-out 54, September</t>
        </is>
      </c>
      <c r="C56" s="18" t="inlineStr">
        <is>
          <t>Call-out</t>
        </is>
      </c>
      <c r="D56" s="19" t="n">
        <v>46271</v>
      </c>
      <c r="E56" s="19" t="n">
        <v>46271</v>
      </c>
      <c r="F56" s="20" t="n">
        <v>446</v>
      </c>
      <c r="G56" s="20" t="n">
        <v>120</v>
      </c>
      <c r="H56" s="20" t="n">
        <v>0</v>
      </c>
      <c r="I56" s="21" t="n">
        <v>2</v>
      </c>
      <c r="J56" s="20">
        <f>I56*$B$4</f>
        <v/>
      </c>
      <c r="K56" s="20">
        <f>F56-G56-H56-J56</f>
        <v/>
      </c>
      <c r="L56" s="22">
        <f>IF(F56=0,"",K56/F56)</f>
        <v/>
      </c>
    </row>
    <row r="57">
      <c r="A57" s="18" t="inlineStr">
        <is>
          <t>2026-09</t>
        </is>
      </c>
      <c r="B57" s="18" t="inlineStr">
        <is>
          <t>Call-out 55, September</t>
        </is>
      </c>
      <c r="C57" s="18" t="inlineStr">
        <is>
          <t>Call-out</t>
        </is>
      </c>
      <c r="D57" s="19" t="n">
        <v>46279</v>
      </c>
      <c r="E57" s="19" t="n">
        <v>46279</v>
      </c>
      <c r="F57" s="20" t="n">
        <v>171</v>
      </c>
      <c r="G57" s="20" t="n">
        <v>20</v>
      </c>
      <c r="H57" s="20" t="n">
        <v>0</v>
      </c>
      <c r="I57" s="21" t="n">
        <v>1</v>
      </c>
      <c r="J57" s="20">
        <f>I57*$B$4</f>
        <v/>
      </c>
      <c r="K57" s="20">
        <f>F57-G57-H57-J57</f>
        <v/>
      </c>
      <c r="L57" s="22">
        <f>IF(F57=0,"",K57/F57)</f>
        <v/>
      </c>
    </row>
    <row r="58">
      <c r="A58" s="18" t="inlineStr">
        <is>
          <t>2026-09</t>
        </is>
      </c>
      <c r="B58" s="18" t="inlineStr">
        <is>
          <t>Call-out 56, September</t>
        </is>
      </c>
      <c r="C58" s="18" t="inlineStr">
        <is>
          <t>Call-out</t>
        </is>
      </c>
      <c r="D58" s="19" t="n">
        <v>46275</v>
      </c>
      <c r="E58" s="19" t="n">
        <v>46275</v>
      </c>
      <c r="F58" s="20" t="n">
        <v>736</v>
      </c>
      <c r="G58" s="20" t="n">
        <v>120</v>
      </c>
      <c r="H58" s="20" t="n">
        <v>0</v>
      </c>
      <c r="I58" s="21" t="n">
        <v>4</v>
      </c>
      <c r="J58" s="20">
        <f>I58*$B$4</f>
        <v/>
      </c>
      <c r="K58" s="20">
        <f>F58-G58-H58-J58</f>
        <v/>
      </c>
      <c r="L58" s="22">
        <f>IF(F58=0,"",K58/F58)</f>
        <v/>
      </c>
    </row>
    <row r="59">
      <c r="A59" s="18" t="inlineStr">
        <is>
          <t>2026-09</t>
        </is>
      </c>
      <c r="B59" s="18" t="inlineStr">
        <is>
          <t>Call-out 57, September</t>
        </is>
      </c>
      <c r="C59" s="18" t="inlineStr">
        <is>
          <t>Call-out</t>
        </is>
      </c>
      <c r="D59" s="19" t="n">
        <v>46292</v>
      </c>
      <c r="E59" s="19" t="n">
        <v>46292</v>
      </c>
      <c r="F59" s="20" t="n">
        <v>550</v>
      </c>
      <c r="G59" s="20" t="n">
        <v>200</v>
      </c>
      <c r="H59" s="20" t="n">
        <v>0</v>
      </c>
      <c r="I59" s="21" t="n">
        <v>2</v>
      </c>
      <c r="J59" s="20">
        <f>I59*$B$4</f>
        <v/>
      </c>
      <c r="K59" s="20">
        <f>F59-G59-H59-J59</f>
        <v/>
      </c>
      <c r="L59" s="22">
        <f>IF(F59=0,"",K59/F59)</f>
        <v/>
      </c>
    </row>
    <row r="60">
      <c r="A60" s="18" t="inlineStr">
        <is>
          <t>2026-09</t>
        </is>
      </c>
      <c r="B60" s="18" t="inlineStr">
        <is>
          <t>Call-out 58, September</t>
        </is>
      </c>
      <c r="C60" s="18" t="inlineStr">
        <is>
          <t>Call-out</t>
        </is>
      </c>
      <c r="D60" s="19" t="n">
        <v>46282</v>
      </c>
      <c r="E60" s="19" t="n">
        <v>46289</v>
      </c>
      <c r="F60" s="20" t="n">
        <v>322</v>
      </c>
      <c r="G60" s="20" t="n">
        <v>80</v>
      </c>
      <c r="H60" s="20" t="n">
        <v>0</v>
      </c>
      <c r="I60" s="21" t="n">
        <v>1.5</v>
      </c>
      <c r="J60" s="20">
        <f>I60*$B$4</f>
        <v/>
      </c>
      <c r="K60" s="20">
        <f>F60-G60-H60-J60</f>
        <v/>
      </c>
      <c r="L60" s="22">
        <f>IF(F60=0,"",K60/F60)</f>
        <v/>
      </c>
    </row>
    <row r="61">
      <c r="A61" s="18" t="inlineStr">
        <is>
          <t>2026-09</t>
        </is>
      </c>
      <c r="B61" s="18" t="inlineStr">
        <is>
          <t>Call-out 59, September</t>
        </is>
      </c>
      <c r="C61" s="18" t="inlineStr">
        <is>
          <t>Call-out</t>
        </is>
      </c>
      <c r="D61" s="19" t="n">
        <v>46292</v>
      </c>
      <c r="E61" s="19" t="n">
        <v>46294</v>
      </c>
      <c r="F61" s="20" t="n">
        <v>348</v>
      </c>
      <c r="G61" s="20" t="n">
        <v>100</v>
      </c>
      <c r="H61" s="20" t="n">
        <v>0</v>
      </c>
      <c r="I61" s="21" t="n">
        <v>1.5</v>
      </c>
      <c r="J61" s="20">
        <f>I61*$B$4</f>
        <v/>
      </c>
      <c r="K61" s="20">
        <f>F61-G61-H61-J61</f>
        <v/>
      </c>
      <c r="L61" s="22">
        <f>IF(F61=0,"",K61/F61)</f>
        <v/>
      </c>
    </row>
    <row r="62">
      <c r="A62" s="18" t="inlineStr">
        <is>
          <t>2026-09</t>
        </is>
      </c>
      <c r="B62" s="18" t="inlineStr">
        <is>
          <t>Call-out 6, September</t>
        </is>
      </c>
      <c r="C62" s="18" t="inlineStr">
        <is>
          <t>Call-out</t>
        </is>
      </c>
      <c r="D62" s="19" t="n">
        <v>46275</v>
      </c>
      <c r="E62" s="19" t="n">
        <v>46282</v>
      </c>
      <c r="F62" s="20" t="n">
        <v>454</v>
      </c>
      <c r="G62" s="20" t="n">
        <v>70</v>
      </c>
      <c r="H62" s="20" t="n">
        <v>0</v>
      </c>
      <c r="I62" s="21" t="n">
        <v>2.5</v>
      </c>
      <c r="J62" s="20">
        <f>I62*$B$4</f>
        <v/>
      </c>
      <c r="K62" s="20">
        <f>F62-G62-H62-J62</f>
        <v/>
      </c>
      <c r="L62" s="22">
        <f>IF(F62=0,"",K62/F62)</f>
        <v/>
      </c>
    </row>
    <row r="63">
      <c r="A63" s="18" t="inlineStr">
        <is>
          <t>2026-09</t>
        </is>
      </c>
      <c r="B63" s="18" t="inlineStr">
        <is>
          <t>Call-out 60, September</t>
        </is>
      </c>
      <c r="C63" s="18" t="inlineStr">
        <is>
          <t>Call-out</t>
        </is>
      </c>
      <c r="D63" s="19" t="n">
        <v>46284</v>
      </c>
      <c r="E63" s="19" t="n">
        <v>46284</v>
      </c>
      <c r="F63" s="20" t="n">
        <v>381</v>
      </c>
      <c r="G63" s="20" t="n">
        <v>70</v>
      </c>
      <c r="H63" s="20" t="n">
        <v>0</v>
      </c>
      <c r="I63" s="21" t="n">
        <v>2</v>
      </c>
      <c r="J63" s="20">
        <f>I63*$B$4</f>
        <v/>
      </c>
      <c r="K63" s="20">
        <f>F63-G63-H63-J63</f>
        <v/>
      </c>
      <c r="L63" s="22">
        <f>IF(F63=0,"",K63/F63)</f>
        <v/>
      </c>
    </row>
    <row r="64">
      <c r="A64" s="18" t="inlineStr">
        <is>
          <t>2026-09</t>
        </is>
      </c>
      <c r="B64" s="18" t="inlineStr">
        <is>
          <t>Call-out 61, September</t>
        </is>
      </c>
      <c r="C64" s="18" t="inlineStr">
        <is>
          <t>Call-out</t>
        </is>
      </c>
      <c r="D64" s="19" t="n">
        <v>46284</v>
      </c>
      <c r="E64" s="19" t="n">
        <v>46298</v>
      </c>
      <c r="F64" s="20" t="n">
        <v>301</v>
      </c>
      <c r="G64" s="20" t="n">
        <v>120</v>
      </c>
      <c r="H64" s="20" t="n">
        <v>0</v>
      </c>
      <c r="I64" s="21" t="n">
        <v>1</v>
      </c>
      <c r="J64" s="20">
        <f>I64*$B$4</f>
        <v/>
      </c>
      <c r="K64" s="20">
        <f>F64-G64-H64-J64</f>
        <v/>
      </c>
      <c r="L64" s="22">
        <f>IF(F64=0,"",K64/F64)</f>
        <v/>
      </c>
    </row>
    <row r="65">
      <c r="A65" s="18" t="inlineStr">
        <is>
          <t>2026-09</t>
        </is>
      </c>
      <c r="B65" s="18" t="inlineStr">
        <is>
          <t>Call-out 62, September</t>
        </is>
      </c>
      <c r="C65" s="18" t="inlineStr">
        <is>
          <t>Call-out</t>
        </is>
      </c>
      <c r="D65" s="19" t="n">
        <v>46281</v>
      </c>
      <c r="E65" s="19" t="n">
        <v>46281</v>
      </c>
      <c r="F65" s="20" t="n">
        <v>335</v>
      </c>
      <c r="G65" s="20" t="n">
        <v>90</v>
      </c>
      <c r="H65" s="20" t="n">
        <v>0</v>
      </c>
      <c r="I65" s="21" t="n">
        <v>1.5</v>
      </c>
      <c r="J65" s="20">
        <f>I65*$B$4</f>
        <v/>
      </c>
      <c r="K65" s="20">
        <f>F65-G65-H65-J65</f>
        <v/>
      </c>
      <c r="L65" s="22">
        <f>IF(F65=0,"",K65/F65)</f>
        <v/>
      </c>
    </row>
    <row r="66">
      <c r="A66" s="18" t="inlineStr">
        <is>
          <t>2026-09</t>
        </is>
      </c>
      <c r="B66" s="18" t="inlineStr">
        <is>
          <t>Call-out 63, September</t>
        </is>
      </c>
      <c r="C66" s="18" t="inlineStr">
        <is>
          <t>Call-out</t>
        </is>
      </c>
      <c r="D66" s="19" t="n">
        <v>46280</v>
      </c>
      <c r="E66" s="19" t="n">
        <v>46310</v>
      </c>
      <c r="F66" s="20" t="n">
        <v>532</v>
      </c>
      <c r="G66" s="20" t="n">
        <v>130</v>
      </c>
      <c r="H66" s="20" t="n">
        <v>0</v>
      </c>
      <c r="I66" s="21" t="n">
        <v>2.5</v>
      </c>
      <c r="J66" s="20">
        <f>I66*$B$4</f>
        <v/>
      </c>
      <c r="K66" s="20">
        <f>F66-G66-H66-J66</f>
        <v/>
      </c>
      <c r="L66" s="22">
        <f>IF(F66=0,"",K66/F66)</f>
        <v/>
      </c>
    </row>
    <row r="67">
      <c r="A67" s="18" t="inlineStr">
        <is>
          <t>2026-09</t>
        </is>
      </c>
      <c r="B67" s="18" t="inlineStr">
        <is>
          <t>Call-out 64, September</t>
        </is>
      </c>
      <c r="C67" s="18" t="inlineStr">
        <is>
          <t>Call-out</t>
        </is>
      </c>
      <c r="D67" s="19" t="n">
        <v>46270</v>
      </c>
      <c r="E67" s="19" t="n">
        <v>46277</v>
      </c>
      <c r="F67" s="20" t="n">
        <v>459</v>
      </c>
      <c r="G67" s="20" t="n">
        <v>130</v>
      </c>
      <c r="H67" s="20" t="n">
        <v>0</v>
      </c>
      <c r="I67" s="21" t="n">
        <v>2</v>
      </c>
      <c r="J67" s="20">
        <f>I67*$B$4</f>
        <v/>
      </c>
      <c r="K67" s="20">
        <f>F67-G67-H67-J67</f>
        <v/>
      </c>
      <c r="L67" s="22">
        <f>IF(F67=0,"",K67/F67)</f>
        <v/>
      </c>
    </row>
    <row r="68">
      <c r="A68" s="18" t="inlineStr">
        <is>
          <t>2026-09</t>
        </is>
      </c>
      <c r="B68" s="18" t="inlineStr">
        <is>
          <t>Call-out 7, September</t>
        </is>
      </c>
      <c r="C68" s="18" t="inlineStr">
        <is>
          <t>Call-out</t>
        </is>
      </c>
      <c r="D68" s="19" t="n">
        <v>46280</v>
      </c>
      <c r="E68" s="19" t="n">
        <v>46294</v>
      </c>
      <c r="F68" s="20" t="n">
        <v>734</v>
      </c>
      <c r="G68" s="20" t="n">
        <v>230</v>
      </c>
      <c r="H68" s="20" t="n">
        <v>0</v>
      </c>
      <c r="I68" s="21" t="n">
        <v>3</v>
      </c>
      <c r="J68" s="20">
        <f>I68*$B$4</f>
        <v/>
      </c>
      <c r="K68" s="20">
        <f>F68-G68-H68-J68</f>
        <v/>
      </c>
      <c r="L68" s="22">
        <f>IF(F68=0,"",K68/F68)</f>
        <v/>
      </c>
    </row>
    <row r="69">
      <c r="A69" s="18" t="inlineStr">
        <is>
          <t>2026-09</t>
        </is>
      </c>
      <c r="B69" s="18" t="inlineStr">
        <is>
          <t>Call-out 8, September</t>
        </is>
      </c>
      <c r="C69" s="18" t="inlineStr">
        <is>
          <t>Call-out</t>
        </is>
      </c>
      <c r="D69" s="19" t="n">
        <v>46267</v>
      </c>
      <c r="E69" s="19" t="n">
        <v>46269</v>
      </c>
      <c r="F69" s="20" t="n">
        <v>444</v>
      </c>
      <c r="G69" s="20" t="n">
        <v>230</v>
      </c>
      <c r="H69" s="20" t="n">
        <v>0</v>
      </c>
      <c r="I69" s="21" t="n">
        <v>1</v>
      </c>
      <c r="J69" s="20">
        <f>I69*$B$4</f>
        <v/>
      </c>
      <c r="K69" s="20">
        <f>F69-G69-H69-J69</f>
        <v/>
      </c>
      <c r="L69" s="22">
        <f>IF(F69=0,"",K69/F69)</f>
        <v/>
      </c>
    </row>
    <row r="70">
      <c r="A70" s="18" t="inlineStr">
        <is>
          <t>2026-09</t>
        </is>
      </c>
      <c r="B70" s="18" t="inlineStr">
        <is>
          <t>Call-out 9, September</t>
        </is>
      </c>
      <c r="C70" s="18" t="inlineStr">
        <is>
          <t>Call-out</t>
        </is>
      </c>
      <c r="D70" s="19" t="n">
        <v>46287</v>
      </c>
      <c r="E70" s="19" t="n">
        <v>46317</v>
      </c>
      <c r="F70" s="20" t="n">
        <v>762</v>
      </c>
      <c r="G70" s="20" t="n">
        <v>140</v>
      </c>
      <c r="H70" s="20" t="n">
        <v>0</v>
      </c>
      <c r="I70" s="21" t="n">
        <v>4</v>
      </c>
      <c r="J70" s="20">
        <f>I70*$B$4</f>
        <v/>
      </c>
      <c r="K70" s="20">
        <f>F70-G70-H70-J70</f>
        <v/>
      </c>
      <c r="L70" s="22">
        <f>IF(F70=0,"",K70/F70)</f>
        <v/>
      </c>
    </row>
    <row r="71">
      <c r="A71" s="18" t="inlineStr">
        <is>
          <t>2026-09</t>
        </is>
      </c>
      <c r="B71" s="18" t="inlineStr">
        <is>
          <t>Bulimba EV chargers</t>
        </is>
      </c>
      <c r="C71" s="18" t="inlineStr">
        <is>
          <t>Installation</t>
        </is>
      </c>
      <c r="D71" s="19" t="n">
        <v>46288</v>
      </c>
      <c r="E71" s="19" t="n">
        <v>46318</v>
      </c>
      <c r="F71" s="20" t="n">
        <v>9800</v>
      </c>
      <c r="G71" s="20" t="n">
        <v>3600</v>
      </c>
      <c r="H71" s="20" t="n">
        <v>0</v>
      </c>
      <c r="I71" s="21" t="n">
        <v>26</v>
      </c>
      <c r="J71" s="20">
        <f>I71*$B$4</f>
        <v/>
      </c>
      <c r="K71" s="20">
        <f>F71-G71-H71-J71</f>
        <v/>
      </c>
      <c r="L71" s="22">
        <f>IF(F71=0,"",K71/F71)</f>
        <v/>
      </c>
    </row>
    <row r="72">
      <c r="A72" s="18" t="inlineStr">
        <is>
          <t>2026-09</t>
        </is>
      </c>
      <c r="B72" s="18" t="inlineStr">
        <is>
          <t>Carindale solar and battery</t>
        </is>
      </c>
      <c r="C72" s="18" t="inlineStr">
        <is>
          <t>Installation</t>
        </is>
      </c>
      <c r="D72" s="19" t="n">
        <v>46280</v>
      </c>
      <c r="E72" s="19" t="n">
        <v>46294</v>
      </c>
      <c r="F72" s="20" t="n">
        <v>27400</v>
      </c>
      <c r="G72" s="20" t="n">
        <v>13800</v>
      </c>
      <c r="H72" s="20" t="n">
        <v>3100</v>
      </c>
      <c r="I72" s="21" t="n">
        <v>46</v>
      </c>
      <c r="J72" s="20">
        <f>I72*$B$4</f>
        <v/>
      </c>
      <c r="K72" s="20">
        <f>F72-G72-H72-J72</f>
        <v/>
      </c>
      <c r="L72" s="22">
        <f>IF(F72=0,"",K72/F72)</f>
        <v/>
      </c>
    </row>
    <row r="73">
      <c r="A73" s="18" t="inlineStr">
        <is>
          <t>2026-09</t>
        </is>
      </c>
      <c r="B73" s="18" t="inlineStr">
        <is>
          <t>Chermside clinic cabling</t>
        </is>
      </c>
      <c r="C73" s="18" t="inlineStr">
        <is>
          <t>Installation</t>
        </is>
      </c>
      <c r="D73" s="19" t="n">
        <v>46294</v>
      </c>
      <c r="E73" s="19" t="n">
        <v>46324</v>
      </c>
      <c r="F73" s="20" t="n">
        <v>15200</v>
      </c>
      <c r="G73" s="20" t="n">
        <v>4300</v>
      </c>
      <c r="H73" s="20" t="n">
        <v>1800</v>
      </c>
      <c r="I73" s="21" t="n">
        <v>52</v>
      </c>
      <c r="J73" s="20">
        <f>I73*$B$4</f>
        <v/>
      </c>
      <c r="K73" s="20">
        <f>F73-G73-H73-J73</f>
        <v/>
      </c>
      <c r="L73" s="22">
        <f>IF(F73=0,"",K73/F73)</f>
        <v/>
      </c>
    </row>
    <row r="74">
      <c r="A74" s="18" t="inlineStr">
        <is>
          <t>2026-09</t>
        </is>
      </c>
      <c r="B74" s="18" t="inlineStr">
        <is>
          <t>Milton office LED lighting</t>
        </is>
      </c>
      <c r="C74" s="18" t="inlineStr">
        <is>
          <t>Installation</t>
        </is>
      </c>
      <c r="D74" s="19" t="n">
        <v>46274</v>
      </c>
      <c r="E74" s="19" t="n">
        <v>46304</v>
      </c>
      <c r="F74" s="20" t="n">
        <v>18600</v>
      </c>
      <c r="G74" s="20" t="n">
        <v>6900</v>
      </c>
      <c r="H74" s="20" t="n">
        <v>0</v>
      </c>
      <c r="I74" s="21" t="n">
        <v>64</v>
      </c>
      <c r="J74" s="20">
        <f>I74*$B$4</f>
        <v/>
      </c>
      <c r="K74" s="20">
        <f>F74-G74-H74-J74</f>
        <v/>
      </c>
      <c r="L74" s="22">
        <f>IF(F74=0,"",K74/F74)</f>
        <v/>
      </c>
    </row>
    <row r="75">
      <c r="A75" s="18" t="inlineStr">
        <is>
          <t>2026-09</t>
        </is>
      </c>
      <c r="B75" s="18" t="inlineStr">
        <is>
          <t>Wacol warehouse switchboard</t>
        </is>
      </c>
      <c r="C75" s="18" t="inlineStr">
        <is>
          <t>Installation</t>
        </is>
      </c>
      <c r="D75" s="19" t="n">
        <v>46269</v>
      </c>
      <c r="E75" s="19" t="n">
        <v>46314</v>
      </c>
      <c r="F75" s="20" t="n">
        <v>46800</v>
      </c>
      <c r="G75" s="20" t="n">
        <v>22900</v>
      </c>
      <c r="H75" s="20" t="n">
        <v>7400</v>
      </c>
      <c r="I75" s="21" t="n">
        <v>150</v>
      </c>
      <c r="J75" s="20">
        <f>I75*$B$4</f>
        <v/>
      </c>
      <c r="K75" s="20">
        <f>F75-G75-H75-J75</f>
        <v/>
      </c>
      <c r="L75" s="22">
        <f>IF(F75=0,"",K75/F75)</f>
        <v/>
      </c>
    </row>
    <row r="76">
      <c r="A76" s="18" t="inlineStr">
        <is>
          <t>2026-09</t>
        </is>
      </c>
      <c r="B76" s="18" t="inlineStr">
        <is>
          <t>West End cafe air-con</t>
        </is>
      </c>
      <c r="C76" s="18" t="inlineStr">
        <is>
          <t>Installation</t>
        </is>
      </c>
      <c r="D76" s="19" t="n">
        <v>46283</v>
      </c>
      <c r="E76" s="19" t="n">
        <v>46304</v>
      </c>
      <c r="F76" s="20" t="n">
        <v>12900</v>
      </c>
      <c r="G76" s="20" t="n">
        <v>5100</v>
      </c>
      <c r="H76" s="20" t="n">
        <v>900</v>
      </c>
      <c r="I76" s="21" t="n">
        <v>38</v>
      </c>
      <c r="J76" s="20">
        <f>I76*$B$4</f>
        <v/>
      </c>
      <c r="K76" s="20">
        <f>F76-G76-H76-J76</f>
        <v/>
      </c>
      <c r="L76" s="22">
        <f>IF(F76=0,"",K76/F76)</f>
        <v/>
      </c>
    </row>
    <row r="77">
      <c r="A77" s="18" t="inlineStr">
        <is>
          <t>2026-09</t>
        </is>
      </c>
      <c r="B77" s="18" t="inlineStr">
        <is>
          <t>Ashgrove aged care</t>
        </is>
      </c>
      <c r="C77" s="18" t="inlineStr">
        <is>
          <t>Maintenance contract</t>
        </is>
      </c>
      <c r="D77" s="19" t="n">
        <v>46266</v>
      </c>
      <c r="E77" s="19" t="n">
        <v>46296</v>
      </c>
      <c r="F77" s="20" t="n">
        <v>3600</v>
      </c>
      <c r="G77" s="20" t="n">
        <v>80</v>
      </c>
      <c r="H77" s="20" t="n">
        <v>0</v>
      </c>
      <c r="I77" s="21" t="n">
        <v>20</v>
      </c>
      <c r="J77" s="20">
        <f>I77*$B$4</f>
        <v/>
      </c>
      <c r="K77" s="20">
        <f>F77-G77-H77-J77</f>
        <v/>
      </c>
      <c r="L77" s="22">
        <f>IF(F77=0,"",K77/F77)</f>
        <v/>
      </c>
    </row>
    <row r="78">
      <c r="A78" s="18" t="inlineStr">
        <is>
          <t>2026-09</t>
        </is>
      </c>
      <c r="B78" s="18" t="inlineStr">
        <is>
          <t>Bulimba school</t>
        </is>
      </c>
      <c r="C78" s="18" t="inlineStr">
        <is>
          <t>Maintenance contract</t>
        </is>
      </c>
      <c r="D78" s="19" t="n">
        <v>46266</v>
      </c>
      <c r="E78" s="19" t="n">
        <v>46304</v>
      </c>
      <c r="F78" s="20" t="n">
        <v>2800</v>
      </c>
      <c r="G78" s="20" t="n">
        <v>60</v>
      </c>
      <c r="H78" s="20" t="n">
        <v>0</v>
      </c>
      <c r="I78" s="21" t="n">
        <v>16</v>
      </c>
      <c r="J78" s="20">
        <f>I78*$B$4</f>
        <v/>
      </c>
      <c r="K78" s="20">
        <f>F78-G78-H78-J78</f>
        <v/>
      </c>
      <c r="L78" s="22">
        <f>IF(F78=0,"",K78/F78)</f>
        <v/>
      </c>
    </row>
    <row r="79">
      <c r="A79" s="18" t="inlineStr">
        <is>
          <t>2026-09</t>
        </is>
      </c>
      <c r="B79" s="18" t="inlineStr">
        <is>
          <t>Carindale vet clinic</t>
        </is>
      </c>
      <c r="C79" s="18" t="inlineStr">
        <is>
          <t>Maintenance contract</t>
        </is>
      </c>
      <c r="D79" s="19" t="n">
        <v>46266</v>
      </c>
      <c r="E79" s="19" t="n">
        <v>46291</v>
      </c>
      <c r="F79" s="20" t="n">
        <v>1700</v>
      </c>
      <c r="G79" s="20" t="n">
        <v>30</v>
      </c>
      <c r="H79" s="20" t="n">
        <v>0</v>
      </c>
      <c r="I79" s="21" t="n">
        <v>9</v>
      </c>
      <c r="J79" s="20">
        <f>I79*$B$4</f>
        <v/>
      </c>
      <c r="K79" s="20">
        <f>F79-G79-H79-J79</f>
        <v/>
      </c>
      <c r="L79" s="22">
        <f>IF(F79=0,"",K79/F79)</f>
        <v/>
      </c>
    </row>
    <row r="80">
      <c r="A80" s="18" t="inlineStr">
        <is>
          <t>2026-09</t>
        </is>
      </c>
      <c r="B80" s="18" t="inlineStr">
        <is>
          <t>Chermside retail centre</t>
        </is>
      </c>
      <c r="C80" s="18" t="inlineStr">
        <is>
          <t>Maintenance contract</t>
        </is>
      </c>
      <c r="D80" s="19" t="n">
        <v>46266</v>
      </c>
      <c r="E80" s="19" t="n">
        <v>46299</v>
      </c>
      <c r="F80" s="20" t="n">
        <v>4100</v>
      </c>
      <c r="G80" s="20" t="n">
        <v>100</v>
      </c>
      <c r="H80" s="20" t="n">
        <v>0</v>
      </c>
      <c r="I80" s="21" t="n">
        <v>23</v>
      </c>
      <c r="J80" s="20">
        <f>I80*$B$4</f>
        <v/>
      </c>
      <c r="K80" s="20">
        <f>F80-G80-H80-J80</f>
        <v/>
      </c>
      <c r="L80" s="22">
        <f>IF(F80=0,"",K80/F80)</f>
        <v/>
      </c>
    </row>
    <row r="81">
      <c r="A81" s="18" t="inlineStr">
        <is>
          <t>2026-09</t>
        </is>
      </c>
      <c r="B81" s="18" t="inlineStr">
        <is>
          <t>Fortitude Valley hotel</t>
        </is>
      </c>
      <c r="C81" s="18" t="inlineStr">
        <is>
          <t>Maintenance contract</t>
        </is>
      </c>
      <c r="D81" s="19" t="n">
        <v>46266</v>
      </c>
      <c r="E81" s="19" t="n">
        <v>46296</v>
      </c>
      <c r="F81" s="20" t="n">
        <v>3400</v>
      </c>
      <c r="G81" s="20" t="n">
        <v>70</v>
      </c>
      <c r="H81" s="20" t="n">
        <v>0</v>
      </c>
      <c r="I81" s="21" t="n">
        <v>19</v>
      </c>
      <c r="J81" s="20">
        <f>I81*$B$4</f>
        <v/>
      </c>
      <c r="K81" s="20">
        <f>F81-G81-H81-J81</f>
        <v/>
      </c>
      <c r="L81" s="22">
        <f>IF(F81=0,"",K81/F81)</f>
        <v/>
      </c>
    </row>
    <row r="82">
      <c r="A82" s="18" t="inlineStr">
        <is>
          <t>2026-09</t>
        </is>
      </c>
      <c r="B82" s="18" t="inlineStr">
        <is>
          <t>Kangaroo Point townhouses</t>
        </is>
      </c>
      <c r="C82" s="18" t="inlineStr">
        <is>
          <t>Maintenance contract</t>
        </is>
      </c>
      <c r="D82" s="19" t="n">
        <v>46266</v>
      </c>
      <c r="E82" s="19" t="n">
        <v>46304</v>
      </c>
      <c r="F82" s="20" t="n">
        <v>2400</v>
      </c>
      <c r="G82" s="20" t="n">
        <v>50</v>
      </c>
      <c r="H82" s="20" t="n">
        <v>0</v>
      </c>
      <c r="I82" s="21" t="n">
        <v>14</v>
      </c>
      <c r="J82" s="20">
        <f>I82*$B$4</f>
        <v/>
      </c>
      <c r="K82" s="20">
        <f>F82-G82-H82-J82</f>
        <v/>
      </c>
      <c r="L82" s="22">
        <f>IF(F82=0,"",K82/F82)</f>
        <v/>
      </c>
    </row>
    <row r="83">
      <c r="A83" s="18" t="inlineStr">
        <is>
          <t>2026-09</t>
        </is>
      </c>
      <c r="B83" s="18" t="inlineStr">
        <is>
          <t>Milton office tower</t>
        </is>
      </c>
      <c r="C83" s="18" t="inlineStr">
        <is>
          <t>Maintenance contract</t>
        </is>
      </c>
      <c r="D83" s="19" t="n">
        <v>46266</v>
      </c>
      <c r="E83" s="19" t="n">
        <v>46304</v>
      </c>
      <c r="F83" s="20" t="n">
        <v>4200</v>
      </c>
      <c r="G83" s="20" t="n">
        <v>90</v>
      </c>
      <c r="H83" s="20" t="n">
        <v>0</v>
      </c>
      <c r="I83" s="21" t="n">
        <v>24</v>
      </c>
      <c r="J83" s="20">
        <f>I83*$B$4</f>
        <v/>
      </c>
      <c r="K83" s="20">
        <f>F83-G83-H83-J83</f>
        <v/>
      </c>
      <c r="L83" s="22">
        <f>IF(F83=0,"",K83/F83)</f>
        <v/>
      </c>
    </row>
    <row r="84">
      <c r="A84" s="18" t="inlineStr">
        <is>
          <t>2026-09</t>
        </is>
      </c>
      <c r="B84" s="18" t="inlineStr">
        <is>
          <t>Newstead gym</t>
        </is>
      </c>
      <c r="C84" s="18" t="inlineStr">
        <is>
          <t>Maintenance contract</t>
        </is>
      </c>
      <c r="D84" s="19" t="n">
        <v>46266</v>
      </c>
      <c r="E84" s="19" t="n">
        <v>46304</v>
      </c>
      <c r="F84" s="20" t="n">
        <v>1600</v>
      </c>
      <c r="G84" s="20" t="n">
        <v>30</v>
      </c>
      <c r="H84" s="20" t="n">
        <v>0</v>
      </c>
      <c r="I84" s="21" t="n">
        <v>9</v>
      </c>
      <c r="J84" s="20">
        <f>I84*$B$4</f>
        <v/>
      </c>
      <c r="K84" s="20">
        <f>F84-G84-H84-J84</f>
        <v/>
      </c>
      <c r="L84" s="22">
        <f>IF(F84=0,"",K84/F84)</f>
        <v/>
      </c>
    </row>
    <row r="85">
      <c r="A85" s="18" t="inlineStr">
        <is>
          <t>2026-09</t>
        </is>
      </c>
      <c r="B85" s="18" t="inlineStr">
        <is>
          <t>Riverside Apartments (strata)</t>
        </is>
      </c>
      <c r="C85" s="18" t="inlineStr">
        <is>
          <t>Maintenance contract</t>
        </is>
      </c>
      <c r="D85" s="19" t="n">
        <v>46266</v>
      </c>
      <c r="E85" s="19" t="n">
        <v>46296</v>
      </c>
      <c r="F85" s="20" t="n">
        <v>3200</v>
      </c>
      <c r="G85" s="20" t="n">
        <v>60</v>
      </c>
      <c r="H85" s="20" t="n">
        <v>0</v>
      </c>
      <c r="I85" s="21" t="n">
        <v>18</v>
      </c>
      <c r="J85" s="20">
        <f>I85*$B$4</f>
        <v/>
      </c>
      <c r="K85" s="20">
        <f>F85-G85-H85-J85</f>
        <v/>
      </c>
      <c r="L85" s="22">
        <f>IF(F85=0,"",K85/F85)</f>
        <v/>
      </c>
    </row>
    <row r="86">
      <c r="A86" s="18" t="inlineStr">
        <is>
          <t>2026-09</t>
        </is>
      </c>
      <c r="B86" s="18" t="inlineStr">
        <is>
          <t>Rocklea factory</t>
        </is>
      </c>
      <c r="C86" s="18" t="inlineStr">
        <is>
          <t>Maintenance contract</t>
        </is>
      </c>
      <c r="D86" s="19" t="n">
        <v>46266</v>
      </c>
      <c r="E86" s="19" t="n">
        <v>46304</v>
      </c>
      <c r="F86" s="20" t="n">
        <v>3900</v>
      </c>
      <c r="G86" s="20" t="n">
        <v>110</v>
      </c>
      <c r="H86" s="20" t="n">
        <v>0</v>
      </c>
      <c r="I86" s="21" t="n">
        <v>22</v>
      </c>
      <c r="J86" s="20">
        <f>I86*$B$4</f>
        <v/>
      </c>
      <c r="K86" s="20">
        <f>F86-G86-H86-J86</f>
        <v/>
      </c>
      <c r="L86" s="22">
        <f>IF(F86=0,"",K86/F86)</f>
        <v/>
      </c>
    </row>
    <row r="87">
      <c r="A87" s="18" t="inlineStr">
        <is>
          <t>2026-09</t>
        </is>
      </c>
      <c r="B87" s="18" t="inlineStr">
        <is>
          <t>Southbank cafe group</t>
        </is>
      </c>
      <c r="C87" s="18" t="inlineStr">
        <is>
          <t>Maintenance contract</t>
        </is>
      </c>
      <c r="D87" s="19" t="n">
        <v>46266</v>
      </c>
      <c r="E87" s="19" t="n">
        <v>46296</v>
      </c>
      <c r="F87" s="20" t="n">
        <v>1800</v>
      </c>
      <c r="G87" s="20" t="n">
        <v>40</v>
      </c>
      <c r="H87" s="20" t="n">
        <v>0</v>
      </c>
      <c r="I87" s="21" t="n">
        <v>10</v>
      </c>
      <c r="J87" s="20">
        <f>I87*$B$4</f>
        <v/>
      </c>
      <c r="K87" s="20">
        <f>F87-G87-H87-J87</f>
        <v/>
      </c>
      <c r="L87" s="22">
        <f>IF(F87=0,"",K87/F87)</f>
        <v/>
      </c>
    </row>
    <row r="88">
      <c r="A88" s="18" t="inlineStr">
        <is>
          <t>2026-09</t>
        </is>
      </c>
      <c r="B88" s="18" t="inlineStr">
        <is>
          <t>Wacol logistics depot</t>
        </is>
      </c>
      <c r="C88" s="18" t="inlineStr">
        <is>
          <t>Maintenance contract</t>
        </is>
      </c>
      <c r="D88" s="19" t="n">
        <v>46266</v>
      </c>
      <c r="E88" s="19" t="n">
        <v>46296</v>
      </c>
      <c r="F88" s="20" t="n">
        <v>3000</v>
      </c>
      <c r="G88" s="20" t="n">
        <v>70</v>
      </c>
      <c r="H88" s="20" t="n">
        <v>0</v>
      </c>
      <c r="I88" s="21" t="n">
        <v>17</v>
      </c>
      <c r="J88" s="20">
        <f>I88*$B$4</f>
        <v/>
      </c>
      <c r="K88" s="20">
        <f>F88-G88-H88-J88</f>
        <v/>
      </c>
      <c r="L88" s="22">
        <f>IF(F88=0,"",K88/F88)</f>
        <v/>
      </c>
    </row>
    <row r="89">
      <c r="A89" s="18" t="inlineStr">
        <is>
          <t>2026-09</t>
        </is>
      </c>
      <c r="B89" s="18" t="inlineStr">
        <is>
          <t>West End brewery</t>
        </is>
      </c>
      <c r="C89" s="18" t="inlineStr">
        <is>
          <t>Maintenance contract</t>
        </is>
      </c>
      <c r="D89" s="19" t="n">
        <v>46266</v>
      </c>
      <c r="E89" s="19" t="n">
        <v>46304</v>
      </c>
      <c r="F89" s="20" t="n">
        <v>2600</v>
      </c>
      <c r="G89" s="20" t="n">
        <v>50</v>
      </c>
      <c r="H89" s="20" t="n">
        <v>0</v>
      </c>
      <c r="I89" s="21" t="n">
        <v>15</v>
      </c>
      <c r="J89" s="20">
        <f>I89*$B$4</f>
        <v/>
      </c>
      <c r="K89" s="20">
        <f>F89-G89-H89-J89</f>
        <v/>
      </c>
      <c r="L89" s="22">
        <f>IF(F89=0,"",K89/F89)</f>
        <v/>
      </c>
    </row>
    <row r="90">
      <c r="A90" s="18" t="inlineStr">
        <is>
          <t>2026-09</t>
        </is>
      </c>
      <c r="B90" s="18" t="inlineStr">
        <is>
          <t>Wynnum medical centre</t>
        </is>
      </c>
      <c r="C90" s="18" t="inlineStr">
        <is>
          <t>Maintenance contract</t>
        </is>
      </c>
      <c r="D90" s="19" t="n">
        <v>46266</v>
      </c>
      <c r="E90" s="19" t="n">
        <v>46299</v>
      </c>
      <c r="F90" s="20" t="n">
        <v>2200</v>
      </c>
      <c r="G90" s="20" t="n">
        <v>40</v>
      </c>
      <c r="H90" s="20" t="n">
        <v>0</v>
      </c>
      <c r="I90" s="21" t="n">
        <v>12</v>
      </c>
      <c r="J90" s="20">
        <f>I90*$B$4</f>
        <v/>
      </c>
      <c r="K90" s="20">
        <f>F90-G90-H90-J90</f>
        <v/>
      </c>
      <c r="L90" s="22">
        <f>IF(F90=0,"",K90/F90)</f>
        <v/>
      </c>
    </row>
    <row r="91">
      <c r="A91" s="18" t="inlineStr">
        <is>
          <t>2026-08</t>
        </is>
      </c>
      <c r="B91" s="18" t="inlineStr">
        <is>
          <t>Call-out 1, August</t>
        </is>
      </c>
      <c r="C91" s="18" t="inlineStr">
        <is>
          <t>Call-out</t>
        </is>
      </c>
      <c r="D91" s="19" t="n">
        <v>46258</v>
      </c>
      <c r="E91" s="19" t="n">
        <v>46272</v>
      </c>
      <c r="F91" s="20" t="n">
        <v>853</v>
      </c>
      <c r="G91" s="20" t="n">
        <v>210</v>
      </c>
      <c r="H91" s="20" t="n">
        <v>0</v>
      </c>
      <c r="I91" s="21" t="n">
        <v>4</v>
      </c>
      <c r="J91" s="20">
        <f>I91*$B$4</f>
        <v/>
      </c>
      <c r="K91" s="20">
        <f>F91-G91-H91-J91</f>
        <v/>
      </c>
      <c r="L91" s="22">
        <f>IF(F91=0,"",K91/F91)</f>
        <v/>
      </c>
    </row>
    <row r="92">
      <c r="A92" s="18" t="inlineStr">
        <is>
          <t>2026-08</t>
        </is>
      </c>
      <c r="B92" s="18" t="inlineStr">
        <is>
          <t>Call-out 10, August</t>
        </is>
      </c>
      <c r="C92" s="18" t="inlineStr">
        <is>
          <t>Call-out</t>
        </is>
      </c>
      <c r="D92" s="19" t="n">
        <v>46242</v>
      </c>
      <c r="E92" s="19" t="n">
        <v>46272</v>
      </c>
      <c r="F92" s="20" t="n">
        <v>342</v>
      </c>
      <c r="G92" s="20" t="n">
        <v>40</v>
      </c>
      <c r="H92" s="20" t="n">
        <v>0</v>
      </c>
      <c r="I92" s="21" t="n">
        <v>2</v>
      </c>
      <c r="J92" s="20">
        <f>I92*$B$4</f>
        <v/>
      </c>
      <c r="K92" s="20">
        <f>F92-G92-H92-J92</f>
        <v/>
      </c>
      <c r="L92" s="22">
        <f>IF(F92=0,"",K92/F92)</f>
        <v/>
      </c>
    </row>
    <row r="93">
      <c r="A93" s="18" t="inlineStr">
        <is>
          <t>2026-08</t>
        </is>
      </c>
      <c r="B93" s="18" t="inlineStr">
        <is>
          <t>Call-out 11, August</t>
        </is>
      </c>
      <c r="C93" s="18" t="inlineStr">
        <is>
          <t>Call-out</t>
        </is>
      </c>
      <c r="D93" s="19" t="n">
        <v>46237</v>
      </c>
      <c r="E93" s="19" t="n">
        <v>46244</v>
      </c>
      <c r="F93" s="20" t="n">
        <v>474</v>
      </c>
      <c r="G93" s="20" t="n">
        <v>30</v>
      </c>
      <c r="H93" s="20" t="n">
        <v>0</v>
      </c>
      <c r="I93" s="21" t="n">
        <v>3</v>
      </c>
      <c r="J93" s="20">
        <f>I93*$B$4</f>
        <v/>
      </c>
      <c r="K93" s="20">
        <f>F93-G93-H93-J93</f>
        <v/>
      </c>
      <c r="L93" s="22">
        <f>IF(F93=0,"",K93/F93)</f>
        <v/>
      </c>
    </row>
    <row r="94">
      <c r="A94" s="18" t="inlineStr">
        <is>
          <t>2026-08</t>
        </is>
      </c>
      <c r="B94" s="18" t="inlineStr">
        <is>
          <t>Call-out 12, August</t>
        </is>
      </c>
      <c r="C94" s="18" t="inlineStr">
        <is>
          <t>Call-out</t>
        </is>
      </c>
      <c r="D94" s="19" t="n">
        <v>46261</v>
      </c>
      <c r="E94" s="19" t="n">
        <v>46263</v>
      </c>
      <c r="F94" s="20" t="n">
        <v>708</v>
      </c>
      <c r="G94" s="20" t="n">
        <v>210</v>
      </c>
      <c r="H94" s="20" t="n">
        <v>0</v>
      </c>
      <c r="I94" s="21" t="n">
        <v>3</v>
      </c>
      <c r="J94" s="20">
        <f>I94*$B$4</f>
        <v/>
      </c>
      <c r="K94" s="20">
        <f>F94-G94-H94-J94</f>
        <v/>
      </c>
      <c r="L94" s="22">
        <f>IF(F94=0,"",K94/F94)</f>
        <v/>
      </c>
    </row>
    <row r="95">
      <c r="A95" s="18" t="inlineStr">
        <is>
          <t>2026-08</t>
        </is>
      </c>
      <c r="B95" s="18" t="inlineStr">
        <is>
          <t>Call-out 13, August</t>
        </is>
      </c>
      <c r="C95" s="18" t="inlineStr">
        <is>
          <t>Call-out</t>
        </is>
      </c>
      <c r="D95" s="19" t="n">
        <v>46246</v>
      </c>
      <c r="E95" s="19" t="n">
        <v>46246</v>
      </c>
      <c r="F95" s="20" t="n">
        <v>381</v>
      </c>
      <c r="G95" s="20" t="n">
        <v>70</v>
      </c>
      <c r="H95" s="20" t="n">
        <v>0</v>
      </c>
      <c r="I95" s="21" t="n">
        <v>2</v>
      </c>
      <c r="J95" s="20">
        <f>I95*$B$4</f>
        <v/>
      </c>
      <c r="K95" s="20">
        <f>F95-G95-H95-J95</f>
        <v/>
      </c>
      <c r="L95" s="22">
        <f>IF(F95=0,"",K95/F95)</f>
        <v/>
      </c>
    </row>
    <row r="96">
      <c r="A96" s="18" t="inlineStr">
        <is>
          <t>2026-08</t>
        </is>
      </c>
      <c r="B96" s="18" t="inlineStr">
        <is>
          <t>Call-out 14, August</t>
        </is>
      </c>
      <c r="C96" s="18" t="inlineStr">
        <is>
          <t>Call-out</t>
        </is>
      </c>
      <c r="D96" s="19" t="n">
        <v>46239</v>
      </c>
      <c r="E96" s="19" t="n">
        <v>46269</v>
      </c>
      <c r="F96" s="20" t="n">
        <v>695</v>
      </c>
      <c r="G96" s="20" t="n">
        <v>200</v>
      </c>
      <c r="H96" s="20" t="n">
        <v>0</v>
      </c>
      <c r="I96" s="21" t="n">
        <v>3</v>
      </c>
      <c r="J96" s="20">
        <f>I96*$B$4</f>
        <v/>
      </c>
      <c r="K96" s="20">
        <f>F96-G96-H96-J96</f>
        <v/>
      </c>
      <c r="L96" s="22">
        <f>IF(F96=0,"",K96/F96)</f>
        <v/>
      </c>
    </row>
    <row r="97">
      <c r="A97" s="18" t="inlineStr">
        <is>
          <t>2026-08</t>
        </is>
      </c>
      <c r="B97" s="18" t="inlineStr">
        <is>
          <t>Call-out 15, August</t>
        </is>
      </c>
      <c r="C97" s="18" t="inlineStr">
        <is>
          <t>Call-out</t>
        </is>
      </c>
      <c r="D97" s="19" t="n">
        <v>46243</v>
      </c>
      <c r="E97" s="19" t="n">
        <v>46257</v>
      </c>
      <c r="F97" s="20" t="n">
        <v>539</v>
      </c>
      <c r="G97" s="20" t="n">
        <v>80</v>
      </c>
      <c r="H97" s="20" t="n">
        <v>0</v>
      </c>
      <c r="I97" s="21" t="n">
        <v>3</v>
      </c>
      <c r="J97" s="20">
        <f>I97*$B$4</f>
        <v/>
      </c>
      <c r="K97" s="20">
        <f>F97-G97-H97-J97</f>
        <v/>
      </c>
      <c r="L97" s="22">
        <f>IF(F97=0,"",K97/F97)</f>
        <v/>
      </c>
    </row>
    <row r="98">
      <c r="A98" s="18" t="inlineStr">
        <is>
          <t>2026-08</t>
        </is>
      </c>
      <c r="B98" s="18" t="inlineStr">
        <is>
          <t>Call-out 16, August</t>
        </is>
      </c>
      <c r="C98" s="18" t="inlineStr">
        <is>
          <t>Call-out</t>
        </is>
      </c>
      <c r="D98" s="19" t="n">
        <v>46256</v>
      </c>
      <c r="E98" s="19" t="n">
        <v>46286</v>
      </c>
      <c r="F98" s="20" t="n">
        <v>840</v>
      </c>
      <c r="G98" s="20" t="n">
        <v>200</v>
      </c>
      <c r="H98" s="20" t="n">
        <v>0</v>
      </c>
      <c r="I98" s="21" t="n">
        <v>4</v>
      </c>
      <c r="J98" s="20">
        <f>I98*$B$4</f>
        <v/>
      </c>
      <c r="K98" s="20">
        <f>F98-G98-H98-J98</f>
        <v/>
      </c>
      <c r="L98" s="22">
        <f>IF(F98=0,"",K98/F98)</f>
        <v/>
      </c>
    </row>
    <row r="99">
      <c r="A99" s="18" t="inlineStr">
        <is>
          <t>2026-08</t>
        </is>
      </c>
      <c r="B99" s="18" t="inlineStr">
        <is>
          <t>Call-out 17, August</t>
        </is>
      </c>
      <c r="C99" s="18" t="inlineStr">
        <is>
          <t>Call-out</t>
        </is>
      </c>
      <c r="D99" s="19" t="n">
        <v>46251</v>
      </c>
      <c r="E99" s="19" t="n">
        <v>46251</v>
      </c>
      <c r="F99" s="20" t="n">
        <v>866</v>
      </c>
      <c r="G99" s="20" t="n">
        <v>220</v>
      </c>
      <c r="H99" s="20" t="n">
        <v>0</v>
      </c>
      <c r="I99" s="21" t="n">
        <v>4</v>
      </c>
      <c r="J99" s="20">
        <f>I99*$B$4</f>
        <v/>
      </c>
      <c r="K99" s="20">
        <f>F99-G99-H99-J99</f>
        <v/>
      </c>
      <c r="L99" s="22">
        <f>IF(F99=0,"",K99/F99)</f>
        <v/>
      </c>
    </row>
    <row r="100">
      <c r="A100" s="18" t="inlineStr">
        <is>
          <t>2026-08</t>
        </is>
      </c>
      <c r="B100" s="18" t="inlineStr">
        <is>
          <t>Call-out 18, August</t>
        </is>
      </c>
      <c r="C100" s="18" t="inlineStr">
        <is>
          <t>Call-out</t>
        </is>
      </c>
      <c r="D100" s="19" t="n">
        <v>46253</v>
      </c>
      <c r="E100" s="19" t="n">
        <v>46260</v>
      </c>
      <c r="F100" s="20" t="n">
        <v>604</v>
      </c>
      <c r="G100" s="20" t="n">
        <v>130</v>
      </c>
      <c r="H100" s="20" t="n">
        <v>0</v>
      </c>
      <c r="I100" s="21" t="n">
        <v>3</v>
      </c>
      <c r="J100" s="20">
        <f>I100*$B$4</f>
        <v/>
      </c>
      <c r="K100" s="20">
        <f>F100-G100-H100-J100</f>
        <v/>
      </c>
      <c r="L100" s="22">
        <f>IF(F100=0,"",K100/F100)</f>
        <v/>
      </c>
    </row>
    <row r="101">
      <c r="A101" s="18" t="inlineStr">
        <is>
          <t>2026-08</t>
        </is>
      </c>
      <c r="B101" s="18" t="inlineStr">
        <is>
          <t>Call-out 19, August</t>
        </is>
      </c>
      <c r="C101" s="18" t="inlineStr">
        <is>
          <t>Call-out</t>
        </is>
      </c>
      <c r="D101" s="19" t="n">
        <v>46245</v>
      </c>
      <c r="E101" s="19" t="n">
        <v>46259</v>
      </c>
      <c r="F101" s="20" t="n">
        <v>524</v>
      </c>
      <c r="G101" s="20" t="n">
        <v>180</v>
      </c>
      <c r="H101" s="20" t="n">
        <v>0</v>
      </c>
      <c r="I101" s="21" t="n">
        <v>2</v>
      </c>
      <c r="J101" s="20">
        <f>I101*$B$4</f>
        <v/>
      </c>
      <c r="K101" s="20">
        <f>F101-G101-H101-J101</f>
        <v/>
      </c>
      <c r="L101" s="22">
        <f>IF(F101=0,"",K101/F101)</f>
        <v/>
      </c>
    </row>
    <row r="102">
      <c r="A102" s="18" t="inlineStr">
        <is>
          <t>2026-08</t>
        </is>
      </c>
      <c r="B102" s="18" t="inlineStr">
        <is>
          <t>Call-out 2, August</t>
        </is>
      </c>
      <c r="C102" s="18" t="inlineStr">
        <is>
          <t>Call-out</t>
        </is>
      </c>
      <c r="D102" s="19" t="n">
        <v>46253</v>
      </c>
      <c r="E102" s="19" t="n">
        <v>46253</v>
      </c>
      <c r="F102" s="20" t="n">
        <v>368</v>
      </c>
      <c r="G102" s="20" t="n">
        <v>60</v>
      </c>
      <c r="H102" s="20" t="n">
        <v>0</v>
      </c>
      <c r="I102" s="21" t="n">
        <v>2</v>
      </c>
      <c r="J102" s="20">
        <f>I102*$B$4</f>
        <v/>
      </c>
      <c r="K102" s="20">
        <f>F102-G102-H102-J102</f>
        <v/>
      </c>
      <c r="L102" s="22">
        <f>IF(F102=0,"",K102/F102)</f>
        <v/>
      </c>
    </row>
    <row r="103">
      <c r="A103" s="18" t="inlineStr">
        <is>
          <t>2026-08</t>
        </is>
      </c>
      <c r="B103" s="18" t="inlineStr">
        <is>
          <t>Call-out 20, August</t>
        </is>
      </c>
      <c r="C103" s="18" t="inlineStr">
        <is>
          <t>Call-out</t>
        </is>
      </c>
      <c r="D103" s="19" t="n">
        <v>46260</v>
      </c>
      <c r="E103" s="19" t="n">
        <v>46262</v>
      </c>
      <c r="F103" s="20" t="n">
        <v>658</v>
      </c>
      <c r="G103" s="20" t="n">
        <v>60</v>
      </c>
      <c r="H103" s="20" t="n">
        <v>0</v>
      </c>
      <c r="I103" s="21" t="n">
        <v>4</v>
      </c>
      <c r="J103" s="20">
        <f>I103*$B$4</f>
        <v/>
      </c>
      <c r="K103" s="20">
        <f>F103-G103-H103-J103</f>
        <v/>
      </c>
      <c r="L103" s="22">
        <f>IF(F103=0,"",K103/F103)</f>
        <v/>
      </c>
    </row>
    <row r="104">
      <c r="A104" s="18" t="inlineStr">
        <is>
          <t>2026-08</t>
        </is>
      </c>
      <c r="B104" s="18" t="inlineStr">
        <is>
          <t>Call-out 21, August</t>
        </is>
      </c>
      <c r="C104" s="18" t="inlineStr">
        <is>
          <t>Call-out</t>
        </is>
      </c>
      <c r="D104" s="19" t="n">
        <v>46252</v>
      </c>
      <c r="E104" s="19" t="n">
        <v>46252</v>
      </c>
      <c r="F104" s="20" t="n">
        <v>511</v>
      </c>
      <c r="G104" s="20" t="n">
        <v>170</v>
      </c>
      <c r="H104" s="20" t="n">
        <v>0</v>
      </c>
      <c r="I104" s="21" t="n">
        <v>2</v>
      </c>
      <c r="J104" s="20">
        <f>I104*$B$4</f>
        <v/>
      </c>
      <c r="K104" s="20">
        <f>F104-G104-H104-J104</f>
        <v/>
      </c>
      <c r="L104" s="22">
        <f>IF(F104=0,"",K104/F104)</f>
        <v/>
      </c>
    </row>
    <row r="105">
      <c r="A105" s="18" t="inlineStr">
        <is>
          <t>2026-08</t>
        </is>
      </c>
      <c r="B105" s="18" t="inlineStr">
        <is>
          <t>Call-out 22, August</t>
        </is>
      </c>
      <c r="C105" s="18" t="inlineStr">
        <is>
          <t>Call-out</t>
        </is>
      </c>
      <c r="D105" s="19" t="n">
        <v>46259</v>
      </c>
      <c r="E105" s="19" t="n">
        <v>46266</v>
      </c>
      <c r="F105" s="20" t="n">
        <v>433</v>
      </c>
      <c r="G105" s="20" t="n">
        <v>110</v>
      </c>
      <c r="H105" s="20" t="n">
        <v>0</v>
      </c>
      <c r="I105" s="21" t="n">
        <v>2</v>
      </c>
      <c r="J105" s="20">
        <f>I105*$B$4</f>
        <v/>
      </c>
      <c r="K105" s="20">
        <f>F105-G105-H105-J105</f>
        <v/>
      </c>
      <c r="L105" s="22">
        <f>IF(F105=0,"",K105/F105)</f>
        <v/>
      </c>
    </row>
    <row r="106">
      <c r="A106" s="18" t="inlineStr">
        <is>
          <t>2026-08</t>
        </is>
      </c>
      <c r="B106" s="18" t="inlineStr">
        <is>
          <t>Call-out 23, August</t>
        </is>
      </c>
      <c r="C106" s="18" t="inlineStr">
        <is>
          <t>Call-out</t>
        </is>
      </c>
      <c r="D106" s="19" t="n">
        <v>46247</v>
      </c>
      <c r="E106" s="19" t="n">
        <v>46254</v>
      </c>
      <c r="F106" s="20" t="n">
        <v>439</v>
      </c>
      <c r="G106" s="20" t="n">
        <v>170</v>
      </c>
      <c r="H106" s="20" t="n">
        <v>0</v>
      </c>
      <c r="I106" s="21" t="n">
        <v>1.5</v>
      </c>
      <c r="J106" s="20">
        <f>I106*$B$4</f>
        <v/>
      </c>
      <c r="K106" s="20">
        <f>F106-G106-H106-J106</f>
        <v/>
      </c>
      <c r="L106" s="22">
        <f>IF(F106=0,"",K106/F106)</f>
        <v/>
      </c>
    </row>
    <row r="107">
      <c r="A107" s="18" t="inlineStr">
        <is>
          <t>2026-08</t>
        </is>
      </c>
      <c r="B107" s="18" t="inlineStr">
        <is>
          <t>Call-out 24, August</t>
        </is>
      </c>
      <c r="C107" s="18" t="inlineStr">
        <is>
          <t>Call-out</t>
        </is>
      </c>
      <c r="D107" s="19" t="n">
        <v>46256</v>
      </c>
      <c r="E107" s="19" t="n">
        <v>46263</v>
      </c>
      <c r="F107" s="20" t="n">
        <v>617</v>
      </c>
      <c r="G107" s="20" t="n">
        <v>140</v>
      </c>
      <c r="H107" s="20" t="n">
        <v>0</v>
      </c>
      <c r="I107" s="21" t="n">
        <v>3</v>
      </c>
      <c r="J107" s="20">
        <f>I107*$B$4</f>
        <v/>
      </c>
      <c r="K107" s="20">
        <f>F107-G107-H107-J107</f>
        <v/>
      </c>
      <c r="L107" s="22">
        <f>IF(F107=0,"",K107/F107)</f>
        <v/>
      </c>
    </row>
    <row r="108">
      <c r="A108" s="18" t="inlineStr">
        <is>
          <t>2026-08</t>
        </is>
      </c>
      <c r="B108" s="18" t="inlineStr">
        <is>
          <t>Call-out 25, August</t>
        </is>
      </c>
      <c r="C108" s="18" t="inlineStr">
        <is>
          <t>Call-out</t>
        </is>
      </c>
      <c r="D108" s="19" t="n">
        <v>46256</v>
      </c>
      <c r="E108" s="19" t="n">
        <v>46256</v>
      </c>
      <c r="F108" s="20" t="n">
        <v>478</v>
      </c>
      <c r="G108" s="20" t="n">
        <v>200</v>
      </c>
      <c r="H108" s="20" t="n">
        <v>0</v>
      </c>
      <c r="I108" s="21" t="n">
        <v>1.5</v>
      </c>
      <c r="J108" s="20">
        <f>I108*$B$4</f>
        <v/>
      </c>
      <c r="K108" s="20">
        <f>F108-G108-H108-J108</f>
        <v/>
      </c>
      <c r="L108" s="22">
        <f>IF(F108=0,"",K108/F108)</f>
        <v/>
      </c>
    </row>
    <row r="109">
      <c r="A109" s="18" t="inlineStr">
        <is>
          <t>2026-08</t>
        </is>
      </c>
      <c r="B109" s="18" t="inlineStr">
        <is>
          <t>Call-out 26, August</t>
        </is>
      </c>
      <c r="C109" s="18" t="inlineStr">
        <is>
          <t>Call-out</t>
        </is>
      </c>
      <c r="D109" s="19" t="n">
        <v>46248</v>
      </c>
      <c r="E109" s="19" t="n">
        <v>46248</v>
      </c>
      <c r="F109" s="20" t="n">
        <v>682</v>
      </c>
      <c r="G109" s="20" t="n">
        <v>190</v>
      </c>
      <c r="H109" s="20" t="n">
        <v>0</v>
      </c>
      <c r="I109" s="21" t="n">
        <v>3</v>
      </c>
      <c r="J109" s="20">
        <f>I109*$B$4</f>
        <v/>
      </c>
      <c r="K109" s="20">
        <f>F109-G109-H109-J109</f>
        <v/>
      </c>
      <c r="L109" s="22">
        <f>IF(F109=0,"",K109/F109)</f>
        <v/>
      </c>
    </row>
    <row r="110">
      <c r="A110" s="18" t="inlineStr">
        <is>
          <t>2026-08</t>
        </is>
      </c>
      <c r="B110" s="18" t="inlineStr">
        <is>
          <t>Call-out 27, August</t>
        </is>
      </c>
      <c r="C110" s="18" t="inlineStr">
        <is>
          <t>Call-out</t>
        </is>
      </c>
      <c r="D110" s="19" t="n">
        <v>46237</v>
      </c>
      <c r="E110" s="19" t="n">
        <v>46267</v>
      </c>
      <c r="F110" s="20" t="n">
        <v>571</v>
      </c>
      <c r="G110" s="20" t="n">
        <v>160</v>
      </c>
      <c r="H110" s="20" t="n">
        <v>0</v>
      </c>
      <c r="I110" s="21" t="n">
        <v>2.5</v>
      </c>
      <c r="J110" s="20">
        <f>I110*$B$4</f>
        <v/>
      </c>
      <c r="K110" s="20">
        <f>F110-G110-H110-J110</f>
        <v/>
      </c>
      <c r="L110" s="22">
        <f>IF(F110=0,"",K110/F110)</f>
        <v/>
      </c>
    </row>
    <row r="111">
      <c r="A111" s="18" t="inlineStr">
        <is>
          <t>2026-08</t>
        </is>
      </c>
      <c r="B111" s="18" t="inlineStr">
        <is>
          <t>Call-out 28, August</t>
        </is>
      </c>
      <c r="C111" s="18" t="inlineStr">
        <is>
          <t>Call-out</t>
        </is>
      </c>
      <c r="D111" s="19" t="n">
        <v>46256</v>
      </c>
      <c r="E111" s="19" t="n">
        <v>46256</v>
      </c>
      <c r="F111" s="20" t="n">
        <v>493</v>
      </c>
      <c r="G111" s="20" t="n">
        <v>100</v>
      </c>
      <c r="H111" s="20" t="n">
        <v>0</v>
      </c>
      <c r="I111" s="21" t="n">
        <v>2.5</v>
      </c>
      <c r="J111" s="20">
        <f>I111*$B$4</f>
        <v/>
      </c>
      <c r="K111" s="20">
        <f>F111-G111-H111-J111</f>
        <v/>
      </c>
      <c r="L111" s="22">
        <f>IF(F111=0,"",K111/F111)</f>
        <v/>
      </c>
    </row>
    <row r="112">
      <c r="A112" s="18" t="inlineStr">
        <is>
          <t>2026-08</t>
        </is>
      </c>
      <c r="B112" s="18" t="inlineStr">
        <is>
          <t>Call-out 29, August</t>
        </is>
      </c>
      <c r="C112" s="18" t="inlineStr">
        <is>
          <t>Call-out</t>
        </is>
      </c>
      <c r="D112" s="19" t="n">
        <v>46261</v>
      </c>
      <c r="E112" s="19" t="n">
        <v>46261</v>
      </c>
      <c r="F112" s="20" t="n">
        <v>669</v>
      </c>
      <c r="G112" s="20" t="n">
        <v>180</v>
      </c>
      <c r="H112" s="20" t="n">
        <v>0</v>
      </c>
      <c r="I112" s="21" t="n">
        <v>3</v>
      </c>
      <c r="J112" s="20">
        <f>I112*$B$4</f>
        <v/>
      </c>
      <c r="K112" s="20">
        <f>F112-G112-H112-J112</f>
        <v/>
      </c>
      <c r="L112" s="22">
        <f>IF(F112=0,"",K112/F112)</f>
        <v/>
      </c>
    </row>
    <row r="113">
      <c r="A113" s="18" t="inlineStr">
        <is>
          <t>2026-08</t>
        </is>
      </c>
      <c r="B113" s="18" t="inlineStr">
        <is>
          <t>Call-out 3, August</t>
        </is>
      </c>
      <c r="C113" s="18" t="inlineStr">
        <is>
          <t>Call-out</t>
        </is>
      </c>
      <c r="D113" s="19" t="n">
        <v>46235</v>
      </c>
      <c r="E113" s="19" t="n">
        <v>46242</v>
      </c>
      <c r="F113" s="20" t="n">
        <v>322</v>
      </c>
      <c r="G113" s="20" t="n">
        <v>80</v>
      </c>
      <c r="H113" s="20" t="n">
        <v>0</v>
      </c>
      <c r="I113" s="21" t="n">
        <v>1.5</v>
      </c>
      <c r="J113" s="20">
        <f>I113*$B$4</f>
        <v/>
      </c>
      <c r="K113" s="20">
        <f>F113-G113-H113-J113</f>
        <v/>
      </c>
      <c r="L113" s="22">
        <f>IF(F113=0,"",K113/F113)</f>
        <v/>
      </c>
    </row>
    <row r="114">
      <c r="A114" s="18" t="inlineStr">
        <is>
          <t>2026-08</t>
        </is>
      </c>
      <c r="B114" s="18" t="inlineStr">
        <is>
          <t>Call-out 30, August</t>
        </is>
      </c>
      <c r="C114" s="18" t="inlineStr">
        <is>
          <t>Call-out</t>
        </is>
      </c>
      <c r="D114" s="19" t="n">
        <v>46245</v>
      </c>
      <c r="E114" s="19" t="n">
        <v>46245</v>
      </c>
      <c r="F114" s="20" t="n">
        <v>467</v>
      </c>
      <c r="G114" s="20" t="n">
        <v>80</v>
      </c>
      <c r="H114" s="20" t="n">
        <v>0</v>
      </c>
      <c r="I114" s="21" t="n">
        <v>2.5</v>
      </c>
      <c r="J114" s="20">
        <f>I114*$B$4</f>
        <v/>
      </c>
      <c r="K114" s="20">
        <f>F114-G114-H114-J114</f>
        <v/>
      </c>
      <c r="L114" s="22">
        <f>IF(F114=0,"",K114/F114)</f>
        <v/>
      </c>
    </row>
    <row r="115">
      <c r="A115" s="18" t="inlineStr">
        <is>
          <t>2026-08</t>
        </is>
      </c>
      <c r="B115" s="18" t="inlineStr">
        <is>
          <t>Call-out 31, August</t>
        </is>
      </c>
      <c r="C115" s="18" t="inlineStr">
        <is>
          <t>Call-out</t>
        </is>
      </c>
      <c r="D115" s="19" t="n">
        <v>46258</v>
      </c>
      <c r="E115" s="19" t="n">
        <v>46258</v>
      </c>
      <c r="F115" s="20" t="n">
        <v>537</v>
      </c>
      <c r="G115" s="20" t="n">
        <v>190</v>
      </c>
      <c r="H115" s="20" t="n">
        <v>0</v>
      </c>
      <c r="I115" s="21" t="n">
        <v>2</v>
      </c>
      <c r="J115" s="20">
        <f>I115*$B$4</f>
        <v/>
      </c>
      <c r="K115" s="20">
        <f>F115-G115-H115-J115</f>
        <v/>
      </c>
      <c r="L115" s="22">
        <f>IF(F115=0,"",K115/F115)</f>
        <v/>
      </c>
    </row>
    <row r="116">
      <c r="A116" s="18" t="inlineStr">
        <is>
          <t>2026-08</t>
        </is>
      </c>
      <c r="B116" s="18" t="inlineStr">
        <is>
          <t>Call-out 32, August</t>
        </is>
      </c>
      <c r="C116" s="18" t="inlineStr">
        <is>
          <t>Call-out</t>
        </is>
      </c>
      <c r="D116" s="19" t="n">
        <v>46245</v>
      </c>
      <c r="E116" s="19" t="n">
        <v>46252</v>
      </c>
      <c r="F116" s="20" t="n">
        <v>623</v>
      </c>
      <c r="G116" s="20" t="n">
        <v>200</v>
      </c>
      <c r="H116" s="20" t="n">
        <v>0</v>
      </c>
      <c r="I116" s="21" t="n">
        <v>2.5</v>
      </c>
      <c r="J116" s="20">
        <f>I116*$B$4</f>
        <v/>
      </c>
      <c r="K116" s="20">
        <f>F116-G116-H116-J116</f>
        <v/>
      </c>
      <c r="L116" s="22">
        <f>IF(F116=0,"",K116/F116)</f>
        <v/>
      </c>
    </row>
    <row r="117">
      <c r="A117" s="18" t="inlineStr">
        <is>
          <t>2026-08</t>
        </is>
      </c>
      <c r="B117" s="18" t="inlineStr">
        <is>
          <t>Call-out 33, August</t>
        </is>
      </c>
      <c r="C117" s="18" t="inlineStr">
        <is>
          <t>Call-out</t>
        </is>
      </c>
      <c r="D117" s="19" t="n">
        <v>46237</v>
      </c>
      <c r="E117" s="19" t="n">
        <v>46237</v>
      </c>
      <c r="F117" s="20" t="n">
        <v>472</v>
      </c>
      <c r="G117" s="20" t="n">
        <v>140</v>
      </c>
      <c r="H117" s="20" t="n">
        <v>0</v>
      </c>
      <c r="I117" s="21" t="n">
        <v>2</v>
      </c>
      <c r="J117" s="20">
        <f>I117*$B$4</f>
        <v/>
      </c>
      <c r="K117" s="20">
        <f>F117-G117-H117-J117</f>
        <v/>
      </c>
      <c r="L117" s="22">
        <f>IF(F117=0,"",K117/F117)</f>
        <v/>
      </c>
    </row>
    <row r="118">
      <c r="A118" s="18" t="inlineStr">
        <is>
          <t>2026-08</t>
        </is>
      </c>
      <c r="B118" s="18" t="inlineStr">
        <is>
          <t>Call-out 34, August</t>
        </is>
      </c>
      <c r="C118" s="18" t="inlineStr">
        <is>
          <t>Call-out</t>
        </is>
      </c>
      <c r="D118" s="19" t="n">
        <v>46249</v>
      </c>
      <c r="E118" s="19" t="n">
        <v>46249</v>
      </c>
      <c r="F118" s="20" t="n">
        <v>517</v>
      </c>
      <c r="G118" s="20" t="n">
        <v>230</v>
      </c>
      <c r="H118" s="20" t="n">
        <v>0</v>
      </c>
      <c r="I118" s="21" t="n">
        <v>1.5</v>
      </c>
      <c r="J118" s="20">
        <f>I118*$B$4</f>
        <v/>
      </c>
      <c r="K118" s="20">
        <f>F118-G118-H118-J118</f>
        <v/>
      </c>
      <c r="L118" s="22">
        <f>IF(F118=0,"",K118/F118)</f>
        <v/>
      </c>
    </row>
    <row r="119">
      <c r="A119" s="18" t="inlineStr">
        <is>
          <t>2026-08</t>
        </is>
      </c>
      <c r="B119" s="18" t="inlineStr">
        <is>
          <t>Call-out 35, August</t>
        </is>
      </c>
      <c r="C119" s="18" t="inlineStr">
        <is>
          <t>Call-out</t>
        </is>
      </c>
      <c r="D119" s="19" t="n">
        <v>46239</v>
      </c>
      <c r="E119" s="19" t="n">
        <v>46239</v>
      </c>
      <c r="F119" s="20" t="n">
        <v>526</v>
      </c>
      <c r="G119" s="20" t="n">
        <v>70</v>
      </c>
      <c r="H119" s="20" t="n">
        <v>0</v>
      </c>
      <c r="I119" s="21" t="n">
        <v>3</v>
      </c>
      <c r="J119" s="20">
        <f>I119*$B$4</f>
        <v/>
      </c>
      <c r="K119" s="20">
        <f>F119-G119-H119-J119</f>
        <v/>
      </c>
      <c r="L119" s="22">
        <f>IF(F119=0,"",K119/F119)</f>
        <v/>
      </c>
    </row>
    <row r="120">
      <c r="A120" s="18" t="inlineStr">
        <is>
          <t>2026-08</t>
        </is>
      </c>
      <c r="B120" s="18" t="inlineStr">
        <is>
          <t>Call-out 36, August</t>
        </is>
      </c>
      <c r="C120" s="18" t="inlineStr">
        <is>
          <t>Call-out</t>
        </is>
      </c>
      <c r="D120" s="19" t="n">
        <v>46246</v>
      </c>
      <c r="E120" s="19" t="n">
        <v>46253</v>
      </c>
      <c r="F120" s="20" t="n">
        <v>658</v>
      </c>
      <c r="G120" s="20" t="n">
        <v>60</v>
      </c>
      <c r="H120" s="20" t="n">
        <v>0</v>
      </c>
      <c r="I120" s="21" t="n">
        <v>4</v>
      </c>
      <c r="J120" s="20">
        <f>I120*$B$4</f>
        <v/>
      </c>
      <c r="K120" s="20">
        <f>F120-G120-H120-J120</f>
        <v/>
      </c>
      <c r="L120" s="22">
        <f>IF(F120=0,"",K120/F120)</f>
        <v/>
      </c>
    </row>
    <row r="121">
      <c r="A121" s="18" t="inlineStr">
        <is>
          <t>2026-08</t>
        </is>
      </c>
      <c r="B121" s="18" t="inlineStr">
        <is>
          <t>Call-out 37, August</t>
        </is>
      </c>
      <c r="C121" s="18" t="inlineStr">
        <is>
          <t>Call-out</t>
        </is>
      </c>
      <c r="D121" s="19" t="n">
        <v>46245</v>
      </c>
      <c r="E121" s="19" t="n">
        <v>46245</v>
      </c>
      <c r="F121" s="20" t="n">
        <v>420</v>
      </c>
      <c r="G121" s="20" t="n">
        <v>100</v>
      </c>
      <c r="H121" s="20" t="n">
        <v>0</v>
      </c>
      <c r="I121" s="21" t="n">
        <v>2</v>
      </c>
      <c r="J121" s="20">
        <f>I121*$B$4</f>
        <v/>
      </c>
      <c r="K121" s="20">
        <f>F121-G121-H121-J121</f>
        <v/>
      </c>
      <c r="L121" s="22">
        <f>IF(F121=0,"",K121/F121)</f>
        <v/>
      </c>
    </row>
    <row r="122">
      <c r="A122" s="18" t="inlineStr">
        <is>
          <t>2026-08</t>
        </is>
      </c>
      <c r="B122" s="18" t="inlineStr">
        <is>
          <t>Call-out 38, August</t>
        </is>
      </c>
      <c r="C122" s="18" t="inlineStr">
        <is>
          <t>Call-out</t>
        </is>
      </c>
      <c r="D122" s="19" t="n">
        <v>46259</v>
      </c>
      <c r="E122" s="19" t="n">
        <v>46289</v>
      </c>
      <c r="F122" s="20" t="n">
        <v>656</v>
      </c>
      <c r="G122" s="20" t="n">
        <v>170</v>
      </c>
      <c r="H122" s="20" t="n">
        <v>0</v>
      </c>
      <c r="I122" s="21" t="n">
        <v>3</v>
      </c>
      <c r="J122" s="20">
        <f>I122*$B$4</f>
        <v/>
      </c>
      <c r="K122" s="20">
        <f>F122-G122-H122-J122</f>
        <v/>
      </c>
      <c r="L122" s="22">
        <f>IF(F122=0,"",K122/F122)</f>
        <v/>
      </c>
    </row>
    <row r="123">
      <c r="A123" s="18" t="inlineStr">
        <is>
          <t>2026-08</t>
        </is>
      </c>
      <c r="B123" s="18" t="inlineStr">
        <is>
          <t>Call-out 39, August</t>
        </is>
      </c>
      <c r="C123" s="18" t="inlineStr">
        <is>
          <t>Call-out</t>
        </is>
      </c>
      <c r="D123" s="19" t="n">
        <v>46259</v>
      </c>
      <c r="E123" s="19" t="n">
        <v>46266</v>
      </c>
      <c r="F123" s="20" t="n">
        <v>446</v>
      </c>
      <c r="G123" s="20" t="n">
        <v>120</v>
      </c>
      <c r="H123" s="20" t="n">
        <v>0</v>
      </c>
      <c r="I123" s="21" t="n">
        <v>2</v>
      </c>
      <c r="J123" s="20">
        <f>I123*$B$4</f>
        <v/>
      </c>
      <c r="K123" s="20">
        <f>F123-G123-H123-J123</f>
        <v/>
      </c>
      <c r="L123" s="22">
        <f>IF(F123=0,"",K123/F123)</f>
        <v/>
      </c>
    </row>
    <row r="124">
      <c r="A124" s="18" t="inlineStr">
        <is>
          <t>2026-08</t>
        </is>
      </c>
      <c r="B124" s="18" t="inlineStr">
        <is>
          <t>Call-out 4, August</t>
        </is>
      </c>
      <c r="C124" s="18" t="inlineStr">
        <is>
          <t>Call-out</t>
        </is>
      </c>
      <c r="D124" s="19" t="n">
        <v>46240</v>
      </c>
      <c r="E124" s="19" t="n">
        <v>46240</v>
      </c>
      <c r="F124" s="20" t="n">
        <v>327</v>
      </c>
      <c r="G124" s="20" t="n">
        <v>140</v>
      </c>
      <c r="H124" s="20" t="n">
        <v>0</v>
      </c>
      <c r="I124" s="21" t="n">
        <v>1</v>
      </c>
      <c r="J124" s="20">
        <f>I124*$B$4</f>
        <v/>
      </c>
      <c r="K124" s="20">
        <f>F124-G124-H124-J124</f>
        <v/>
      </c>
      <c r="L124" s="22">
        <f>IF(F124=0,"",K124/F124)</f>
        <v/>
      </c>
    </row>
    <row r="125">
      <c r="A125" s="18" t="inlineStr">
        <is>
          <t>2026-08</t>
        </is>
      </c>
      <c r="B125" s="18" t="inlineStr">
        <is>
          <t>Call-out 40, August</t>
        </is>
      </c>
      <c r="C125" s="18" t="inlineStr">
        <is>
          <t>Call-out</t>
        </is>
      </c>
      <c r="D125" s="19" t="n">
        <v>46262</v>
      </c>
      <c r="E125" s="19" t="n">
        <v>46262</v>
      </c>
      <c r="F125" s="20" t="n">
        <v>441</v>
      </c>
      <c r="G125" s="20" t="n">
        <v>60</v>
      </c>
      <c r="H125" s="20" t="n">
        <v>0</v>
      </c>
      <c r="I125" s="21" t="n">
        <v>2.5</v>
      </c>
      <c r="J125" s="20">
        <f>I125*$B$4</f>
        <v/>
      </c>
      <c r="K125" s="20">
        <f>F125-G125-H125-J125</f>
        <v/>
      </c>
      <c r="L125" s="22">
        <f>IF(F125=0,"",K125/F125)</f>
        <v/>
      </c>
    </row>
    <row r="126">
      <c r="A126" s="18" t="inlineStr">
        <is>
          <t>2026-08</t>
        </is>
      </c>
      <c r="B126" s="18" t="inlineStr">
        <is>
          <t>Call-out 41, August</t>
        </is>
      </c>
      <c r="C126" s="18" t="inlineStr">
        <is>
          <t>Call-out</t>
        </is>
      </c>
      <c r="D126" s="19" t="n">
        <v>46249</v>
      </c>
      <c r="E126" s="19" t="n">
        <v>46249</v>
      </c>
      <c r="F126" s="20" t="n">
        <v>402</v>
      </c>
      <c r="G126" s="20" t="n">
        <v>30</v>
      </c>
      <c r="H126" s="20" t="n">
        <v>0</v>
      </c>
      <c r="I126" s="21" t="n">
        <v>2.5</v>
      </c>
      <c r="J126" s="20">
        <f>I126*$B$4</f>
        <v/>
      </c>
      <c r="K126" s="20">
        <f>F126-G126-H126-J126</f>
        <v/>
      </c>
      <c r="L126" s="22">
        <f>IF(F126=0,"",K126/F126)</f>
        <v/>
      </c>
    </row>
    <row r="127">
      <c r="A127" s="18" t="inlineStr">
        <is>
          <t>2026-08</t>
        </is>
      </c>
      <c r="B127" s="18" t="inlineStr">
        <is>
          <t>Call-out 42, August</t>
        </is>
      </c>
      <c r="C127" s="18" t="inlineStr">
        <is>
          <t>Call-out</t>
        </is>
      </c>
      <c r="D127" s="19" t="n">
        <v>46257</v>
      </c>
      <c r="E127" s="19" t="n">
        <v>46264</v>
      </c>
      <c r="F127" s="20" t="n">
        <v>710</v>
      </c>
      <c r="G127" s="20" t="n">
        <v>100</v>
      </c>
      <c r="H127" s="20" t="n">
        <v>0</v>
      </c>
      <c r="I127" s="21" t="n">
        <v>4</v>
      </c>
      <c r="J127" s="20">
        <f>I127*$B$4</f>
        <v/>
      </c>
      <c r="K127" s="20">
        <f>F127-G127-H127-J127</f>
        <v/>
      </c>
      <c r="L127" s="22">
        <f>IF(F127=0,"",K127/F127)</f>
        <v/>
      </c>
    </row>
    <row r="128">
      <c r="A128" s="18" t="inlineStr">
        <is>
          <t>2026-08</t>
        </is>
      </c>
      <c r="B128" s="18" t="inlineStr">
        <is>
          <t>Call-out 43, August</t>
        </is>
      </c>
      <c r="C128" s="18" t="inlineStr">
        <is>
          <t>Call-out</t>
        </is>
      </c>
      <c r="D128" s="19" t="n">
        <v>46242</v>
      </c>
      <c r="E128" s="19" t="n">
        <v>46272</v>
      </c>
      <c r="F128" s="20" t="n">
        <v>355</v>
      </c>
      <c r="G128" s="20" t="n">
        <v>50</v>
      </c>
      <c r="H128" s="20" t="n">
        <v>0</v>
      </c>
      <c r="I128" s="21" t="n">
        <v>2</v>
      </c>
      <c r="J128" s="20">
        <f>I128*$B$4</f>
        <v/>
      </c>
      <c r="K128" s="20">
        <f>F128-G128-H128-J128</f>
        <v/>
      </c>
      <c r="L128" s="22">
        <f>IF(F128=0,"",K128/F128)</f>
        <v/>
      </c>
    </row>
    <row r="129">
      <c r="A129" s="18" t="inlineStr">
        <is>
          <t>2026-08</t>
        </is>
      </c>
      <c r="B129" s="18" t="inlineStr">
        <is>
          <t>Call-out 44, August</t>
        </is>
      </c>
      <c r="C129" s="18" t="inlineStr">
        <is>
          <t>Call-out</t>
        </is>
      </c>
      <c r="D129" s="19" t="n">
        <v>46238</v>
      </c>
      <c r="E129" s="19" t="n">
        <v>46268</v>
      </c>
      <c r="F129" s="20" t="n">
        <v>335</v>
      </c>
      <c r="G129" s="20" t="n">
        <v>90</v>
      </c>
      <c r="H129" s="20" t="n">
        <v>0</v>
      </c>
      <c r="I129" s="21" t="n">
        <v>1.5</v>
      </c>
      <c r="J129" s="20">
        <f>I129*$B$4</f>
        <v/>
      </c>
      <c r="K129" s="20">
        <f>F129-G129-H129-J129</f>
        <v/>
      </c>
      <c r="L129" s="22">
        <f>IF(F129=0,"",K129/F129)</f>
        <v/>
      </c>
    </row>
    <row r="130">
      <c r="A130" s="18" t="inlineStr">
        <is>
          <t>2026-08</t>
        </is>
      </c>
      <c r="B130" s="18" t="inlineStr">
        <is>
          <t>Call-out 45, August</t>
        </is>
      </c>
      <c r="C130" s="18" t="inlineStr">
        <is>
          <t>Call-out</t>
        </is>
      </c>
      <c r="D130" s="19" t="n">
        <v>46248</v>
      </c>
      <c r="E130" s="19" t="n">
        <v>46248</v>
      </c>
      <c r="F130" s="20" t="n">
        <v>301</v>
      </c>
      <c r="G130" s="20" t="n">
        <v>120</v>
      </c>
      <c r="H130" s="20" t="n">
        <v>0</v>
      </c>
      <c r="I130" s="21" t="n">
        <v>1</v>
      </c>
      <c r="J130" s="20">
        <f>I130*$B$4</f>
        <v/>
      </c>
      <c r="K130" s="20">
        <f>F130-G130-H130-J130</f>
        <v/>
      </c>
      <c r="L130" s="22">
        <f>IF(F130=0,"",K130/F130)</f>
        <v/>
      </c>
    </row>
    <row r="131">
      <c r="A131" s="18" t="inlineStr">
        <is>
          <t>2026-08</t>
        </is>
      </c>
      <c r="B131" s="18" t="inlineStr">
        <is>
          <t>Call-out 46, August</t>
        </is>
      </c>
      <c r="C131" s="18" t="inlineStr">
        <is>
          <t>Call-out</t>
        </is>
      </c>
      <c r="D131" s="19" t="n">
        <v>46246</v>
      </c>
      <c r="E131" s="19" t="n">
        <v>46260</v>
      </c>
      <c r="F131" s="20" t="n">
        <v>734</v>
      </c>
      <c r="G131" s="20" t="n">
        <v>230</v>
      </c>
      <c r="H131" s="20" t="n">
        <v>0</v>
      </c>
      <c r="I131" s="21" t="n">
        <v>3</v>
      </c>
      <c r="J131" s="20">
        <f>I131*$B$4</f>
        <v/>
      </c>
      <c r="K131" s="20">
        <f>F131-G131-H131-J131</f>
        <v/>
      </c>
      <c r="L131" s="22">
        <f>IF(F131=0,"",K131/F131)</f>
        <v/>
      </c>
    </row>
    <row r="132">
      <c r="A132" s="18" t="inlineStr">
        <is>
          <t>2026-08</t>
        </is>
      </c>
      <c r="B132" s="18" t="inlineStr">
        <is>
          <t>Call-out 47, August</t>
        </is>
      </c>
      <c r="C132" s="18" t="inlineStr">
        <is>
          <t>Call-out</t>
        </is>
      </c>
      <c r="D132" s="19" t="n">
        <v>46242</v>
      </c>
      <c r="E132" s="19" t="n">
        <v>46242</v>
      </c>
      <c r="F132" s="20" t="n">
        <v>270</v>
      </c>
      <c r="G132" s="20" t="n">
        <v>40</v>
      </c>
      <c r="H132" s="20" t="n">
        <v>0</v>
      </c>
      <c r="I132" s="21" t="n">
        <v>1.5</v>
      </c>
      <c r="J132" s="20">
        <f>I132*$B$4</f>
        <v/>
      </c>
      <c r="K132" s="20">
        <f>F132-G132-H132-J132</f>
        <v/>
      </c>
      <c r="L132" s="22">
        <f>IF(F132=0,"",K132/F132)</f>
        <v/>
      </c>
    </row>
    <row r="133">
      <c r="A133" s="18" t="inlineStr">
        <is>
          <t>2026-08</t>
        </is>
      </c>
      <c r="B133" s="18" t="inlineStr">
        <is>
          <t>Call-out 48, August</t>
        </is>
      </c>
      <c r="C133" s="18" t="inlineStr">
        <is>
          <t>Call-out</t>
        </is>
      </c>
      <c r="D133" s="19" t="n">
        <v>46250</v>
      </c>
      <c r="E133" s="19" t="n">
        <v>46252</v>
      </c>
      <c r="F133" s="20" t="n">
        <v>394</v>
      </c>
      <c r="G133" s="20" t="n">
        <v>80</v>
      </c>
      <c r="H133" s="20" t="n">
        <v>0</v>
      </c>
      <c r="I133" s="21" t="n">
        <v>2</v>
      </c>
      <c r="J133" s="20">
        <f>I133*$B$4</f>
        <v/>
      </c>
      <c r="K133" s="20">
        <f>F133-G133-H133-J133</f>
        <v/>
      </c>
      <c r="L133" s="22">
        <f>IF(F133=0,"",K133/F133)</f>
        <v/>
      </c>
    </row>
    <row r="134">
      <c r="A134" s="18" t="inlineStr">
        <is>
          <t>2026-08</t>
        </is>
      </c>
      <c r="B134" s="18" t="inlineStr">
        <is>
          <t>Call-out 49, August</t>
        </is>
      </c>
      <c r="C134" s="18" t="inlineStr">
        <is>
          <t>Call-out</t>
        </is>
      </c>
      <c r="D134" s="19" t="n">
        <v>46262</v>
      </c>
      <c r="E134" s="19" t="n">
        <v>46262</v>
      </c>
      <c r="F134" s="20" t="n">
        <v>288</v>
      </c>
      <c r="G134" s="20" t="n">
        <v>110</v>
      </c>
      <c r="H134" s="20" t="n">
        <v>0</v>
      </c>
      <c r="I134" s="21" t="n">
        <v>1</v>
      </c>
      <c r="J134" s="20">
        <f>I134*$B$4</f>
        <v/>
      </c>
      <c r="K134" s="20">
        <f>F134-G134-H134-J134</f>
        <v/>
      </c>
      <c r="L134" s="22">
        <f>IF(F134=0,"",K134/F134)</f>
        <v/>
      </c>
    </row>
    <row r="135">
      <c r="A135" s="18" t="inlineStr">
        <is>
          <t>2026-08</t>
        </is>
      </c>
      <c r="B135" s="18" t="inlineStr">
        <is>
          <t>Call-out 5, August</t>
        </is>
      </c>
      <c r="C135" s="18" t="inlineStr">
        <is>
          <t>Call-out</t>
        </is>
      </c>
      <c r="D135" s="19" t="n">
        <v>46260</v>
      </c>
      <c r="E135" s="19" t="n">
        <v>46267</v>
      </c>
      <c r="F135" s="20" t="n">
        <v>493</v>
      </c>
      <c r="G135" s="20" t="n">
        <v>100</v>
      </c>
      <c r="H135" s="20" t="n">
        <v>0</v>
      </c>
      <c r="I135" s="21" t="n">
        <v>2.5</v>
      </c>
      <c r="J135" s="20">
        <f>I135*$B$4</f>
        <v/>
      </c>
      <c r="K135" s="20">
        <f>F135-G135-H135-J135</f>
        <v/>
      </c>
      <c r="L135" s="22">
        <f>IF(F135=0,"",K135/F135)</f>
        <v/>
      </c>
    </row>
    <row r="136">
      <c r="A136" s="18" t="inlineStr">
        <is>
          <t>2026-08</t>
        </is>
      </c>
      <c r="B136" s="18" t="inlineStr">
        <is>
          <t>Call-out 50, August</t>
        </is>
      </c>
      <c r="C136" s="18" t="inlineStr">
        <is>
          <t>Call-out</t>
        </is>
      </c>
      <c r="D136" s="19" t="n">
        <v>46235</v>
      </c>
      <c r="E136" s="19" t="n">
        <v>46249</v>
      </c>
      <c r="F136" s="20" t="n">
        <v>314</v>
      </c>
      <c r="G136" s="20" t="n">
        <v>130</v>
      </c>
      <c r="H136" s="20" t="n">
        <v>0</v>
      </c>
      <c r="I136" s="21" t="n">
        <v>1</v>
      </c>
      <c r="J136" s="20">
        <f>I136*$B$4</f>
        <v/>
      </c>
      <c r="K136" s="20">
        <f>F136-G136-H136-J136</f>
        <v/>
      </c>
      <c r="L136" s="22">
        <f>IF(F136=0,"",K136/F136)</f>
        <v/>
      </c>
    </row>
    <row r="137">
      <c r="A137" s="18" t="inlineStr">
        <is>
          <t>2026-08</t>
        </is>
      </c>
      <c r="B137" s="18" t="inlineStr">
        <is>
          <t>Call-out 51, August</t>
        </is>
      </c>
      <c r="C137" s="18" t="inlineStr">
        <is>
          <t>Call-out</t>
        </is>
      </c>
      <c r="D137" s="19" t="n">
        <v>46244</v>
      </c>
      <c r="E137" s="19" t="n">
        <v>46258</v>
      </c>
      <c r="F137" s="20" t="n">
        <v>340</v>
      </c>
      <c r="G137" s="20" t="n">
        <v>150</v>
      </c>
      <c r="H137" s="20" t="n">
        <v>0</v>
      </c>
      <c r="I137" s="21" t="n">
        <v>1</v>
      </c>
      <c r="J137" s="20">
        <f>I137*$B$4</f>
        <v/>
      </c>
      <c r="K137" s="20">
        <f>F137-G137-H137-J137</f>
        <v/>
      </c>
      <c r="L137" s="22">
        <f>IF(F137=0,"",K137/F137)</f>
        <v/>
      </c>
    </row>
    <row r="138">
      <c r="A138" s="18" t="inlineStr">
        <is>
          <t>2026-08</t>
        </is>
      </c>
      <c r="B138" s="18" t="inlineStr">
        <is>
          <t>Call-out 52, August</t>
        </is>
      </c>
      <c r="C138" s="18" t="inlineStr">
        <is>
          <t>Call-out</t>
        </is>
      </c>
      <c r="D138" s="19" t="n">
        <v>46237</v>
      </c>
      <c r="E138" s="19" t="n">
        <v>46244</v>
      </c>
      <c r="F138" s="20" t="n">
        <v>262</v>
      </c>
      <c r="G138" s="20" t="n">
        <v>90</v>
      </c>
      <c r="H138" s="20" t="n">
        <v>0</v>
      </c>
      <c r="I138" s="21" t="n">
        <v>1</v>
      </c>
      <c r="J138" s="20">
        <f>I138*$B$4</f>
        <v/>
      </c>
      <c r="K138" s="20">
        <f>F138-G138-H138-J138</f>
        <v/>
      </c>
      <c r="L138" s="22">
        <f>IF(F138=0,"",K138/F138)</f>
        <v/>
      </c>
    </row>
    <row r="139">
      <c r="A139" s="18" t="inlineStr">
        <is>
          <t>2026-08</t>
        </is>
      </c>
      <c r="B139" s="18" t="inlineStr">
        <is>
          <t>Call-out 53, August</t>
        </is>
      </c>
      <c r="C139" s="18" t="inlineStr">
        <is>
          <t>Call-out</t>
        </is>
      </c>
      <c r="D139" s="19" t="n">
        <v>46258</v>
      </c>
      <c r="E139" s="19" t="n">
        <v>46258</v>
      </c>
      <c r="F139" s="20" t="n">
        <v>643</v>
      </c>
      <c r="G139" s="20" t="n">
        <v>160</v>
      </c>
      <c r="H139" s="20" t="n">
        <v>0</v>
      </c>
      <c r="I139" s="21" t="n">
        <v>3</v>
      </c>
      <c r="J139" s="20">
        <f>I139*$B$4</f>
        <v/>
      </c>
      <c r="K139" s="20">
        <f>F139-G139-H139-J139</f>
        <v/>
      </c>
      <c r="L139" s="22">
        <f>IF(F139=0,"",K139/F139)</f>
        <v/>
      </c>
    </row>
    <row r="140">
      <c r="A140" s="18" t="inlineStr">
        <is>
          <t>2026-08</t>
        </is>
      </c>
      <c r="B140" s="18" t="inlineStr">
        <is>
          <t>Call-out 54, August</t>
        </is>
      </c>
      <c r="C140" s="18" t="inlineStr">
        <is>
          <t>Call-out</t>
        </is>
      </c>
      <c r="D140" s="19" t="n">
        <v>46238</v>
      </c>
      <c r="E140" s="19" t="n">
        <v>46238</v>
      </c>
      <c r="F140" s="20" t="n">
        <v>210</v>
      </c>
      <c r="G140" s="20" t="n">
        <v>50</v>
      </c>
      <c r="H140" s="20" t="n">
        <v>0</v>
      </c>
      <c r="I140" s="21" t="n">
        <v>1</v>
      </c>
      <c r="J140" s="20">
        <f>I140*$B$4</f>
        <v/>
      </c>
      <c r="K140" s="20">
        <f>F140-G140-H140-J140</f>
        <v/>
      </c>
      <c r="L140" s="22">
        <f>IF(F140=0,"",K140/F140)</f>
        <v/>
      </c>
    </row>
    <row r="141">
      <c r="A141" s="18" t="inlineStr">
        <is>
          <t>2026-08</t>
        </is>
      </c>
      <c r="B141" s="18" t="inlineStr">
        <is>
          <t>Call-out 55, August</t>
        </is>
      </c>
      <c r="C141" s="18" t="inlineStr">
        <is>
          <t>Call-out</t>
        </is>
      </c>
      <c r="D141" s="19" t="n">
        <v>46240</v>
      </c>
      <c r="E141" s="19" t="n">
        <v>46242</v>
      </c>
      <c r="F141" s="20" t="n">
        <v>526</v>
      </c>
      <c r="G141" s="20" t="n">
        <v>70</v>
      </c>
      <c r="H141" s="20" t="n">
        <v>0</v>
      </c>
      <c r="I141" s="21" t="n">
        <v>3</v>
      </c>
      <c r="J141" s="20">
        <f>I141*$B$4</f>
        <v/>
      </c>
      <c r="K141" s="20">
        <f>F141-G141-H141-J141</f>
        <v/>
      </c>
      <c r="L141" s="22">
        <f>IF(F141=0,"",K141/F141)</f>
        <v/>
      </c>
    </row>
    <row r="142">
      <c r="A142" s="18" t="inlineStr">
        <is>
          <t>2026-08</t>
        </is>
      </c>
      <c r="B142" s="18" t="inlineStr">
        <is>
          <t>Call-out 56, August</t>
        </is>
      </c>
      <c r="C142" s="18" t="inlineStr">
        <is>
          <t>Call-out</t>
        </is>
      </c>
      <c r="D142" s="19" t="n">
        <v>46256</v>
      </c>
      <c r="E142" s="19" t="n">
        <v>46256</v>
      </c>
      <c r="F142" s="20" t="n">
        <v>270</v>
      </c>
      <c r="G142" s="20" t="n">
        <v>40</v>
      </c>
      <c r="H142" s="20" t="n">
        <v>0</v>
      </c>
      <c r="I142" s="21" t="n">
        <v>1.5</v>
      </c>
      <c r="J142" s="20">
        <f>I142*$B$4</f>
        <v/>
      </c>
      <c r="K142" s="20">
        <f>F142-G142-H142-J142</f>
        <v/>
      </c>
      <c r="L142" s="22">
        <f>IF(F142=0,"",K142/F142)</f>
        <v/>
      </c>
    </row>
    <row r="143">
      <c r="A143" s="18" t="inlineStr">
        <is>
          <t>2026-08</t>
        </is>
      </c>
      <c r="B143" s="18" t="inlineStr">
        <is>
          <t>Call-out 57, August</t>
        </is>
      </c>
      <c r="C143" s="18" t="inlineStr">
        <is>
          <t>Call-out</t>
        </is>
      </c>
      <c r="D143" s="19" t="n">
        <v>46257</v>
      </c>
      <c r="E143" s="19" t="n">
        <v>46257</v>
      </c>
      <c r="F143" s="20" t="n">
        <v>342</v>
      </c>
      <c r="G143" s="20" t="n">
        <v>40</v>
      </c>
      <c r="H143" s="20" t="n">
        <v>0</v>
      </c>
      <c r="I143" s="21" t="n">
        <v>2</v>
      </c>
      <c r="J143" s="20">
        <f>I143*$B$4</f>
        <v/>
      </c>
      <c r="K143" s="20">
        <f>F143-G143-H143-J143</f>
        <v/>
      </c>
      <c r="L143" s="22">
        <f>IF(F143=0,"",K143/F143)</f>
        <v/>
      </c>
    </row>
    <row r="144">
      <c r="A144" s="18" t="inlineStr">
        <is>
          <t>2026-08</t>
        </is>
      </c>
      <c r="B144" s="18" t="inlineStr">
        <is>
          <t>Call-out 58, August</t>
        </is>
      </c>
      <c r="C144" s="18" t="inlineStr">
        <is>
          <t>Call-out</t>
        </is>
      </c>
      <c r="D144" s="19" t="n">
        <v>46256</v>
      </c>
      <c r="E144" s="19" t="n">
        <v>46263</v>
      </c>
      <c r="F144" s="20" t="n">
        <v>355</v>
      </c>
      <c r="G144" s="20" t="n">
        <v>50</v>
      </c>
      <c r="H144" s="20" t="n">
        <v>0</v>
      </c>
      <c r="I144" s="21" t="n">
        <v>2</v>
      </c>
      <c r="J144" s="20">
        <f>I144*$B$4</f>
        <v/>
      </c>
      <c r="K144" s="20">
        <f>F144-G144-H144-J144</f>
        <v/>
      </c>
      <c r="L144" s="22">
        <f>IF(F144=0,"",K144/F144)</f>
        <v/>
      </c>
    </row>
    <row r="145">
      <c r="A145" s="18" t="inlineStr">
        <is>
          <t>2026-08</t>
        </is>
      </c>
      <c r="B145" s="18" t="inlineStr">
        <is>
          <t>Call-out 6, August</t>
        </is>
      </c>
      <c r="C145" s="18" t="inlineStr">
        <is>
          <t>Call-out</t>
        </is>
      </c>
      <c r="D145" s="19" t="n">
        <v>46245</v>
      </c>
      <c r="E145" s="19" t="n">
        <v>46245</v>
      </c>
      <c r="F145" s="20" t="n">
        <v>552</v>
      </c>
      <c r="G145" s="20" t="n">
        <v>90</v>
      </c>
      <c r="H145" s="20" t="n">
        <v>0</v>
      </c>
      <c r="I145" s="21" t="n">
        <v>3</v>
      </c>
      <c r="J145" s="20">
        <f>I145*$B$4</f>
        <v/>
      </c>
      <c r="K145" s="20">
        <f>F145-G145-H145-J145</f>
        <v/>
      </c>
      <c r="L145" s="22">
        <f>IF(F145=0,"",K145/F145)</f>
        <v/>
      </c>
    </row>
    <row r="146">
      <c r="A146" s="18" t="inlineStr">
        <is>
          <t>2026-08</t>
        </is>
      </c>
      <c r="B146" s="18" t="inlineStr">
        <is>
          <t>Call-out 7, August</t>
        </is>
      </c>
      <c r="C146" s="18" t="inlineStr">
        <is>
          <t>Call-out</t>
        </is>
      </c>
      <c r="D146" s="19" t="n">
        <v>46247</v>
      </c>
      <c r="E146" s="19" t="n">
        <v>46254</v>
      </c>
      <c r="F146" s="20" t="n">
        <v>171</v>
      </c>
      <c r="G146" s="20" t="n">
        <v>20</v>
      </c>
      <c r="H146" s="20" t="n">
        <v>0</v>
      </c>
      <c r="I146" s="21" t="n">
        <v>1</v>
      </c>
      <c r="J146" s="20">
        <f>I146*$B$4</f>
        <v/>
      </c>
      <c r="K146" s="20">
        <f>F146-G146-H146-J146</f>
        <v/>
      </c>
      <c r="L146" s="22">
        <f>IF(F146=0,"",K146/F146)</f>
        <v/>
      </c>
    </row>
    <row r="147">
      <c r="A147" s="18" t="inlineStr">
        <is>
          <t>2026-08</t>
        </is>
      </c>
      <c r="B147" s="18" t="inlineStr">
        <is>
          <t>Call-out 8, August</t>
        </is>
      </c>
      <c r="C147" s="18" t="inlineStr">
        <is>
          <t>Call-out</t>
        </is>
      </c>
      <c r="D147" s="19" t="n">
        <v>46237</v>
      </c>
      <c r="E147" s="19" t="n">
        <v>46251</v>
      </c>
      <c r="F147" s="20" t="n">
        <v>695</v>
      </c>
      <c r="G147" s="20" t="n">
        <v>200</v>
      </c>
      <c r="H147" s="20" t="n">
        <v>0</v>
      </c>
      <c r="I147" s="21" t="n">
        <v>3</v>
      </c>
      <c r="J147" s="20">
        <f>I147*$B$4</f>
        <v/>
      </c>
      <c r="K147" s="20">
        <f>F147-G147-H147-J147</f>
        <v/>
      </c>
      <c r="L147" s="22">
        <f>IF(F147=0,"",K147/F147)</f>
        <v/>
      </c>
    </row>
    <row r="148">
      <c r="A148" s="18" t="inlineStr">
        <is>
          <t>2026-08</t>
        </is>
      </c>
      <c r="B148" s="18" t="inlineStr">
        <is>
          <t>Call-out 9, August</t>
        </is>
      </c>
      <c r="C148" s="18" t="inlineStr">
        <is>
          <t>Call-out</t>
        </is>
      </c>
      <c r="D148" s="19" t="n">
        <v>46255</v>
      </c>
      <c r="E148" s="19" t="n">
        <v>46257</v>
      </c>
      <c r="F148" s="20" t="n">
        <v>788</v>
      </c>
      <c r="G148" s="20" t="n">
        <v>160</v>
      </c>
      <c r="H148" s="20" t="n">
        <v>0</v>
      </c>
      <c r="I148" s="21" t="n">
        <v>4</v>
      </c>
      <c r="J148" s="20">
        <f>I148*$B$4</f>
        <v/>
      </c>
      <c r="K148" s="20">
        <f>F148-G148-H148-J148</f>
        <v/>
      </c>
      <c r="L148" s="22">
        <f>IF(F148=0,"",K148/F148)</f>
        <v/>
      </c>
    </row>
    <row r="149">
      <c r="A149" s="18" t="inlineStr">
        <is>
          <t>2026-08</t>
        </is>
      </c>
      <c r="B149" s="18" t="inlineStr">
        <is>
          <t>Ashgrove hall LED lighting</t>
        </is>
      </c>
      <c r="C149" s="18" t="inlineStr">
        <is>
          <t>Installation</t>
        </is>
      </c>
      <c r="D149" s="19" t="n">
        <v>46248</v>
      </c>
      <c r="E149" s="19" t="n">
        <v>46278</v>
      </c>
      <c r="F149" s="20" t="n">
        <v>21300</v>
      </c>
      <c r="G149" s="20" t="n">
        <v>8100</v>
      </c>
      <c r="H149" s="20" t="n">
        <v>0</v>
      </c>
      <c r="I149" s="21" t="n">
        <v>70</v>
      </c>
      <c r="J149" s="20">
        <f>I149*$B$4</f>
        <v/>
      </c>
      <c r="K149" s="20">
        <f>F149-G149-H149-J149</f>
        <v/>
      </c>
      <c r="L149" s="22">
        <f>IF(F149=0,"",K149/F149)</f>
        <v/>
      </c>
    </row>
    <row r="150">
      <c r="A150" s="18" t="inlineStr">
        <is>
          <t>2026-08</t>
        </is>
      </c>
      <c r="B150" s="18" t="inlineStr">
        <is>
          <t>Newstead gym air-con</t>
        </is>
      </c>
      <c r="C150" s="18" t="inlineStr">
        <is>
          <t>Installation</t>
        </is>
      </c>
      <c r="D150" s="19" t="n">
        <v>46253</v>
      </c>
      <c r="E150" s="19" t="n">
        <v>46274</v>
      </c>
      <c r="F150" s="20" t="n">
        <v>16800</v>
      </c>
      <c r="G150" s="20" t="n">
        <v>6700</v>
      </c>
      <c r="H150" s="20" t="n">
        <v>1200</v>
      </c>
      <c r="I150" s="21" t="n">
        <v>44</v>
      </c>
      <c r="J150" s="20">
        <f>I150*$B$4</f>
        <v/>
      </c>
      <c r="K150" s="20">
        <f>F150-G150-H150-J150</f>
        <v/>
      </c>
      <c r="L150" s="22">
        <f>IF(F150=0,"",K150/F150)</f>
        <v/>
      </c>
    </row>
    <row r="151">
      <c r="A151" s="18" t="inlineStr">
        <is>
          <t>2026-08</t>
        </is>
      </c>
      <c r="B151" s="18" t="inlineStr">
        <is>
          <t>Rocklea factory switchboard</t>
        </is>
      </c>
      <c r="C151" s="18" t="inlineStr">
        <is>
          <t>Installation</t>
        </is>
      </c>
      <c r="D151" s="19" t="n">
        <v>46241</v>
      </c>
      <c r="E151" s="19" t="n">
        <v>46271</v>
      </c>
      <c r="F151" s="20" t="n">
        <v>38500</v>
      </c>
      <c r="G151" s="20" t="n">
        <v>15600</v>
      </c>
      <c r="H151" s="20" t="n">
        <v>4800</v>
      </c>
      <c r="I151" s="21" t="n">
        <v>92</v>
      </c>
      <c r="J151" s="20">
        <f>I151*$B$4</f>
        <v/>
      </c>
      <c r="K151" s="20">
        <f>F151-G151-H151-J151</f>
        <v/>
      </c>
      <c r="L151" s="22">
        <f>IF(F151=0,"",K151/F151)</f>
        <v/>
      </c>
    </row>
    <row r="152">
      <c r="A152" s="18" t="inlineStr">
        <is>
          <t>2026-08</t>
        </is>
      </c>
      <c r="B152" s="18" t="inlineStr">
        <is>
          <t>Valley office cabling</t>
        </is>
      </c>
      <c r="C152" s="18" t="inlineStr">
        <is>
          <t>Installation</t>
        </is>
      </c>
      <c r="D152" s="19" t="n">
        <v>46262</v>
      </c>
      <c r="E152" s="19" t="n">
        <v>46292</v>
      </c>
      <c r="F152" s="20" t="n">
        <v>13400</v>
      </c>
      <c r="G152" s="20" t="n">
        <v>3900</v>
      </c>
      <c r="H152" s="20" t="n">
        <v>1100</v>
      </c>
      <c r="I152" s="21" t="n">
        <v>48</v>
      </c>
      <c r="J152" s="20">
        <f>I152*$B$4</f>
        <v/>
      </c>
      <c r="K152" s="20">
        <f>F152-G152-H152-J152</f>
        <v/>
      </c>
      <c r="L152" s="22">
        <f>IF(F152=0,"",K152/F152)</f>
        <v/>
      </c>
    </row>
    <row r="153">
      <c r="A153" s="18" t="inlineStr">
        <is>
          <t>2026-08</t>
        </is>
      </c>
      <c r="B153" s="18" t="inlineStr">
        <is>
          <t>Wynnum house solar</t>
        </is>
      </c>
      <c r="C153" s="18" t="inlineStr">
        <is>
          <t>Installation</t>
        </is>
      </c>
      <c r="D153" s="19" t="n">
        <v>46258</v>
      </c>
      <c r="E153" s="19" t="n">
        <v>46272</v>
      </c>
      <c r="F153" s="20" t="n">
        <v>19600</v>
      </c>
      <c r="G153" s="20" t="n">
        <v>9400</v>
      </c>
      <c r="H153" s="20" t="n">
        <v>2200</v>
      </c>
      <c r="I153" s="21" t="n">
        <v>36</v>
      </c>
      <c r="J153" s="20">
        <f>I153*$B$4</f>
        <v/>
      </c>
      <c r="K153" s="20">
        <f>F153-G153-H153-J153</f>
        <v/>
      </c>
      <c r="L153" s="22">
        <f>IF(F153=0,"",K153/F153)</f>
        <v/>
      </c>
    </row>
    <row r="154">
      <c r="A154" s="18" t="inlineStr">
        <is>
          <t>2026-08</t>
        </is>
      </c>
      <c r="B154" s="18" t="inlineStr">
        <is>
          <t>Ashgrove aged care</t>
        </is>
      </c>
      <c r="C154" s="18" t="inlineStr">
        <is>
          <t>Maintenance contract</t>
        </is>
      </c>
      <c r="D154" s="19" t="n">
        <v>46235</v>
      </c>
      <c r="E154" s="19" t="n">
        <v>46260</v>
      </c>
      <c r="F154" s="20" t="n">
        <v>3600</v>
      </c>
      <c r="G154" s="20" t="n">
        <v>80</v>
      </c>
      <c r="H154" s="20" t="n">
        <v>0</v>
      </c>
      <c r="I154" s="21" t="n">
        <v>20</v>
      </c>
      <c r="J154" s="20">
        <f>I154*$B$4</f>
        <v/>
      </c>
      <c r="K154" s="20">
        <f>F154-G154-H154-J154</f>
        <v/>
      </c>
      <c r="L154" s="22">
        <f>IF(F154=0,"",K154/F154)</f>
        <v/>
      </c>
    </row>
    <row r="155">
      <c r="A155" s="18" t="inlineStr">
        <is>
          <t>2026-08</t>
        </is>
      </c>
      <c r="B155" s="18" t="inlineStr">
        <is>
          <t>Bulimba school</t>
        </is>
      </c>
      <c r="C155" s="18" t="inlineStr">
        <is>
          <t>Maintenance contract</t>
        </is>
      </c>
      <c r="D155" s="19" t="n">
        <v>46235</v>
      </c>
      <c r="E155" s="19" t="n">
        <v>46265</v>
      </c>
      <c r="F155" s="20" t="n">
        <v>2800</v>
      </c>
      <c r="G155" s="20" t="n">
        <v>60</v>
      </c>
      <c r="H155" s="20" t="n">
        <v>0</v>
      </c>
      <c r="I155" s="21" t="n">
        <v>16</v>
      </c>
      <c r="J155" s="20">
        <f>I155*$B$4</f>
        <v/>
      </c>
      <c r="K155" s="20">
        <f>F155-G155-H155-J155</f>
        <v/>
      </c>
      <c r="L155" s="22">
        <f>IF(F155=0,"",K155/F155)</f>
        <v/>
      </c>
    </row>
    <row r="156">
      <c r="A156" s="18" t="inlineStr">
        <is>
          <t>2026-08</t>
        </is>
      </c>
      <c r="B156" s="18" t="inlineStr">
        <is>
          <t>Carindale vet clinic</t>
        </is>
      </c>
      <c r="C156" s="18" t="inlineStr">
        <is>
          <t>Maintenance contract</t>
        </is>
      </c>
      <c r="D156" s="19" t="n">
        <v>46235</v>
      </c>
      <c r="E156" s="19" t="n">
        <v>46265</v>
      </c>
      <c r="F156" s="20" t="n">
        <v>1700</v>
      </c>
      <c r="G156" s="20" t="n">
        <v>30</v>
      </c>
      <c r="H156" s="20" t="n">
        <v>0</v>
      </c>
      <c r="I156" s="21" t="n">
        <v>9</v>
      </c>
      <c r="J156" s="20">
        <f>I156*$B$4</f>
        <v/>
      </c>
      <c r="K156" s="20">
        <f>F156-G156-H156-J156</f>
        <v/>
      </c>
      <c r="L156" s="22">
        <f>IF(F156=0,"",K156/F156)</f>
        <v/>
      </c>
    </row>
    <row r="157">
      <c r="A157" s="18" t="inlineStr">
        <is>
          <t>2026-08</t>
        </is>
      </c>
      <c r="B157" s="18" t="inlineStr">
        <is>
          <t>Chermside retail centre</t>
        </is>
      </c>
      <c r="C157" s="18" t="inlineStr">
        <is>
          <t>Maintenance contract</t>
        </is>
      </c>
      <c r="D157" s="19" t="n">
        <v>46235</v>
      </c>
      <c r="E157" s="19" t="n">
        <v>46268</v>
      </c>
      <c r="F157" s="20" t="n">
        <v>4100</v>
      </c>
      <c r="G157" s="20" t="n">
        <v>100</v>
      </c>
      <c r="H157" s="20" t="n">
        <v>0</v>
      </c>
      <c r="I157" s="21" t="n">
        <v>23</v>
      </c>
      <c r="J157" s="20">
        <f>I157*$B$4</f>
        <v/>
      </c>
      <c r="K157" s="20">
        <f>F157-G157-H157-J157</f>
        <v/>
      </c>
      <c r="L157" s="22">
        <f>IF(F157=0,"",K157/F157)</f>
        <v/>
      </c>
    </row>
    <row r="158">
      <c r="A158" s="18" t="inlineStr">
        <is>
          <t>2026-08</t>
        </is>
      </c>
      <c r="B158" s="18" t="inlineStr">
        <is>
          <t>Fortitude Valley hotel</t>
        </is>
      </c>
      <c r="C158" s="18" t="inlineStr">
        <is>
          <t>Maintenance contract</t>
        </is>
      </c>
      <c r="D158" s="19" t="n">
        <v>46235</v>
      </c>
      <c r="E158" s="19" t="n">
        <v>46265</v>
      </c>
      <c r="F158" s="20" t="n">
        <v>3400</v>
      </c>
      <c r="G158" s="20" t="n">
        <v>70</v>
      </c>
      <c r="H158" s="20" t="n">
        <v>0</v>
      </c>
      <c r="I158" s="21" t="n">
        <v>19</v>
      </c>
      <c r="J158" s="20">
        <f>I158*$B$4</f>
        <v/>
      </c>
      <c r="K158" s="20">
        <f>F158-G158-H158-J158</f>
        <v/>
      </c>
      <c r="L158" s="22">
        <f>IF(F158=0,"",K158/F158)</f>
        <v/>
      </c>
    </row>
    <row r="159">
      <c r="A159" s="18" t="inlineStr">
        <is>
          <t>2026-08</t>
        </is>
      </c>
      <c r="B159" s="18" t="inlineStr">
        <is>
          <t>Kangaroo Point townhouses</t>
        </is>
      </c>
      <c r="C159" s="18" t="inlineStr">
        <is>
          <t>Maintenance contract</t>
        </is>
      </c>
      <c r="D159" s="19" t="n">
        <v>46235</v>
      </c>
      <c r="E159" s="19" t="n">
        <v>46265</v>
      </c>
      <c r="F159" s="20" t="n">
        <v>2400</v>
      </c>
      <c r="G159" s="20" t="n">
        <v>50</v>
      </c>
      <c r="H159" s="20" t="n">
        <v>0</v>
      </c>
      <c r="I159" s="21" t="n">
        <v>14</v>
      </c>
      <c r="J159" s="20">
        <f>I159*$B$4</f>
        <v/>
      </c>
      <c r="K159" s="20">
        <f>F159-G159-H159-J159</f>
        <v/>
      </c>
      <c r="L159" s="22">
        <f>IF(F159=0,"",K159/F159)</f>
        <v/>
      </c>
    </row>
    <row r="160">
      <c r="A160" s="18" t="inlineStr">
        <is>
          <t>2026-08</t>
        </is>
      </c>
      <c r="B160" s="18" t="inlineStr">
        <is>
          <t>Milton office tower</t>
        </is>
      </c>
      <c r="C160" s="18" t="inlineStr">
        <is>
          <t>Maintenance contract</t>
        </is>
      </c>
      <c r="D160" s="19" t="n">
        <v>46235</v>
      </c>
      <c r="E160" s="19" t="n">
        <v>46260</v>
      </c>
      <c r="F160" s="20" t="n">
        <v>4200</v>
      </c>
      <c r="G160" s="20" t="n">
        <v>90</v>
      </c>
      <c r="H160" s="20" t="n">
        <v>0</v>
      </c>
      <c r="I160" s="21" t="n">
        <v>24</v>
      </c>
      <c r="J160" s="20">
        <f>I160*$B$4</f>
        <v/>
      </c>
      <c r="K160" s="20">
        <f>F160-G160-H160-J160</f>
        <v/>
      </c>
      <c r="L160" s="22">
        <f>IF(F160=0,"",K160/F160)</f>
        <v/>
      </c>
    </row>
    <row r="161">
      <c r="A161" s="18" t="inlineStr">
        <is>
          <t>2026-08</t>
        </is>
      </c>
      <c r="B161" s="18" t="inlineStr">
        <is>
          <t>Newstead gym</t>
        </is>
      </c>
      <c r="C161" s="18" t="inlineStr">
        <is>
          <t>Maintenance contract</t>
        </is>
      </c>
      <c r="D161" s="19" t="n">
        <v>46235</v>
      </c>
      <c r="E161" s="19" t="n">
        <v>46260</v>
      </c>
      <c r="F161" s="20" t="n">
        <v>1600</v>
      </c>
      <c r="G161" s="20" t="n">
        <v>30</v>
      </c>
      <c r="H161" s="20" t="n">
        <v>0</v>
      </c>
      <c r="I161" s="21" t="n">
        <v>9</v>
      </c>
      <c r="J161" s="20">
        <f>I161*$B$4</f>
        <v/>
      </c>
      <c r="K161" s="20">
        <f>F161-G161-H161-J161</f>
        <v/>
      </c>
      <c r="L161" s="22">
        <f>IF(F161=0,"",K161/F161)</f>
        <v/>
      </c>
    </row>
    <row r="162">
      <c r="A162" s="18" t="inlineStr">
        <is>
          <t>2026-08</t>
        </is>
      </c>
      <c r="B162" s="18" t="inlineStr">
        <is>
          <t>Riverside Apartments (strata)</t>
        </is>
      </c>
      <c r="C162" s="18" t="inlineStr">
        <is>
          <t>Maintenance contract</t>
        </is>
      </c>
      <c r="D162" s="19" t="n">
        <v>46235</v>
      </c>
      <c r="E162" s="19" t="n">
        <v>46268</v>
      </c>
      <c r="F162" s="20" t="n">
        <v>3200</v>
      </c>
      <c r="G162" s="20" t="n">
        <v>60</v>
      </c>
      <c r="H162" s="20" t="n">
        <v>0</v>
      </c>
      <c r="I162" s="21" t="n">
        <v>18</v>
      </c>
      <c r="J162" s="20">
        <f>I162*$B$4</f>
        <v/>
      </c>
      <c r="K162" s="20">
        <f>F162-G162-H162-J162</f>
        <v/>
      </c>
      <c r="L162" s="22">
        <f>IF(F162=0,"",K162/F162)</f>
        <v/>
      </c>
    </row>
    <row r="163">
      <c r="A163" s="18" t="inlineStr">
        <is>
          <t>2026-08</t>
        </is>
      </c>
      <c r="B163" s="18" t="inlineStr">
        <is>
          <t>Rocklea factory</t>
        </is>
      </c>
      <c r="C163" s="18" t="inlineStr">
        <is>
          <t>Maintenance contract</t>
        </is>
      </c>
      <c r="D163" s="19" t="n">
        <v>46235</v>
      </c>
      <c r="E163" s="19" t="n">
        <v>46273</v>
      </c>
      <c r="F163" s="20" t="n">
        <v>3900</v>
      </c>
      <c r="G163" s="20" t="n">
        <v>110</v>
      </c>
      <c r="H163" s="20" t="n">
        <v>0</v>
      </c>
      <c r="I163" s="21" t="n">
        <v>22</v>
      </c>
      <c r="J163" s="20">
        <f>I163*$B$4</f>
        <v/>
      </c>
      <c r="K163" s="20">
        <f>F163-G163-H163-J163</f>
        <v/>
      </c>
      <c r="L163" s="22">
        <f>IF(F163=0,"",K163/F163)</f>
        <v/>
      </c>
    </row>
    <row r="164">
      <c r="A164" s="18" t="inlineStr">
        <is>
          <t>2026-08</t>
        </is>
      </c>
      <c r="B164" s="18" t="inlineStr">
        <is>
          <t>Southbank cafe group</t>
        </is>
      </c>
      <c r="C164" s="18" t="inlineStr">
        <is>
          <t>Maintenance contract</t>
        </is>
      </c>
      <c r="D164" s="19" t="n">
        <v>46235</v>
      </c>
      <c r="E164" s="19" t="n">
        <v>46260</v>
      </c>
      <c r="F164" s="20" t="n">
        <v>1800</v>
      </c>
      <c r="G164" s="20" t="n">
        <v>40</v>
      </c>
      <c r="H164" s="20" t="n">
        <v>0</v>
      </c>
      <c r="I164" s="21" t="n">
        <v>10</v>
      </c>
      <c r="J164" s="20">
        <f>I164*$B$4</f>
        <v/>
      </c>
      <c r="K164" s="20">
        <f>F164-G164-H164-J164</f>
        <v/>
      </c>
      <c r="L164" s="22">
        <f>IF(F164=0,"",K164/F164)</f>
        <v/>
      </c>
    </row>
    <row r="165">
      <c r="A165" s="18" t="inlineStr">
        <is>
          <t>2026-08</t>
        </is>
      </c>
      <c r="B165" s="18" t="inlineStr">
        <is>
          <t>Wacol logistics depot</t>
        </is>
      </c>
      <c r="C165" s="18" t="inlineStr">
        <is>
          <t>Maintenance contract</t>
        </is>
      </c>
      <c r="D165" s="19" t="n">
        <v>46235</v>
      </c>
      <c r="E165" s="19" t="n">
        <v>46268</v>
      </c>
      <c r="F165" s="20" t="n">
        <v>3000</v>
      </c>
      <c r="G165" s="20" t="n">
        <v>70</v>
      </c>
      <c r="H165" s="20" t="n">
        <v>0</v>
      </c>
      <c r="I165" s="21" t="n">
        <v>17</v>
      </c>
      <c r="J165" s="20">
        <f>I165*$B$4</f>
        <v/>
      </c>
      <c r="K165" s="20">
        <f>F165-G165-H165-J165</f>
        <v/>
      </c>
      <c r="L165" s="22">
        <f>IF(F165=0,"",K165/F165)</f>
        <v/>
      </c>
    </row>
    <row r="166">
      <c r="A166" s="18" t="inlineStr">
        <is>
          <t>2026-08</t>
        </is>
      </c>
      <c r="B166" s="18" t="inlineStr">
        <is>
          <t>West End brewery</t>
        </is>
      </c>
      <c r="C166" s="18" t="inlineStr">
        <is>
          <t>Maintenance contract</t>
        </is>
      </c>
      <c r="D166" s="19" t="n">
        <v>46235</v>
      </c>
      <c r="E166" s="19" t="n">
        <v>46260</v>
      </c>
      <c r="F166" s="20" t="n">
        <v>2600</v>
      </c>
      <c r="G166" s="20" t="n">
        <v>50</v>
      </c>
      <c r="H166" s="20" t="n">
        <v>0</v>
      </c>
      <c r="I166" s="21" t="n">
        <v>15</v>
      </c>
      <c r="J166" s="20">
        <f>I166*$B$4</f>
        <v/>
      </c>
      <c r="K166" s="20">
        <f>F166-G166-H166-J166</f>
        <v/>
      </c>
      <c r="L166" s="22">
        <f>IF(F166=0,"",K166/F166)</f>
        <v/>
      </c>
    </row>
    <row r="167">
      <c r="A167" s="18" t="inlineStr">
        <is>
          <t>2026-08</t>
        </is>
      </c>
      <c r="B167" s="18" t="inlineStr">
        <is>
          <t>Wynnum medical centre</t>
        </is>
      </c>
      <c r="C167" s="18" t="inlineStr">
        <is>
          <t>Maintenance contract</t>
        </is>
      </c>
      <c r="D167" s="19" t="n">
        <v>46235</v>
      </c>
      <c r="E167" s="19" t="n">
        <v>46260</v>
      </c>
      <c r="F167" s="20" t="n">
        <v>2200</v>
      </c>
      <c r="G167" s="20" t="n">
        <v>40</v>
      </c>
      <c r="H167" s="20" t="n">
        <v>0</v>
      </c>
      <c r="I167" s="21" t="n">
        <v>12</v>
      </c>
      <c r="J167" s="20">
        <f>I167*$B$4</f>
        <v/>
      </c>
      <c r="K167" s="20">
        <f>F167-G167-H167-J167</f>
        <v/>
      </c>
      <c r="L167" s="22">
        <f>IF(F167=0,"",K167/F167)</f>
        <v/>
      </c>
    </row>
    <row r="168">
      <c r="A168" s="23" t="inlineStr">
        <is>
          <t>Total</t>
        </is>
      </c>
      <c r="F168" s="24">
        <f>SUM(F7:F167)</f>
        <v/>
      </c>
      <c r="G168" s="24">
        <f>SUM(G7:G167)</f>
        <v/>
      </c>
      <c r="H168" s="24">
        <f>SUM(H7:H167)</f>
        <v/>
      </c>
      <c r="I168" s="25">
        <f>SUM(I7:I167)</f>
        <v/>
      </c>
      <c r="J168" s="24">
        <f>SUM(J7:J167)</f>
        <v/>
      </c>
      <c r="K168" s="24">
        <f>SUM(K7:K167)</f>
        <v/>
      </c>
    </row>
  </sheetData>
  <autoFilter ref="A6:L167"/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trades-sample-statements.xlsx&amp;C&amp;8 Data retrieved 2pm, Tue 6 Oct 2026&amp;R&amp;8 Page &amp;P of &amp;N</oddFooter>
    <evenHeader/>
    <evenFooter/>
    <firstHeader/>
    <firstFooter/>
  </headerFooter>
  <rowBreaks count="4" manualBreakCount="4">
    <brk id="40" min="0" max="16383" man="1"/>
    <brk id="80" min="0" max="16383" man="1"/>
    <brk id="90" min="0" max="16383" man="1"/>
    <brk id="13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26" t="inlineStr">
        <is>
          <t>Gross margin</t>
        </is>
      </c>
    </row>
    <row r="6">
      <c r="A6" s="8" t="inlineStr">
        <is>
          <t>Gross profit ÷ revenue</t>
        </is>
      </c>
    </row>
    <row r="7">
      <c r="A7" s="3" t="inlineStr"/>
      <c r="B7" s="4" t="inlineStr">
        <is>
          <t>Sep 2026</t>
        </is>
      </c>
      <c r="C7" s="4" t="inlineStr">
        <is>
          <t>Aug 2026</t>
        </is>
      </c>
    </row>
    <row r="8">
      <c r="A8" t="inlineStr">
        <is>
          <t>Revenue (every job invoiced in the month)</t>
        </is>
      </c>
      <c r="B8" s="20" t="n">
        <v>202337</v>
      </c>
      <c r="C8" s="20" t="n">
        <v>179007</v>
      </c>
    </row>
    <row r="9">
      <c r="A9" t="inlineStr">
        <is>
          <t>Materials</t>
        </is>
      </c>
      <c r="B9" s="20" t="n">
        <v>-64860</v>
      </c>
      <c r="C9" s="20" t="n">
        <v>-51530</v>
      </c>
    </row>
    <row r="10">
      <c r="A10" t="inlineStr">
        <is>
          <t>Subcontractors</t>
        </is>
      </c>
      <c r="B10" s="20" t="n">
        <v>-13200</v>
      </c>
      <c r="C10" s="20" t="n">
        <v>-9300</v>
      </c>
    </row>
    <row r="11">
      <c r="A11" t="inlineStr">
        <is>
          <t>Technician wages</t>
        </is>
      </c>
      <c r="B11" s="20" t="n">
        <v>-54600</v>
      </c>
      <c r="C11" s="20" t="n">
        <v>-54600</v>
      </c>
    </row>
    <row r="12">
      <c r="A12" t="inlineStr">
        <is>
          <t>Gross profit</t>
        </is>
      </c>
      <c r="B12" s="20">
        <f>B8+B9+B10+B11</f>
        <v/>
      </c>
      <c r="C12" s="20">
        <f>C8+C9+C10+C11</f>
        <v/>
      </c>
    </row>
    <row r="13">
      <c r="A13" s="27" t="inlineStr">
        <is>
          <t>Gross margin</t>
        </is>
      </c>
      <c r="B13" s="28">
        <f>B12/B8</f>
        <v/>
      </c>
      <c r="C13" s="28">
        <f>C12/C8</f>
        <v/>
      </c>
    </row>
    <row r="14">
      <c r="A14" s="2" t="inlineStr">
        <is>
          <t>Technicians are on salary, so a quiet month for jobs lowers the margin even if every job is priced well.</t>
        </is>
      </c>
    </row>
    <row r="15"/>
    <row r="16"/>
    <row r="17">
      <c r="A17" s="26" t="inlineStr">
        <is>
          <t>Cost to win a customer</t>
        </is>
      </c>
    </row>
    <row r="18">
      <c r="A18" s="8" t="inlineStr">
        <is>
          <t>Marketing spend ÷ new customers</t>
        </is>
      </c>
    </row>
    <row r="19">
      <c r="A19" s="3" t="inlineStr"/>
      <c r="B19" s="4" t="inlineStr">
        <is>
          <t>Sep 2026</t>
        </is>
      </c>
      <c r="C19" s="4" t="inlineStr">
        <is>
          <t>Aug 2026</t>
        </is>
      </c>
    </row>
    <row r="20">
      <c r="A20" t="inlineStr">
        <is>
          <t>Marketing spend</t>
        </is>
      </c>
      <c r="B20" s="20" t="n">
        <v>7600</v>
      </c>
      <c r="C20" s="20" t="n">
        <v>8400</v>
      </c>
    </row>
    <row r="21">
      <c r="A21" t="inlineStr">
        <is>
          <t>New customers (first job ever)</t>
        </is>
      </c>
      <c r="B21" s="20" t="n">
        <v>47</v>
      </c>
      <c r="C21" s="20" t="n">
        <v>41</v>
      </c>
    </row>
    <row r="22">
      <c r="A22" s="27" t="inlineStr">
        <is>
          <t>Cost per new customer</t>
        </is>
      </c>
      <c r="B22" s="29">
        <f>B20/B21</f>
        <v/>
      </c>
      <c r="C22" s="29">
        <f>C20/C21</f>
        <v/>
      </c>
    </row>
    <row r="23"/>
    <row r="24"/>
    <row r="25">
      <c r="A25" s="26" t="inlineStr">
        <is>
          <t>Technician time on jobs</t>
        </is>
      </c>
    </row>
    <row r="26">
      <c r="A26" s="8" t="inlineStr">
        <is>
          <t>Hours charged to jobs ÷ hours available</t>
        </is>
      </c>
    </row>
    <row r="27">
      <c r="A27" s="3" t="inlineStr"/>
      <c r="B27" s="4" t="inlineStr">
        <is>
          <t>Sep 2026</t>
        </is>
      </c>
      <c r="C27" s="4" t="inlineStr">
        <is>
          <t>Aug 2026</t>
        </is>
      </c>
    </row>
    <row r="28">
      <c r="A28" t="inlineStr">
        <is>
          <t>Hours charged to jobs (timesheets)</t>
        </is>
      </c>
      <c r="B28" s="21" t="n">
        <v>752.5</v>
      </c>
      <c r="C28" s="21" t="n">
        <v>655</v>
      </c>
    </row>
    <row r="29">
      <c r="A29" t="inlineStr">
        <is>
          <t>Technicians</t>
        </is>
      </c>
      <c r="B29" s="20" t="n">
        <v>7</v>
      </c>
      <c r="C29" s="20" t="n">
        <v>7</v>
      </c>
    </row>
    <row r="30">
      <c r="A30" t="inlineStr">
        <is>
          <t>Working days</t>
        </is>
      </c>
      <c r="B30" s="20" t="n">
        <v>22</v>
      </c>
      <c r="C30" s="20" t="n">
        <v>20</v>
      </c>
    </row>
    <row r="31">
      <c r="A31" t="inlineStr">
        <is>
          <t>Hours per day</t>
        </is>
      </c>
      <c r="B31" s="21" t="n">
        <v>7.6</v>
      </c>
      <c r="C31" s="21" t="n">
        <v>7.6</v>
      </c>
    </row>
    <row r="32">
      <c r="A32" t="inlineStr">
        <is>
          <t>Hours available</t>
        </is>
      </c>
      <c r="B32" s="21">
        <f>B29*B30*B31</f>
        <v/>
      </c>
      <c r="C32" s="21">
        <f>C29*C30*C31</f>
        <v/>
      </c>
    </row>
    <row r="33">
      <c r="A33" s="27" t="inlineStr">
        <is>
          <t>Time on jobs</t>
        </is>
      </c>
      <c r="B33" s="28">
        <f>B28/B32</f>
        <v/>
      </c>
      <c r="C33" s="28">
        <f>C28/C32</f>
        <v/>
      </c>
    </row>
    <row r="34">
      <c r="A34" s="2" t="inlineStr">
        <is>
          <t>August had one fewer working day for the Ekka show holiday. The rest is travel, training, quoting and waiting time.</t>
        </is>
      </c>
    </row>
    <row r="35"/>
    <row r="36"/>
    <row r="37">
      <c r="A37" s="26" t="inlineStr">
        <is>
          <t>Bulimba EV chargers</t>
        </is>
      </c>
    </row>
    <row r="38">
      <c r="A38" s="8" t="inlineStr">
        <is>
          <t>Gross profit ÷ revenue for this job</t>
        </is>
      </c>
    </row>
    <row r="39">
      <c r="A39" s="3" t="inlineStr"/>
      <c r="B39" s="4" t="inlineStr">
        <is>
          <t>This job</t>
        </is>
      </c>
    </row>
    <row r="40">
      <c r="A40" t="inlineStr">
        <is>
          <t>Revenue</t>
        </is>
      </c>
      <c r="B40" s="20" t="n">
        <v>9800</v>
      </c>
    </row>
    <row r="41">
      <c r="A41" t="inlineStr">
        <is>
          <t>Materials</t>
        </is>
      </c>
      <c r="B41" s="20" t="n">
        <v>-3600</v>
      </c>
    </row>
    <row r="42">
      <c r="A42" t="inlineStr">
        <is>
          <t>Subcontractors</t>
        </is>
      </c>
      <c r="B42" s="20" t="n">
        <v>0</v>
      </c>
    </row>
    <row r="43">
      <c r="A43" t="inlineStr">
        <is>
          <t>Technician hours</t>
        </is>
      </c>
      <c r="B43" s="21" t="n">
        <v>26</v>
      </c>
    </row>
    <row r="44">
      <c r="A44" t="inlineStr">
        <is>
          <t>Technician cost rate ($/hour)</t>
        </is>
      </c>
      <c r="B44" s="20" t="n">
        <v>68</v>
      </c>
    </row>
    <row r="45">
      <c r="A45" t="inlineStr">
        <is>
          <t>Technician time</t>
        </is>
      </c>
      <c r="B45" s="20">
        <f>-B43*B44</f>
        <v/>
      </c>
    </row>
    <row r="46">
      <c r="A46" t="inlineStr">
        <is>
          <t>Gross profit</t>
        </is>
      </c>
      <c r="B46" s="20">
        <f>B40+B41+B42+B45</f>
        <v/>
      </c>
    </row>
    <row r="47">
      <c r="A47" s="27" t="inlineStr">
        <is>
          <t>Margin</t>
        </is>
      </c>
      <c r="B47" s="28">
        <f>B46/B40</f>
        <v/>
      </c>
    </row>
    <row r="48"/>
    <row r="49"/>
    <row r="50">
      <c r="A50" s="26" t="inlineStr">
        <is>
          <t>Milton office LED lighting</t>
        </is>
      </c>
    </row>
    <row r="51">
      <c r="A51" s="8" t="inlineStr">
        <is>
          <t>Gross profit ÷ revenue for this job</t>
        </is>
      </c>
    </row>
    <row r="52">
      <c r="A52" s="3" t="inlineStr"/>
      <c r="B52" s="4" t="inlineStr">
        <is>
          <t>This job</t>
        </is>
      </c>
    </row>
    <row r="53">
      <c r="A53" t="inlineStr">
        <is>
          <t>Revenue</t>
        </is>
      </c>
      <c r="B53" s="20" t="n">
        <v>18600</v>
      </c>
    </row>
    <row r="54">
      <c r="A54" t="inlineStr">
        <is>
          <t>Materials</t>
        </is>
      </c>
      <c r="B54" s="20" t="n">
        <v>-6900</v>
      </c>
    </row>
    <row r="55">
      <c r="A55" t="inlineStr">
        <is>
          <t>Subcontractors</t>
        </is>
      </c>
      <c r="B55" s="20" t="n">
        <v>0</v>
      </c>
    </row>
    <row r="56">
      <c r="A56" t="inlineStr">
        <is>
          <t>Technician hours</t>
        </is>
      </c>
      <c r="B56" s="21" t="n">
        <v>64</v>
      </c>
    </row>
    <row r="57">
      <c r="A57" t="inlineStr">
        <is>
          <t>Technician cost rate ($/hour)</t>
        </is>
      </c>
      <c r="B57" s="20" t="n">
        <v>68</v>
      </c>
    </row>
    <row r="58">
      <c r="A58" t="inlineStr">
        <is>
          <t>Technician time</t>
        </is>
      </c>
      <c r="B58" s="20">
        <f>-B56*B57</f>
        <v/>
      </c>
    </row>
    <row r="59">
      <c r="A59" t="inlineStr">
        <is>
          <t>Gross profit</t>
        </is>
      </c>
      <c r="B59" s="20">
        <f>B53+B54+B55+B58</f>
        <v/>
      </c>
    </row>
    <row r="60">
      <c r="A60" s="27" t="inlineStr">
        <is>
          <t>Margin</t>
        </is>
      </c>
      <c r="B60" s="28">
        <f>B59/B53</f>
        <v/>
      </c>
    </row>
    <row r="61"/>
    <row r="62"/>
    <row r="63">
      <c r="A63" s="26" t="inlineStr">
        <is>
          <t>Chermside clinic cabling</t>
        </is>
      </c>
    </row>
    <row r="64">
      <c r="A64" s="8" t="inlineStr">
        <is>
          <t>Gross profit ÷ revenue for this job</t>
        </is>
      </c>
    </row>
    <row r="65">
      <c r="A65" s="3" t="inlineStr"/>
      <c r="B65" s="4" t="inlineStr">
        <is>
          <t>This job</t>
        </is>
      </c>
    </row>
    <row r="66">
      <c r="A66" t="inlineStr">
        <is>
          <t>Revenue</t>
        </is>
      </c>
      <c r="B66" s="20" t="n">
        <v>15200</v>
      </c>
    </row>
    <row r="67">
      <c r="A67" t="inlineStr">
        <is>
          <t>Materials</t>
        </is>
      </c>
      <c r="B67" s="20" t="n">
        <v>-4300</v>
      </c>
    </row>
    <row r="68">
      <c r="A68" t="inlineStr">
        <is>
          <t>Subcontractors</t>
        </is>
      </c>
      <c r="B68" s="20" t="n">
        <v>-1800</v>
      </c>
    </row>
    <row r="69">
      <c r="A69" t="inlineStr">
        <is>
          <t>Technician hours</t>
        </is>
      </c>
      <c r="B69" s="21" t="n">
        <v>52</v>
      </c>
    </row>
    <row r="70">
      <c r="A70" t="inlineStr">
        <is>
          <t>Technician cost rate ($/hour)</t>
        </is>
      </c>
      <c r="B70" s="20" t="n">
        <v>68</v>
      </c>
    </row>
    <row r="71">
      <c r="A71" t="inlineStr">
        <is>
          <t>Technician time</t>
        </is>
      </c>
      <c r="B71" s="20">
        <f>-B69*B70</f>
        <v/>
      </c>
    </row>
    <row r="72">
      <c r="A72" t="inlineStr">
        <is>
          <t>Gross profit</t>
        </is>
      </c>
      <c r="B72" s="20">
        <f>B66+B67+B68+B71</f>
        <v/>
      </c>
    </row>
    <row r="73">
      <c r="A73" s="27" t="inlineStr">
        <is>
          <t>Margin</t>
        </is>
      </c>
      <c r="B73" s="28">
        <f>B72/B66</f>
        <v/>
      </c>
    </row>
    <row r="74"/>
    <row r="75"/>
    <row r="76">
      <c r="A76" s="26" t="inlineStr">
        <is>
          <t>West End cafe air-con</t>
        </is>
      </c>
    </row>
    <row r="77">
      <c r="A77" s="8" t="inlineStr">
        <is>
          <t>Gross profit ÷ revenue for this job</t>
        </is>
      </c>
    </row>
    <row r="78">
      <c r="A78" s="3" t="inlineStr"/>
      <c r="B78" s="4" t="inlineStr">
        <is>
          <t>This job</t>
        </is>
      </c>
    </row>
    <row r="79">
      <c r="A79" t="inlineStr">
        <is>
          <t>Revenue</t>
        </is>
      </c>
      <c r="B79" s="20" t="n">
        <v>12900</v>
      </c>
    </row>
    <row r="80">
      <c r="A80" t="inlineStr">
        <is>
          <t>Materials</t>
        </is>
      </c>
      <c r="B80" s="20" t="n">
        <v>-5100</v>
      </c>
    </row>
    <row r="81">
      <c r="A81" t="inlineStr">
        <is>
          <t>Subcontractors</t>
        </is>
      </c>
      <c r="B81" s="20" t="n">
        <v>-900</v>
      </c>
    </row>
    <row r="82">
      <c r="A82" t="inlineStr">
        <is>
          <t>Technician hours</t>
        </is>
      </c>
      <c r="B82" s="21" t="n">
        <v>38</v>
      </c>
    </row>
    <row r="83">
      <c r="A83" t="inlineStr">
        <is>
          <t>Technician cost rate ($/hour)</t>
        </is>
      </c>
      <c r="B83" s="20" t="n">
        <v>68</v>
      </c>
    </row>
    <row r="84">
      <c r="A84" t="inlineStr">
        <is>
          <t>Technician time</t>
        </is>
      </c>
      <c r="B84" s="20">
        <f>-B82*B83</f>
        <v/>
      </c>
    </row>
    <row r="85">
      <c r="A85" t="inlineStr">
        <is>
          <t>Gross profit</t>
        </is>
      </c>
      <c r="B85" s="20">
        <f>B79+B80+B81+B84</f>
        <v/>
      </c>
    </row>
    <row r="86">
      <c r="A86" s="27" t="inlineStr">
        <is>
          <t>Margin</t>
        </is>
      </c>
      <c r="B86" s="28">
        <f>B85/B79</f>
        <v/>
      </c>
    </row>
    <row r="87"/>
    <row r="88"/>
    <row r="89">
      <c r="A89" s="26" t="inlineStr">
        <is>
          <t>Carindale solar and battery</t>
        </is>
      </c>
    </row>
    <row r="90">
      <c r="A90" s="8" t="inlineStr">
        <is>
          <t>Gross profit ÷ revenue for this job</t>
        </is>
      </c>
    </row>
    <row r="91">
      <c r="A91" s="3" t="inlineStr"/>
      <c r="B91" s="4" t="inlineStr">
        <is>
          <t>This job</t>
        </is>
      </c>
    </row>
    <row r="92">
      <c r="A92" t="inlineStr">
        <is>
          <t>Revenue</t>
        </is>
      </c>
      <c r="B92" s="20" t="n">
        <v>27400</v>
      </c>
    </row>
    <row r="93">
      <c r="A93" t="inlineStr">
        <is>
          <t>Materials</t>
        </is>
      </c>
      <c r="B93" s="20" t="n">
        <v>-13800</v>
      </c>
    </row>
    <row r="94">
      <c r="A94" t="inlineStr">
        <is>
          <t>Subcontractors</t>
        </is>
      </c>
      <c r="B94" s="20" t="n">
        <v>-3100</v>
      </c>
    </row>
    <row r="95">
      <c r="A95" t="inlineStr">
        <is>
          <t>Technician hours</t>
        </is>
      </c>
      <c r="B95" s="21" t="n">
        <v>46</v>
      </c>
    </row>
    <row r="96">
      <c r="A96" t="inlineStr">
        <is>
          <t>Technician cost rate ($/hour)</t>
        </is>
      </c>
      <c r="B96" s="20" t="n">
        <v>68</v>
      </c>
    </row>
    <row r="97">
      <c r="A97" t="inlineStr">
        <is>
          <t>Technician time</t>
        </is>
      </c>
      <c r="B97" s="20">
        <f>-B95*B96</f>
        <v/>
      </c>
    </row>
    <row r="98">
      <c r="A98" t="inlineStr">
        <is>
          <t>Gross profit</t>
        </is>
      </c>
      <c r="B98" s="20">
        <f>B92+B93+B94+B97</f>
        <v/>
      </c>
    </row>
    <row r="99">
      <c r="A99" s="27" t="inlineStr">
        <is>
          <t>Margin</t>
        </is>
      </c>
      <c r="B99" s="28">
        <f>B98/B92</f>
        <v/>
      </c>
    </row>
    <row r="100"/>
    <row r="101"/>
    <row r="102">
      <c r="A102" s="26" t="inlineStr">
        <is>
          <t>Wacol warehouse switchboard</t>
        </is>
      </c>
    </row>
    <row r="103">
      <c r="A103" s="8" t="inlineStr">
        <is>
          <t>Gross profit ÷ revenue for this job</t>
        </is>
      </c>
    </row>
    <row r="104">
      <c r="A104" s="3" t="inlineStr"/>
      <c r="B104" s="4" t="inlineStr">
        <is>
          <t>This job</t>
        </is>
      </c>
    </row>
    <row r="105">
      <c r="A105" t="inlineStr">
        <is>
          <t>Revenue</t>
        </is>
      </c>
      <c r="B105" s="20" t="n">
        <v>46800</v>
      </c>
    </row>
    <row r="106">
      <c r="A106" t="inlineStr">
        <is>
          <t>Materials</t>
        </is>
      </c>
      <c r="B106" s="20" t="n">
        <v>-22900</v>
      </c>
    </row>
    <row r="107">
      <c r="A107" t="inlineStr">
        <is>
          <t>Subcontractors</t>
        </is>
      </c>
      <c r="B107" s="20" t="n">
        <v>-7400</v>
      </c>
    </row>
    <row r="108">
      <c r="A108" t="inlineStr">
        <is>
          <t>Technician hours</t>
        </is>
      </c>
      <c r="B108" s="21" t="n">
        <v>150</v>
      </c>
    </row>
    <row r="109">
      <c r="A109" t="inlineStr">
        <is>
          <t>Technician cost rate ($/hour)</t>
        </is>
      </c>
      <c r="B109" s="20" t="n">
        <v>68</v>
      </c>
    </row>
    <row r="110">
      <c r="A110" t="inlineStr">
        <is>
          <t>Technician time</t>
        </is>
      </c>
      <c r="B110" s="20">
        <f>-B108*B109</f>
        <v/>
      </c>
    </row>
    <row r="111">
      <c r="A111" t="inlineStr">
        <is>
          <t>Gross profit</t>
        </is>
      </c>
      <c r="B111" s="20">
        <f>B105+B106+B107+B110</f>
        <v/>
      </c>
    </row>
    <row r="112">
      <c r="A112" s="27" t="inlineStr">
        <is>
          <t>Margin</t>
        </is>
      </c>
      <c r="B112" s="28">
        <f>B111/B105</f>
        <v/>
      </c>
    </row>
    <row r="113"/>
    <row r="114"/>
    <row r="115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trades-sample-statements.xlsx&amp;C&amp;8 Data retrieved 2pm, Tue 6 Oct 2026&amp;R&amp;8 Page &amp;P of &amp;N</oddFooter>
    <evenHeader/>
    <evenFooter/>
    <firstHeader/>
    <firstFooter/>
  </headerFooter>
  <rowBreaks count="4" manualBreakCount="4">
    <brk id="24" min="0" max="16383" man="1"/>
    <brk id="49" min="0" max="16383" man="1"/>
    <brk id="75" min="0" max="16383" man="1"/>
    <brk id="101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4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Assumptions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Data status: Sep 2026 locked · Aug 2026 locked · Oct 2026 incomplete (data retrieved 2pm, Tue 6 Oct 2026)</t>
        </is>
      </c>
    </row>
    <row r="4"/>
    <row r="5">
      <c r="A5" s="9" t="inlineStr">
        <is>
          <t>The business</t>
        </is>
      </c>
    </row>
    <row r="6">
      <c r="A6" s="30" t="inlineStr">
        <is>
          <t>What it is</t>
        </is>
      </c>
      <c r="B6" s="31" t="inlineStr">
        <is>
          <t>An electrical and air-conditioning contractor in Brisbane: maintenance contracts, installations and call-outs. 7 technicians, 3 office staff.</t>
        </is>
      </c>
    </row>
    <row r="7">
      <c r="A7" s="30" t="inlineStr">
        <is>
          <t>Reporting month</t>
        </is>
      </c>
      <c r="B7" s="31" t="inlineStr">
        <is>
          <t>September 2026 (the last closed month), compared with August 2026</t>
        </is>
      </c>
    </row>
    <row r="8">
      <c r="A8" s="30" t="inlineStr">
        <is>
          <t>Financial year</t>
        </is>
      </c>
      <c r="B8" s="31" t="inlineStr">
        <is>
          <t>FY2027: 1 July 2026 to 30 June 2027</t>
        </is>
      </c>
    </row>
    <row r="9"/>
    <row r="10">
      <c r="A10" s="9" t="inlineStr">
        <is>
          <t>Jobs (September)</t>
        </is>
      </c>
    </row>
    <row r="11">
      <c r="A11" s="30" t="inlineStr">
        <is>
          <t>Maintenance contracts</t>
        </is>
      </c>
      <c r="B11" s="31" t="inlineStr">
        <is>
          <t>14 customers, invoiced on the 1st, paid in about 30 days</t>
        </is>
      </c>
    </row>
    <row r="12">
      <c r="A12" s="30" t="inlineStr">
        <is>
          <t>Installations</t>
        </is>
      </c>
      <c r="B12" s="31" t="inlineStr">
        <is>
          <t>6 named jobs, each with its own quote, materials, subcontractors and hours</t>
        </is>
      </c>
    </row>
    <row r="13">
      <c r="A13" s="30" t="inlineStr">
        <is>
          <t>Call-outs</t>
        </is>
      </c>
      <c r="B13" s="31" t="inlineStr">
        <is>
          <t>64 jobs at $145/hour plus materials marked up 30%</t>
        </is>
      </c>
    </row>
    <row r="14">
      <c r="A14" s="30" t="inlineStr">
        <is>
          <t>Jobs in September</t>
        </is>
      </c>
      <c r="B14" s="31" t="inlineStr">
        <is>
          <t>84 in total (every one is in the Excel download and CSV)</t>
        </is>
      </c>
    </row>
    <row r="15"/>
    <row r="16">
      <c r="A16" s="9" t="inlineStr">
        <is>
          <t>Costs</t>
        </is>
      </c>
    </row>
    <row r="17">
      <c r="A17" s="30" t="inlineStr">
        <is>
          <t>Technicians</t>
        </is>
      </c>
      <c r="B17" s="31" t="inlineStr">
        <is>
          <t>7 on salary: $54,600 a month incl. super</t>
        </is>
      </c>
    </row>
    <row r="18">
      <c r="A18" s="30" t="inlineStr">
        <is>
          <t>Job costing rate</t>
        </is>
      </c>
      <c r="B18" s="31" t="inlineStr">
        <is>
          <t>$68/hour for technician time charged to a job</t>
        </is>
      </c>
    </row>
    <row r="19">
      <c r="A19" s="30" t="inlineStr">
        <is>
          <t>Working days</t>
        </is>
      </c>
      <c r="B19" s="31" t="inlineStr">
        <is>
          <t>20 in August (Ekka show holiday), 22 in September; 7.6 hours a day</t>
        </is>
      </c>
    </row>
    <row r="20">
      <c r="A20" s="30" t="inlineStr">
        <is>
          <t>Overheads</t>
        </is>
      </c>
      <c r="B20" s="31" t="inlineStr">
        <is>
          <t>set month by month, as shown in the P&amp;L</t>
        </is>
      </c>
    </row>
    <row r="21">
      <c r="A21" s="30" t="inlineStr">
        <is>
          <t>Income tax</t>
        </is>
      </c>
      <c r="B21" s="31" t="inlineStr">
        <is>
          <t>25% of profit, provided monthly; next PAYG instalment due October</t>
        </is>
      </c>
    </row>
    <row r="22"/>
    <row r="23">
      <c r="A23" s="9" t="inlineStr">
        <is>
          <t>Cash and balance sheet</t>
        </is>
      </c>
    </row>
    <row r="24">
      <c r="A24" s="30" t="inlineStr">
        <is>
          <t>Customer payments</t>
        </is>
      </c>
      <c r="B24" s="31" t="inlineStr">
        <is>
          <t>each invoice is paid on its own date; unpaid invoices at month end = debtors</t>
        </is>
      </c>
    </row>
    <row r="25">
      <c r="A25" s="30" t="inlineStr">
        <is>
          <t>Supplier bills</t>
        </is>
      </c>
      <c r="B25" s="31" t="inlineStr">
        <is>
          <t>materials and subcontractors are paid the following month</t>
        </is>
      </c>
    </row>
    <row r="26">
      <c r="A26" s="30" t="inlineStr">
        <is>
          <t>Equipment finance</t>
        </is>
      </c>
      <c r="B26" s="31" t="inlineStr">
        <is>
          <t>$5,000 repaid each month</t>
        </is>
      </c>
    </row>
    <row r="27">
      <c r="A27" s="30" t="inlineStr">
        <is>
          <t>New equipment</t>
        </is>
      </c>
      <c r="B27" s="31" t="inlineStr">
        <is>
          <t>a $12,000 trailer bought in September</t>
        </is>
      </c>
    </row>
    <row r="28">
      <c r="A28" s="30" t="inlineStr">
        <is>
          <t>GST</t>
        </is>
      </c>
      <c r="B28" s="31" t="inlineStr">
        <is>
          <t>excluded throughout, for simplicity</t>
        </is>
      </c>
    </row>
    <row r="29"/>
    <row r="30">
      <c r="A30" s="9" t="inlineStr">
        <is>
          <t>Checks (all passed)</t>
        </is>
      </c>
    </row>
    <row r="31">
      <c r="A31" t="inlineStr">
        <is>
          <t>✓ Every subtotal and total adds up</t>
        </is>
      </c>
    </row>
    <row r="32">
      <c r="A32" t="inlineStr">
        <is>
          <t>✓ Balance sheet balances: assets = liabilities + equity</t>
        </is>
      </c>
    </row>
    <row r="33">
      <c r="A33" t="inlineStr">
        <is>
          <t>✓ Cash flow ends at the cash in the bank</t>
        </is>
      </c>
    </row>
    <row r="34">
      <c r="A34" t="inlineStr">
        <is>
          <t>✓ Profit ties to the movement in retained earnings</t>
        </is>
      </c>
    </row>
    <row r="35">
      <c r="A35" t="inlineStr">
        <is>
          <t>✓ Every job's revenue, materials and subcontractors add up to the P&amp;L</t>
        </is>
      </c>
    </row>
    <row r="36">
      <c r="A36" t="inlineStr">
        <is>
          <t>✓ Trade debtors equal the invoices still unpaid at month end</t>
        </is>
      </c>
    </row>
    <row r="38">
      <c r="A38" s="9" t="inlineStr">
        <is>
          <t>Print check (done before this file was saved)</t>
        </is>
      </c>
    </row>
    <row r="39">
      <c r="A39" t="inlineStr">
        <is>
          <t>✓ The fourth sheet: 1 page, 100% scale, no block split</t>
        </is>
      </c>
    </row>
    <row r="40">
      <c r="A40" t="inlineStr">
        <is>
          <t>✓ Profit and loss: 1 page, 100% scale, no block split</t>
        </is>
      </c>
    </row>
    <row r="41">
      <c r="A41" t="inlineStr">
        <is>
          <t>✓ Balance sheet: 1 page, 100% scale, no block split</t>
        </is>
      </c>
    </row>
    <row r="42">
      <c r="A42" t="inlineStr">
        <is>
          <t>✓ Cash flow: 1 page, 100% scale, no block split</t>
        </is>
      </c>
    </row>
    <row r="43">
      <c r="A43" t="inlineStr">
        <is>
          <t>✓ Jobs: 5 pages, 79% scale, no block split</t>
        </is>
      </c>
    </row>
    <row r="44">
      <c r="A44" t="inlineStr">
        <is>
          <t>✓ Workings: 5 pages, 100% scale, no block split</t>
        </is>
      </c>
    </row>
    <row r="45">
      <c r="A45" t="inlineStr">
        <is>
          <t>✓ Assumptions: 2 pages, 100%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Electrical &amp;&amp; Air Pty Ltd&amp;R&amp;8 &amp;A</oddHeader>
    <oddFooter>&amp;L&amp;8 trades-sample-statements.xlsx&amp;C&amp;8 Data retrieved 2pm, Tue 6 Oct 2026&amp;R&amp;8 Page &amp;P of &amp;N</oddFooter>
    <evenHeader/>
    <evenFooter/>
    <firstHeader/>
    <firstFooter/>
  </headerFooter>
  <rowBreaks count="1" manualBreakCount="1">
    <brk id="2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2026-10-06T02:13:07Z</dcterms:created>
  <dcterms:modified xmlns:dcterms="http://purl.org/dc/terms/" xmlns:xsi="http://www.w3.org/2001/XMLSchema-instance" xsi:type="dcterms:W3CDTF">2026-10-06T02:13:07Z</dcterms:modified>
</cp:coreProperties>
</file>