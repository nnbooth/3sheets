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Margin on each installation job invoiced in September 2026</t>
        </is>
      </c>
    </row>
    <row r="12">
      <c r="A12" s="2" t="inlineStr">
        <is>
          <t>Whole job, recognised when invoiced: revenue less materials, subcontractors and technician time at $68/hour. One 35.0% target for every job for now.</t>
        </is>
      </c>
    </row>
    <row r="13">
      <c r="A13" s="3" t="inlineStr"/>
      <c r="B13" s="4" t="inlineStr">
        <is>
          <t>Margin %</t>
        </is>
      </c>
      <c r="C13" s="4" t="inlineStr">
        <is>
          <t>Gross profit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super)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</t>
        </is>
      </c>
      <c r="K6" s="4" t="inlineStr">
        <is>
          <t>Gross profit</t>
        </is>
      </c>
      <c r="L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40" min="0" max="16383" man="1"/>
    <brk id="80" min="0" max="16383" man="1"/>
    <brk id="90" min="0" max="16383" man="1"/>
    <brk id="130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</t>
        </is>
      </c>
    </row>
    <row r="6">
      <c r="A6" s="8" t="inlineStr">
        <is>
          <t>Gross profit ÷ revenue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</t>
        </is>
      </c>
      <c r="B13" s="28">
        <f>B12/B8</f>
        <v/>
      </c>
      <c r="C13" s="28">
        <f>C12/C8</f>
        <v/>
      </c>
    </row>
    <row r="14">
      <c r="A14" s="2" t="inlineStr">
        <is>
          <t>Technicians are on salary, so a quiet month for jobs lowers the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Gross profit ÷ revenue for this job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Gross profit</t>
        </is>
      </c>
      <c r="B46" s="20">
        <f>B40+B41+B42+B45</f>
        <v/>
      </c>
    </row>
    <row r="47">
      <c r="A47" s="27" t="inlineStr">
        <is>
          <t>Margin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Gross profit ÷ revenue for this job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Gross profit</t>
        </is>
      </c>
      <c r="B59" s="20">
        <f>B53+B54+B55+B58</f>
        <v/>
      </c>
    </row>
    <row r="60">
      <c r="A60" s="27" t="inlineStr">
        <is>
          <t>Margin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Gross profit ÷ revenue for this job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Gross profit</t>
        </is>
      </c>
      <c r="B72" s="20">
        <f>B66+B67+B68+B71</f>
        <v/>
      </c>
    </row>
    <row r="73">
      <c r="A73" s="27" t="inlineStr">
        <is>
          <t>Margin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Gross profit ÷ revenue for this job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Gross profit</t>
        </is>
      </c>
      <c r="B85" s="20">
        <f>B79+B80+B81+B84</f>
        <v/>
      </c>
    </row>
    <row r="86">
      <c r="A86" s="27" t="inlineStr">
        <is>
          <t>Margin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Gross profit ÷ revenue for this job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Gross profit</t>
        </is>
      </c>
      <c r="B98" s="20">
        <f>B92+B93+B94+B97</f>
        <v/>
      </c>
    </row>
    <row r="99">
      <c r="A99" s="27" t="inlineStr">
        <is>
          <t>Margin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Gross profit ÷ revenue for this job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Gross profit</t>
        </is>
      </c>
      <c r="B111" s="20">
        <f>B105+B106+B107+B110</f>
        <v/>
      </c>
    </row>
    <row r="112">
      <c r="A112" s="27" t="inlineStr">
        <is>
          <t>Margin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super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2026-10-06T02:23:19Z</dcterms:created>
  <dcterms:modified xmlns:dcterms="http://purl.org/dc/terms/" xmlns:xsi="http://www.w3.org/2001/XMLSchema-instance" xsi:type="dcterms:W3CDTF">2026-10-06T02:23:19Z</dcterms:modified>
</cp:coreProperties>
</file>