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August_against_August_last_year">'Report'!$B$16</definedName>
    <definedName name="Services_Year_to_date_against_the_same_period_last_year">'Report'!$B$17</definedName>
    <definedName name="Services_Gross_margin_year_to_date">'Report'!$B$18</definedName>
    <definedName name="Services_August_against_August_last_year_2">'Report'!$B$28</definedName>
    <definedName name="Services_Year_to_date_against_the_same_period_last_year_2">'Report'!$B$29</definedName>
    <definedName name="Services_Gross_margin_year_to_date_2">'Report'!$B$30</definedName>
    <definedName name="Services_August_against_August_last_year_3">'Report'!$B$40</definedName>
    <definedName name="Services_Year_to_date_against_the_same_period_last_year_3">'Report'!$B$41</definedName>
    <definedName name="Services_Gross_margin_year_to_date_3">'Report'!$B$42</definedName>
    <definedName name="Services_August_against_August_last_year_4">'Report'!$B$52</definedName>
    <definedName name="Services_Year_to_date_against_the_same_period_last_year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'Workings'!$A$1:$B$131</definedName>
    <definedName name="_xlnm.Print_Titles" localSheetId="2">'Data Services'!$5:$5</definedName>
    <definedName name="_xlnm.Print_Area" localSheetId="2">'Data Services'!$A$1:$G$97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Services'!$B$6:$B$28</f>
            </numRef>
          </cat>
          <val>
            <numRef>
              <f>'Data Services'!$D$6:$D$28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Services'!$B$6:$B$28</f>
            </numRef>
          </cat>
          <val>
            <numRef>
              <f>'Data Services'!$D$29:$D$51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Services'!$B$6:$B$28</f>
            </numRef>
          </cat>
          <val>
            <numRef>
              <f>'Data Services'!$D$52:$D$74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Services'!$B$6:$B$28</f>
            </numRef>
          </cat>
          <val>
            <numRef>
              <f>'Data Services'!$D$75:$D$97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97" headerRowCount="1">
  <autoFilter ref="A5:G97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August's client work made $79,880 gross margin (63.1%). Consultant time not charged to client work took $15,000 and overheads $53,650, leaving $11,230 profit before tax (8.9% of revenue). To cover overheads, client work needs a 54.3%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August against August last year</t>
        </is>
      </c>
      <c r="B16" s="9">
        <f>Workings!B27</f>
        <v/>
      </c>
      <c r="C16" s="10" t="inlineStr">
        <is>
          <t>$126,500 against $67,745</t>
        </is>
      </c>
    </row>
    <row r="17">
      <c r="A17" t="inlineStr">
        <is>
          <t>Year to date against the same period last year</t>
        </is>
      </c>
      <c r="B17" s="9">
        <f>Workings!B35</f>
        <v/>
      </c>
      <c r="C17" s="10" t="inlineStr">
        <is>
          <t>$259,955 against $162,550</t>
        </is>
      </c>
    </row>
    <row r="18">
      <c r="A18" t="inlineStr">
        <is>
          <t>Gross margin, year to date</t>
        </is>
      </c>
      <c r="B18" s="9">
        <f>Workings!B47</f>
        <v/>
      </c>
      <c r="C18" s="10" t="inlineStr">
        <is>
          <t>$165,655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59.9% up on the same period last year, year to date ($259,955 against $162,550). Training makes the highest gross margin (71.3%); Projects the lowest (62.9%). The business needs 54.3%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62.9% gross margin, 22.9 points over the 40.0% target ($39,353 ahead on $171,855 this financial year to date). Training: 71.3% gross margin, 31.3 points over the 40.0% target ($5,220 ahead on $16,700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August against August last year</t>
        </is>
      </c>
      <c r="B28" s="9">
        <f>Workings!B55</f>
        <v/>
      </c>
      <c r="C28" s="10" t="inlineStr">
        <is>
          <t>$83,800 against $42,845</t>
        </is>
      </c>
    </row>
    <row r="29">
      <c r="A29" t="inlineStr">
        <is>
          <t>Year to date against the same period last year</t>
        </is>
      </c>
      <c r="B29" s="9">
        <f>Workings!B63</f>
        <v/>
      </c>
      <c r="C29" s="10" t="inlineStr">
        <is>
          <t>$171,855 against $114,050</t>
        </is>
      </c>
    </row>
    <row r="30">
      <c r="A30" t="inlineStr">
        <is>
          <t>Gross margin, year to date</t>
        </is>
      </c>
      <c r="B30" s="9">
        <f>Workings!B75</f>
        <v/>
      </c>
      <c r="C30" s="10" t="inlineStr">
        <is>
          <t>$108,095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$171,855 this financial year to date, 50.7% on the same period last year (slower than the business as a whole, 59.9%), at a 62.9% gross margin (below the 63.7%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62.9% gross margin, 22.9 points over the 40.0% target ($39,353 ahead on $171,855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August against August last year</t>
        </is>
      </c>
      <c r="B40" s="9">
        <f>Workings!B83</f>
        <v/>
      </c>
      <c r="C40" s="10" t="inlineStr">
        <is>
          <t>$35,700 against $17,900</t>
        </is>
      </c>
    </row>
    <row r="41">
      <c r="A41" t="inlineStr">
        <is>
          <t>Year to date against the same period last year</t>
        </is>
      </c>
      <c r="B41" s="9">
        <f>Workings!B91</f>
        <v/>
      </c>
      <c r="C41" s="10" t="inlineStr">
        <is>
          <t>$71,400 against $35,800</t>
        </is>
      </c>
    </row>
    <row r="42">
      <c r="A42" t="inlineStr">
        <is>
          <t>Gross margin, year to date</t>
        </is>
      </c>
      <c r="B42" s="9">
        <f>Workings!B103</f>
        <v/>
      </c>
      <c r="C42" s="10" t="inlineStr">
        <is>
          <t>$45,660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$71,400 this financial year to date, 99.4% on the same period last year (faster than the business as a whole, 59.9%), at a 63.9% gross margin (above the 63.7%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63.9% gross margin, 23.9 points over the 40.0% target ($17,100 ahead on $71,400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August against August last year</t>
        </is>
      </c>
      <c r="B52" s="9">
        <f>Workings!B111</f>
        <v/>
      </c>
      <c r="C52" s="10" t="inlineStr">
        <is>
          <t>$7,000 against $7,000</t>
        </is>
      </c>
    </row>
    <row r="53">
      <c r="A53" t="inlineStr">
        <is>
          <t>Year to date against the same period last year</t>
        </is>
      </c>
      <c r="B53" s="9">
        <f>Workings!B119</f>
        <v/>
      </c>
      <c r="C53" s="10" t="inlineStr">
        <is>
          <t>$16,700 against $12,700</t>
        </is>
      </c>
    </row>
    <row r="54">
      <c r="A54" t="inlineStr">
        <is>
          <t>Gross margin, year to date</t>
        </is>
      </c>
      <c r="B54" s="9">
        <f>Workings!B131</f>
        <v/>
      </c>
      <c r="C54" s="10" t="inlineStr">
        <is>
          <t>$11,900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$16,700 this financial year to date, 31.5% on the same period last year (slower than the business as a whole, 59.9%), at a 71.3% gross margin (above the 63.7%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71.3% gross margin, 31.3 points over the 40.0% target ($5,220 ahead on $16,700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6" t="inlineStr">
        <is>
          <t>Services: From gross margin to profit, August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Aug 2026</t>
        </is>
      </c>
    </row>
    <row r="8">
      <c r="A8" t="inlineStr">
        <is>
          <t>Gross margin on client work</t>
        </is>
      </c>
      <c r="B8" s="12" t="n">
        <v>79880</v>
      </c>
    </row>
    <row r="9">
      <c r="A9" t="inlineStr">
        <is>
          <t>Consultant wages and on-costs</t>
        </is>
      </c>
      <c r="B9" s="12" t="n">
        <v>54720</v>
      </c>
    </row>
    <row r="10">
      <c r="A10" t="inlineStr">
        <is>
          <t>Consultant time charged to client work (at cost)</t>
        </is>
      </c>
      <c r="B10" s="12" t="n">
        <v>39720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53650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126500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August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August against August last year</t>
        </is>
      </c>
    </row>
    <row r="23">
      <c r="A23" s="11" t="inlineStr">
        <is>
          <t>August 2026 ÷ August 2025 − 1 (year on year)</t>
        </is>
      </c>
    </row>
    <row r="24">
      <c r="A24" s="7" t="inlineStr"/>
      <c r="B24" s="8" t="inlineStr">
        <is>
          <t>Aug</t>
        </is>
      </c>
    </row>
    <row r="25">
      <c r="A25" t="inlineStr">
        <is>
          <t>Revenue, Aug 2026</t>
        </is>
      </c>
      <c r="B25" s="12" t="n">
        <v>126500</v>
      </c>
    </row>
    <row r="26">
      <c r="A26" t="inlineStr">
        <is>
          <t>Revenue, Aug 2025</t>
        </is>
      </c>
      <c r="B26" s="12" t="n">
        <v>67745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 against the same period last year</t>
        </is>
      </c>
    </row>
    <row r="31">
      <c r="A31" s="11" t="inlineStr">
        <is>
          <t>Jul to Aug 2026 ÷ Jul to Aug 2025 − 1 (financial year to date)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Aug 2026)</t>
        </is>
      </c>
      <c r="B33" s="12" t="n">
        <v>259955</v>
      </c>
    </row>
    <row r="34">
      <c r="A34" t="inlineStr">
        <is>
          <t>Revenue, same period last year (Jul to Aug 2025)</t>
        </is>
      </c>
      <c r="B34" s="12" t="n">
        <v>162550</v>
      </c>
    </row>
    <row r="35">
      <c r="A35" t="inlineStr">
        <is>
          <t>Growth</t>
        </is>
      </c>
      <c r="B35" s="13">
        <f>B33/B34-1</f>
        <v/>
      </c>
    </row>
    <row r="36">
      <c r="A36" t="inlineStr">
        <is>
          <t>Gross margin, year to date</t>
        </is>
      </c>
      <c r="B36" s="12" t="n">
        <v>165655</v>
      </c>
    </row>
    <row r="37">
      <c r="A37" s="14" t="inlineStr">
        <is>
          <t>Gross margin %, year to date</t>
        </is>
      </c>
      <c r="B37" s="15">
        <f>B36/B33</f>
        <v/>
      </c>
    </row>
    <row r="38"/>
    <row r="39"/>
    <row r="40">
      <c r="A40" s="6" t="inlineStr">
        <is>
          <t>Services, all lines: year to date against the same period last year</t>
        </is>
      </c>
    </row>
    <row r="41">
      <c r="A41" s="11" t="inlineStr">
        <is>
          <t>Jul to Aug 2026 ÷ Jul to Aug 2025 − 1 (financial year to date)</t>
        </is>
      </c>
    </row>
    <row r="42">
      <c r="A42" s="7" t="inlineStr"/>
      <c r="B42" s="8" t="inlineStr">
        <is>
          <t>Year to date</t>
        </is>
      </c>
    </row>
    <row r="43">
      <c r="A43" t="inlineStr">
        <is>
          <t>Revenue, year to date (Jul to Aug 2026)</t>
        </is>
      </c>
      <c r="B43" s="12" t="n">
        <v>259955</v>
      </c>
    </row>
    <row r="44">
      <c r="A44" t="inlineStr">
        <is>
          <t>Revenue, same period last year (Jul to Aug 2025)</t>
        </is>
      </c>
      <c r="B44" s="12" t="n">
        <v>162550</v>
      </c>
    </row>
    <row r="45">
      <c r="A45" t="inlineStr">
        <is>
          <t>Growth</t>
        </is>
      </c>
      <c r="B45" s="13">
        <f>B43/B44-1</f>
        <v/>
      </c>
    </row>
    <row r="46">
      <c r="A46" t="inlineStr">
        <is>
          <t>Gross margin, year to date</t>
        </is>
      </c>
      <c r="B46" s="12" t="n">
        <v>165655</v>
      </c>
    </row>
    <row r="47">
      <c r="A47" s="14" t="inlineStr">
        <is>
          <t>Gross margin %, year to date</t>
        </is>
      </c>
      <c r="B47" s="15">
        <f>B46/B43</f>
        <v/>
      </c>
    </row>
    <row r="48"/>
    <row r="49"/>
    <row r="50">
      <c r="A50" s="6" t="inlineStr">
        <is>
          <t>Services, Projects: August against August last year</t>
        </is>
      </c>
    </row>
    <row r="51">
      <c r="A51" s="11" t="inlineStr">
        <is>
          <t>August 2026 ÷ August 2025 − 1 (year on year)</t>
        </is>
      </c>
    </row>
    <row r="52">
      <c r="A52" s="7" t="inlineStr"/>
      <c r="B52" s="8" t="inlineStr">
        <is>
          <t>Aug</t>
        </is>
      </c>
    </row>
    <row r="53">
      <c r="A53" t="inlineStr">
        <is>
          <t>Revenue, Aug 2026</t>
        </is>
      </c>
      <c r="B53" s="12" t="n">
        <v>83800</v>
      </c>
    </row>
    <row r="54">
      <c r="A54" t="inlineStr">
        <is>
          <t>Revenue, Aug 2025</t>
        </is>
      </c>
      <c r="B54" s="12" t="n">
        <v>42845</v>
      </c>
    </row>
    <row r="55">
      <c r="A55" s="14" t="inlineStr">
        <is>
          <t>Growth</t>
        </is>
      </c>
      <c r="B55" s="15">
        <f>B53/B54-1</f>
        <v/>
      </c>
    </row>
    <row r="56"/>
    <row r="57"/>
    <row r="58">
      <c r="A58" s="6" t="inlineStr">
        <is>
          <t>Services, Projects: year to date against the same period last year</t>
        </is>
      </c>
    </row>
    <row r="59">
      <c r="A59" s="11" t="inlineStr">
        <is>
          <t>Jul to Aug 2026 ÷ Jul to Aug 2025 − 1 (financial year to date)</t>
        </is>
      </c>
    </row>
    <row r="60">
      <c r="A60" s="7" t="inlineStr"/>
      <c r="B60" s="8" t="inlineStr">
        <is>
          <t>Year to date</t>
        </is>
      </c>
    </row>
    <row r="61">
      <c r="A61" t="inlineStr">
        <is>
          <t>Revenue, year to date (Jul to Aug 2026)</t>
        </is>
      </c>
      <c r="B61" s="12" t="n">
        <v>171855</v>
      </c>
    </row>
    <row r="62">
      <c r="A62" t="inlineStr">
        <is>
          <t>Revenue, same period last year (Jul to Aug 2025)</t>
        </is>
      </c>
      <c r="B62" s="12" t="n">
        <v>114050</v>
      </c>
    </row>
    <row r="63">
      <c r="A63" t="inlineStr">
        <is>
          <t>Growth</t>
        </is>
      </c>
      <c r="B63" s="13">
        <f>B61/B62-1</f>
        <v/>
      </c>
    </row>
    <row r="64">
      <c r="A64" t="inlineStr">
        <is>
          <t>Gross margin, year to date</t>
        </is>
      </c>
      <c r="B64" s="12" t="n">
        <v>108095</v>
      </c>
    </row>
    <row r="65">
      <c r="A65" s="14" t="inlineStr">
        <is>
          <t>Gross margin %, year to date</t>
        </is>
      </c>
      <c r="B65" s="15">
        <f>B64/B61</f>
        <v/>
      </c>
    </row>
    <row r="66"/>
    <row r="67"/>
    <row r="68">
      <c r="A68" s="6" t="inlineStr">
        <is>
          <t>Services, Projects: year to date against the same period last year</t>
        </is>
      </c>
    </row>
    <row r="69">
      <c r="A69" s="11" t="inlineStr">
        <is>
          <t>Jul to Aug 2026 ÷ Jul to Aug 2025 − 1 (financial year to date)</t>
        </is>
      </c>
    </row>
    <row r="70">
      <c r="A70" s="7" t="inlineStr"/>
      <c r="B70" s="8" t="inlineStr">
        <is>
          <t>Year to date</t>
        </is>
      </c>
    </row>
    <row r="71">
      <c r="A71" t="inlineStr">
        <is>
          <t>Revenue, year to date (Jul to Aug 2026)</t>
        </is>
      </c>
      <c r="B71" s="12" t="n">
        <v>171855</v>
      </c>
    </row>
    <row r="72">
      <c r="A72" t="inlineStr">
        <is>
          <t>Revenue, same period last year (Jul to Aug 2025)</t>
        </is>
      </c>
      <c r="B72" s="12" t="n">
        <v>114050</v>
      </c>
    </row>
    <row r="73">
      <c r="A73" t="inlineStr">
        <is>
          <t>Growth</t>
        </is>
      </c>
      <c r="B73" s="13">
        <f>B71/B72-1</f>
        <v/>
      </c>
    </row>
    <row r="74">
      <c r="A74" t="inlineStr">
        <is>
          <t>Gross margin, year to date</t>
        </is>
      </c>
      <c r="B74" s="12" t="n">
        <v>108095</v>
      </c>
    </row>
    <row r="75">
      <c r="A75" s="14" t="inlineStr">
        <is>
          <t>Gross margin %, year to date</t>
        </is>
      </c>
      <c r="B75" s="15">
        <f>B74/B71</f>
        <v/>
      </c>
    </row>
    <row r="76"/>
    <row r="77"/>
    <row r="78">
      <c r="A78" s="6" t="inlineStr">
        <is>
          <t>Services, Retainers: August against August last year</t>
        </is>
      </c>
    </row>
    <row r="79">
      <c r="A79" s="11" t="inlineStr">
        <is>
          <t>August 2026 ÷ August 2025 − 1 (year on year)</t>
        </is>
      </c>
    </row>
    <row r="80">
      <c r="A80" s="7" t="inlineStr"/>
      <c r="B80" s="8" t="inlineStr">
        <is>
          <t>Aug</t>
        </is>
      </c>
    </row>
    <row r="81">
      <c r="A81" t="inlineStr">
        <is>
          <t>Revenue, Aug 2026</t>
        </is>
      </c>
      <c r="B81" s="12" t="n">
        <v>35700</v>
      </c>
    </row>
    <row r="82">
      <c r="A82" t="inlineStr">
        <is>
          <t>Revenue, Aug 2025</t>
        </is>
      </c>
      <c r="B82" s="12" t="n">
        <v>17900</v>
      </c>
    </row>
    <row r="83">
      <c r="A83" s="14" t="inlineStr">
        <is>
          <t>Growth</t>
        </is>
      </c>
      <c r="B83" s="15">
        <f>B81/B82-1</f>
        <v/>
      </c>
    </row>
    <row r="84"/>
    <row r="85"/>
    <row r="86">
      <c r="A86" s="6" t="inlineStr">
        <is>
          <t>Services, Retainers: year to date against the same period last year</t>
        </is>
      </c>
    </row>
    <row r="87">
      <c r="A87" s="11" t="inlineStr">
        <is>
          <t>Jul to Aug 2026 ÷ Jul to Aug 2025 − 1 (financial year to date)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Aug 2026)</t>
        </is>
      </c>
      <c r="B89" s="12" t="n">
        <v>71400</v>
      </c>
    </row>
    <row r="90">
      <c r="A90" t="inlineStr">
        <is>
          <t>Revenue, same period last year (Jul to Aug 2025)</t>
        </is>
      </c>
      <c r="B90" s="12" t="n">
        <v>35800</v>
      </c>
    </row>
    <row r="91">
      <c r="A91" t="inlineStr">
        <is>
          <t>Growth</t>
        </is>
      </c>
      <c r="B91" s="13">
        <f>B89/B90-1</f>
        <v/>
      </c>
    </row>
    <row r="92">
      <c r="A92" t="inlineStr">
        <is>
          <t>Gross margin, year to date</t>
        </is>
      </c>
      <c r="B92" s="12" t="n">
        <v>45660</v>
      </c>
    </row>
    <row r="93">
      <c r="A93" s="14" t="inlineStr">
        <is>
          <t>Gross margin %, year to date</t>
        </is>
      </c>
      <c r="B93" s="15">
        <f>B92/B89</f>
        <v/>
      </c>
    </row>
    <row r="94"/>
    <row r="95"/>
    <row r="96">
      <c r="A96" s="6" t="inlineStr">
        <is>
          <t>Services, Retainers: year to date against the same period last year</t>
        </is>
      </c>
    </row>
    <row r="97">
      <c r="A97" s="11" t="inlineStr">
        <is>
          <t>Jul to Aug 2026 ÷ Jul to Aug 2025 − 1 (financial year to date)</t>
        </is>
      </c>
    </row>
    <row r="98">
      <c r="A98" s="7" t="inlineStr"/>
      <c r="B98" s="8" t="inlineStr">
        <is>
          <t>Year to date</t>
        </is>
      </c>
    </row>
    <row r="99">
      <c r="A99" t="inlineStr">
        <is>
          <t>Revenue, year to date (Jul to Aug 2026)</t>
        </is>
      </c>
      <c r="B99" s="12" t="n">
        <v>71400</v>
      </c>
    </row>
    <row r="100">
      <c r="A100" t="inlineStr">
        <is>
          <t>Revenue, same period last year (Jul to Aug 2025)</t>
        </is>
      </c>
      <c r="B100" s="12" t="n">
        <v>35800</v>
      </c>
    </row>
    <row r="101">
      <c r="A101" t="inlineStr">
        <is>
          <t>Growth</t>
        </is>
      </c>
      <c r="B101" s="13">
        <f>B99/B100-1</f>
        <v/>
      </c>
    </row>
    <row r="102">
      <c r="A102" t="inlineStr">
        <is>
          <t>Gross margin, year to date</t>
        </is>
      </c>
      <c r="B102" s="12" t="n">
        <v>45660</v>
      </c>
    </row>
    <row r="103">
      <c r="A103" s="14" t="inlineStr">
        <is>
          <t>Gross margin %, year to date</t>
        </is>
      </c>
      <c r="B103" s="15">
        <f>B102/B99</f>
        <v/>
      </c>
    </row>
    <row r="104"/>
    <row r="105"/>
    <row r="106">
      <c r="A106" s="6" t="inlineStr">
        <is>
          <t>Services, Training: August against August last year</t>
        </is>
      </c>
    </row>
    <row r="107">
      <c r="A107" s="11" t="inlineStr">
        <is>
          <t>August 2026 ÷ August 2025 − 1 (year on year)</t>
        </is>
      </c>
    </row>
    <row r="108">
      <c r="A108" s="7" t="inlineStr"/>
      <c r="B108" s="8" t="inlineStr">
        <is>
          <t>Aug</t>
        </is>
      </c>
    </row>
    <row r="109">
      <c r="A109" t="inlineStr">
        <is>
          <t>Revenue, Aug 2026</t>
        </is>
      </c>
      <c r="B109" s="12" t="n">
        <v>7000</v>
      </c>
    </row>
    <row r="110">
      <c r="A110" t="inlineStr">
        <is>
          <t>Revenue, Aug 2025</t>
        </is>
      </c>
      <c r="B110" s="12" t="n">
        <v>7000</v>
      </c>
    </row>
    <row r="111">
      <c r="A111" s="14" t="inlineStr">
        <is>
          <t>Growth</t>
        </is>
      </c>
      <c r="B111" s="15">
        <f>B109/B110-1</f>
        <v/>
      </c>
    </row>
    <row r="112"/>
    <row r="113"/>
    <row r="114">
      <c r="A114" s="6" t="inlineStr">
        <is>
          <t>Services, Training: year to date against the same period last year</t>
        </is>
      </c>
    </row>
    <row r="115">
      <c r="A115" s="11" t="inlineStr">
        <is>
          <t>Jul to Aug 2026 ÷ Jul to Aug 2025 − 1 (financial year to date)</t>
        </is>
      </c>
    </row>
    <row r="116">
      <c r="A116" s="7" t="inlineStr"/>
      <c r="B116" s="8" t="inlineStr">
        <is>
          <t>Year to date</t>
        </is>
      </c>
    </row>
    <row r="117">
      <c r="A117" t="inlineStr">
        <is>
          <t>Revenue, year to date (Jul to Aug 2026)</t>
        </is>
      </c>
      <c r="B117" s="12" t="n">
        <v>16700</v>
      </c>
    </row>
    <row r="118">
      <c r="A118" t="inlineStr">
        <is>
          <t>Revenue, same period last year (Jul to Aug 2025)</t>
        </is>
      </c>
      <c r="B118" s="12" t="n">
        <v>12700</v>
      </c>
    </row>
    <row r="119">
      <c r="A119" t="inlineStr">
        <is>
          <t>Growth</t>
        </is>
      </c>
      <c r="B119" s="13">
        <f>B117/B118-1</f>
        <v/>
      </c>
    </row>
    <row r="120">
      <c r="A120" t="inlineStr">
        <is>
          <t>Gross margin, year to date</t>
        </is>
      </c>
      <c r="B120" s="12" t="n">
        <v>11900</v>
      </c>
    </row>
    <row r="121">
      <c r="A121" s="14" t="inlineStr">
        <is>
          <t>Gross margin %, year to date</t>
        </is>
      </c>
      <c r="B121" s="15">
        <f>B120/B117</f>
        <v/>
      </c>
    </row>
    <row r="122"/>
    <row r="123"/>
    <row r="124">
      <c r="A124" s="6" t="inlineStr">
        <is>
          <t>Services, Training: year to date against the same period last year</t>
        </is>
      </c>
    </row>
    <row r="125">
      <c r="A125" s="11" t="inlineStr">
        <is>
          <t>Jul to Aug 2026 ÷ Jul to Aug 2025 − 1 (financial year to date)</t>
        </is>
      </c>
    </row>
    <row r="126">
      <c r="A126" s="7" t="inlineStr"/>
      <c r="B126" s="8" t="inlineStr">
        <is>
          <t>Year to date</t>
        </is>
      </c>
    </row>
    <row r="127">
      <c r="A127" t="inlineStr">
        <is>
          <t>Revenue, year to date (Jul to Aug 2026)</t>
        </is>
      </c>
      <c r="B127" s="12" t="n">
        <v>16700</v>
      </c>
    </row>
    <row r="128">
      <c r="A128" t="inlineStr">
        <is>
          <t>Revenue, same period last year (Jul to Aug 2025)</t>
        </is>
      </c>
      <c r="B128" s="12" t="n">
        <v>12700</v>
      </c>
    </row>
    <row r="129">
      <c r="A129" t="inlineStr">
        <is>
          <t>Growth</t>
        </is>
      </c>
      <c r="B129" s="13">
        <f>B127/B128-1</f>
        <v/>
      </c>
    </row>
    <row r="130">
      <c r="A130" t="inlineStr">
        <is>
          <t>Gross margin, year to date</t>
        </is>
      </c>
      <c r="B130" s="12" t="n">
        <v>11900</v>
      </c>
    </row>
    <row r="131">
      <c r="A131" s="14" t="inlineStr">
        <is>
          <t>Gross margin %, year to date</t>
        </is>
      </c>
      <c r="B131" s="15">
        <f>B130/B127</f>
        <v/>
      </c>
    </row>
    <row r="132"/>
    <row r="133"/>
    <row r="13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4" manualBreakCount="4">
    <brk id="29" min="0" max="16383" man="1"/>
    <brk id="57" min="0" max="16383" man="1"/>
    <brk id="85" min="0" max="16383" man="1"/>
    <brk id="1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102350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110835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121215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Apr 26</t>
        </is>
      </c>
      <c r="C24" s="16" t="inlineStr">
        <is>
          <t>Locked</t>
        </is>
      </c>
      <c r="D24" s="12" t="n">
        <v>88665</v>
      </c>
      <c r="E24" s="12" t="n">
        <v>27860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May 26</t>
        </is>
      </c>
      <c r="C25" s="16" t="inlineStr">
        <is>
          <t>Locked</t>
        </is>
      </c>
      <c r="D25" s="12" t="n">
        <v>84920</v>
      </c>
      <c r="E25" s="12" t="n">
        <v>27680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Jun 26</t>
        </is>
      </c>
      <c r="C26" s="16" t="inlineStr">
        <is>
          <t>Locked</t>
        </is>
      </c>
      <c r="D26" s="12" t="n">
        <v>127580</v>
      </c>
      <c r="E26" s="12" t="n">
        <v>46060</v>
      </c>
      <c r="F26" s="12">
        <f>D26-E26</f>
        <v/>
      </c>
      <c r="G26" s="13">
        <f>IF(D26=0,"",F26/D26)</f>
        <v/>
      </c>
    </row>
    <row r="27">
      <c r="A27" s="16" t="inlineStr">
        <is>
          <t>All</t>
        </is>
      </c>
      <c r="B27" s="16" t="inlineStr">
        <is>
          <t>Jul 26</t>
        </is>
      </c>
      <c r="C27" s="16" t="inlineStr">
        <is>
          <t>Locked</t>
        </is>
      </c>
      <c r="D27" s="12" t="n">
        <v>133455</v>
      </c>
      <c r="E27" s="12" t="n">
        <v>47680</v>
      </c>
      <c r="F27" s="12">
        <f>D27-E27</f>
        <v/>
      </c>
      <c r="G27" s="13">
        <f>IF(D27=0,"",F27/D27)</f>
        <v/>
      </c>
    </row>
    <row r="28">
      <c r="A28" s="16" t="inlineStr">
        <is>
          <t>All</t>
        </is>
      </c>
      <c r="B28" s="16" t="inlineStr">
        <is>
          <t>Aug 26</t>
        </is>
      </c>
      <c r="C28" s="16" t="inlineStr">
        <is>
          <t>Locked</t>
        </is>
      </c>
      <c r="D28" s="12" t="n">
        <v>126500</v>
      </c>
      <c r="E28" s="12" t="n">
        <v>46620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Oct 24</t>
        </is>
      </c>
      <c r="C29" s="16" t="inlineStr">
        <is>
          <t>Locked</t>
        </is>
      </c>
      <c r="D29" s="12" t="n">
        <v>77350</v>
      </c>
      <c r="E29" s="12" t="n">
        <v>27820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Nov 24</t>
        </is>
      </c>
      <c r="C30" s="16" t="inlineStr">
        <is>
          <t>Locked</t>
        </is>
      </c>
      <c r="D30" s="12" t="n">
        <v>96790</v>
      </c>
      <c r="E30" s="12" t="n">
        <v>34400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Dec 24</t>
        </is>
      </c>
      <c r="C31" s="16" t="inlineStr">
        <is>
          <t>Locked</t>
        </is>
      </c>
      <c r="D31" s="12" t="n">
        <v>103515</v>
      </c>
      <c r="E31" s="12" t="n">
        <v>36880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Jan 25</t>
        </is>
      </c>
      <c r="C32" s="16" t="inlineStr">
        <is>
          <t>Locked</t>
        </is>
      </c>
      <c r="D32" s="12" t="n">
        <v>73060</v>
      </c>
      <c r="E32" s="12" t="n">
        <v>26240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Feb 25</t>
        </is>
      </c>
      <c r="C33" s="16" t="inlineStr">
        <is>
          <t>Locked</t>
        </is>
      </c>
      <c r="D33" s="12" t="n">
        <v>92075</v>
      </c>
      <c r="E33" s="12" t="n">
        <v>34360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Mar 25</t>
        </is>
      </c>
      <c r="C34" s="16" t="inlineStr">
        <is>
          <t>Locked</t>
        </is>
      </c>
      <c r="D34" s="12" t="n">
        <v>53340</v>
      </c>
      <c r="E34" s="12" t="n">
        <v>21860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Apr 25</t>
        </is>
      </c>
      <c r="C35" s="16" t="inlineStr">
        <is>
          <t>Locked</t>
        </is>
      </c>
      <c r="D35" s="12" t="n">
        <v>40885</v>
      </c>
      <c r="E35" s="12" t="n">
        <v>17660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May 25</t>
        </is>
      </c>
      <c r="C36" s="16" t="inlineStr">
        <is>
          <t>Locked</t>
        </is>
      </c>
      <c r="D36" s="12" t="n">
        <v>65570</v>
      </c>
      <c r="E36" s="12" t="n">
        <v>23980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Jun 25</t>
        </is>
      </c>
      <c r="C37" s="16" t="inlineStr">
        <is>
          <t>Locked</t>
        </is>
      </c>
      <c r="D37" s="12" t="n">
        <v>70760</v>
      </c>
      <c r="E37" s="12" t="n">
        <v>26860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Jul 25</t>
        </is>
      </c>
      <c r="C38" s="16" t="inlineStr">
        <is>
          <t>Locked</t>
        </is>
      </c>
      <c r="D38" s="12" t="n">
        <v>71205</v>
      </c>
      <c r="E38" s="12" t="n">
        <v>25920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Aug 25</t>
        </is>
      </c>
      <c r="C39" s="16" t="inlineStr">
        <is>
          <t>Locked</t>
        </is>
      </c>
      <c r="D39" s="12" t="n">
        <v>42845</v>
      </c>
      <c r="E39" s="12" t="n">
        <v>13860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Sep 25</t>
        </is>
      </c>
      <c r="C40" s="16" t="inlineStr">
        <is>
          <t>Locked</t>
        </is>
      </c>
      <c r="D40" s="12" t="n">
        <v>42050</v>
      </c>
      <c r="E40" s="12" t="n">
        <v>13560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Oct 25</t>
        </is>
      </c>
      <c r="C41" s="16" t="inlineStr">
        <is>
          <t>Locked</t>
        </is>
      </c>
      <c r="D41" s="12" t="n">
        <v>50650</v>
      </c>
      <c r="E41" s="12" t="n">
        <v>18220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Nov 25</t>
        </is>
      </c>
      <c r="C42" s="16" t="inlineStr">
        <is>
          <t>Locked</t>
        </is>
      </c>
      <c r="D42" s="12" t="n">
        <v>51775</v>
      </c>
      <c r="E42" s="12" t="n">
        <v>18960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Dec 25</t>
        </is>
      </c>
      <c r="C43" s="16" t="inlineStr">
        <is>
          <t>Locked</t>
        </is>
      </c>
      <c r="D43" s="12" t="n">
        <v>32800</v>
      </c>
      <c r="E43" s="12" t="n">
        <v>12340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Jan 26</t>
        </is>
      </c>
      <c r="C44" s="16" t="inlineStr">
        <is>
          <t>Locked</t>
        </is>
      </c>
      <c r="D44" s="12" t="n">
        <v>66950</v>
      </c>
      <c r="E44" s="12" t="n">
        <v>22440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Feb 26</t>
        </is>
      </c>
      <c r="C45" s="16" t="inlineStr">
        <is>
          <t>Locked</t>
        </is>
      </c>
      <c r="D45" s="12" t="n">
        <v>70035</v>
      </c>
      <c r="E45" s="12" t="n">
        <v>23440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Mar 26</t>
        </is>
      </c>
      <c r="C46" s="16" t="inlineStr">
        <is>
          <t>Locked</t>
        </is>
      </c>
      <c r="D46" s="12" t="n">
        <v>83115</v>
      </c>
      <c r="E46" s="12" t="n">
        <v>29380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Apr 26</t>
        </is>
      </c>
      <c r="C47" s="16" t="inlineStr">
        <is>
          <t>Locked</t>
        </is>
      </c>
      <c r="D47" s="12" t="n">
        <v>51865</v>
      </c>
      <c r="E47" s="12" t="n">
        <v>17480</v>
      </c>
      <c r="F47" s="12">
        <f>D47-E47</f>
        <v/>
      </c>
      <c r="G47" s="13">
        <f>IF(D47=0,"",F47/D47)</f>
        <v/>
      </c>
    </row>
    <row r="48">
      <c r="A48" s="16" t="inlineStr">
        <is>
          <t>Projects</t>
        </is>
      </c>
      <c r="B48" s="16" t="inlineStr">
        <is>
          <t>May 26</t>
        </is>
      </c>
      <c r="C48" s="16" t="inlineStr">
        <is>
          <t>Locked</t>
        </is>
      </c>
      <c r="D48" s="12" t="n">
        <v>48120</v>
      </c>
      <c r="E48" s="12" t="n">
        <v>16220</v>
      </c>
      <c r="F48" s="12">
        <f>D48-E48</f>
        <v/>
      </c>
      <c r="G48" s="13">
        <f>IF(D48=0,"",F48/D48)</f>
        <v/>
      </c>
    </row>
    <row r="49">
      <c r="A49" s="16" t="inlineStr">
        <is>
          <t>Projects</t>
        </is>
      </c>
      <c r="B49" s="16" t="inlineStr">
        <is>
          <t>Jun 26</t>
        </is>
      </c>
      <c r="C49" s="16" t="inlineStr">
        <is>
          <t>Locked</t>
        </is>
      </c>
      <c r="D49" s="12" t="n">
        <v>84880</v>
      </c>
      <c r="E49" s="12" t="n">
        <v>31780</v>
      </c>
      <c r="F49" s="12">
        <f>D49-E49</f>
        <v/>
      </c>
      <c r="G49" s="13">
        <f>IF(D49=0,"",F49/D49)</f>
        <v/>
      </c>
    </row>
    <row r="50">
      <c r="A50" s="16" t="inlineStr">
        <is>
          <t>Projects</t>
        </is>
      </c>
      <c r="B50" s="16" t="inlineStr">
        <is>
          <t>Jul 26</t>
        </is>
      </c>
      <c r="C50" s="16" t="inlineStr">
        <is>
          <t>Locked</t>
        </is>
      </c>
      <c r="D50" s="12" t="n">
        <v>88055</v>
      </c>
      <c r="E50" s="12" t="n">
        <v>32080</v>
      </c>
      <c r="F50" s="12">
        <f>D50-E50</f>
        <v/>
      </c>
      <c r="G50" s="13">
        <f>IF(D50=0,"",F50/D50)</f>
        <v/>
      </c>
    </row>
    <row r="51">
      <c r="A51" s="16" t="inlineStr">
        <is>
          <t>Projects</t>
        </is>
      </c>
      <c r="B51" s="16" t="inlineStr">
        <is>
          <t>Aug 26</t>
        </is>
      </c>
      <c r="C51" s="16" t="inlineStr">
        <is>
          <t>Locked</t>
        </is>
      </c>
      <c r="D51" s="12" t="n">
        <v>83800</v>
      </c>
      <c r="E51" s="12" t="n">
        <v>31680</v>
      </c>
      <c r="F51" s="12">
        <f>D51-E51</f>
        <v/>
      </c>
      <c r="G51" s="13">
        <f>IF(D51=0,"",F51/D51)</f>
        <v/>
      </c>
    </row>
    <row r="52">
      <c r="A52" s="16" t="inlineStr">
        <is>
          <t>Retainers</t>
        </is>
      </c>
      <c r="B52" s="16" t="inlineStr">
        <is>
          <t>Oct 24</t>
        </is>
      </c>
      <c r="C52" s="16" t="inlineStr">
        <is>
          <t>Locked</t>
        </is>
      </c>
      <c r="D52" s="12" t="n">
        <v>16500</v>
      </c>
      <c r="E52" s="12" t="n">
        <v>4800</v>
      </c>
      <c r="F52" s="12">
        <f>D52-E52</f>
        <v/>
      </c>
      <c r="G52" s="13">
        <f>IF(D52=0,"",F52/D52)</f>
        <v/>
      </c>
    </row>
    <row r="53">
      <c r="A53" s="16" t="inlineStr">
        <is>
          <t>Retainers</t>
        </is>
      </c>
      <c r="B53" s="16" t="inlineStr">
        <is>
          <t>Nov 24</t>
        </is>
      </c>
      <c r="C53" s="16" t="inlineStr">
        <is>
          <t>Locked</t>
        </is>
      </c>
      <c r="D53" s="12" t="n">
        <v>16500</v>
      </c>
      <c r="E53" s="12" t="n">
        <v>4800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Dec 24</t>
        </is>
      </c>
      <c r="C54" s="16" t="inlineStr">
        <is>
          <t>Locked</t>
        </is>
      </c>
      <c r="D54" s="12" t="n">
        <v>16500</v>
      </c>
      <c r="E54" s="12" t="n">
        <v>5100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Jan 25</t>
        </is>
      </c>
      <c r="C55" s="16" t="inlineStr">
        <is>
          <t>Locked</t>
        </is>
      </c>
      <c r="D55" s="12" t="n">
        <v>16500</v>
      </c>
      <c r="E55" s="12" t="n">
        <v>4920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Feb 25</t>
        </is>
      </c>
      <c r="C56" s="16" t="inlineStr">
        <is>
          <t>Locked</t>
        </is>
      </c>
      <c r="D56" s="12" t="n">
        <v>16500</v>
      </c>
      <c r="E56" s="12" t="n">
        <v>5400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Mar 25</t>
        </is>
      </c>
      <c r="C57" s="16" t="inlineStr">
        <is>
          <t>Locked</t>
        </is>
      </c>
      <c r="D57" s="12" t="n">
        <v>24000</v>
      </c>
      <c r="E57" s="12" t="n">
        <v>7980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Apr 25</t>
        </is>
      </c>
      <c r="C58" s="16" t="inlineStr">
        <is>
          <t>Locked</t>
        </is>
      </c>
      <c r="D58" s="12" t="n">
        <v>24000</v>
      </c>
      <c r="E58" s="12" t="n">
        <v>7020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May 25</t>
        </is>
      </c>
      <c r="C59" s="16" t="inlineStr">
        <is>
          <t>Locked</t>
        </is>
      </c>
      <c r="D59" s="12" t="n">
        <v>24000</v>
      </c>
      <c r="E59" s="12" t="n">
        <v>8460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Jun 25</t>
        </is>
      </c>
      <c r="C60" s="16" t="inlineStr">
        <is>
          <t>Locked</t>
        </is>
      </c>
      <c r="D60" s="12" t="n">
        <v>24000</v>
      </c>
      <c r="E60" s="12" t="n">
        <v>7800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Jul 25</t>
        </is>
      </c>
      <c r="C61" s="16" t="inlineStr">
        <is>
          <t>Locked</t>
        </is>
      </c>
      <c r="D61" s="12" t="n">
        <v>17900</v>
      </c>
      <c r="E61" s="12" t="n">
        <v>5940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Aug 25</t>
        </is>
      </c>
      <c r="C62" s="16" t="inlineStr">
        <is>
          <t>Locked</t>
        </is>
      </c>
      <c r="D62" s="12" t="n">
        <v>17900</v>
      </c>
      <c r="E62" s="12" t="n">
        <v>5400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Sep 25</t>
        </is>
      </c>
      <c r="C63" s="16" t="inlineStr">
        <is>
          <t>Locked</t>
        </is>
      </c>
      <c r="D63" s="12" t="n">
        <v>17900</v>
      </c>
      <c r="E63" s="12" t="n">
        <v>5760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Oct 25</t>
        </is>
      </c>
      <c r="C64" s="16" t="inlineStr">
        <is>
          <t>Locked</t>
        </is>
      </c>
      <c r="D64" s="12" t="n">
        <v>17900</v>
      </c>
      <c r="E64" s="12" t="n">
        <v>5640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Nov 25</t>
        </is>
      </c>
      <c r="C65" s="16" t="inlineStr">
        <is>
          <t>Locked</t>
        </is>
      </c>
      <c r="D65" s="12" t="n">
        <v>31100</v>
      </c>
      <c r="E65" s="12" t="n">
        <v>9480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Dec 25</t>
        </is>
      </c>
      <c r="C66" s="16" t="inlineStr">
        <is>
          <t>Locked</t>
        </is>
      </c>
      <c r="D66" s="12" t="n">
        <v>31100</v>
      </c>
      <c r="E66" s="12" t="n">
        <v>9120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Jan 26</t>
        </is>
      </c>
      <c r="C67" s="16" t="inlineStr">
        <is>
          <t>Locked</t>
        </is>
      </c>
      <c r="D67" s="12" t="n">
        <v>31100</v>
      </c>
      <c r="E67" s="12" t="n">
        <v>9360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Feb 26</t>
        </is>
      </c>
      <c r="C68" s="16" t="inlineStr">
        <is>
          <t>Locked</t>
        </is>
      </c>
      <c r="D68" s="12" t="n">
        <v>31100</v>
      </c>
      <c r="E68" s="12" t="n">
        <v>10440</v>
      </c>
      <c r="F68" s="12">
        <f>D68-E68</f>
        <v/>
      </c>
      <c r="G68" s="13">
        <f>IF(D68=0,"",F68/D68)</f>
        <v/>
      </c>
    </row>
    <row r="69">
      <c r="A69" s="16" t="inlineStr">
        <is>
          <t>Retainers</t>
        </is>
      </c>
      <c r="B69" s="16" t="inlineStr">
        <is>
          <t>Mar 26</t>
        </is>
      </c>
      <c r="C69" s="16" t="inlineStr">
        <is>
          <t>Locked</t>
        </is>
      </c>
      <c r="D69" s="12" t="n">
        <v>31100</v>
      </c>
      <c r="E69" s="12" t="n">
        <v>9240</v>
      </c>
      <c r="F69" s="12">
        <f>D69-E69</f>
        <v/>
      </c>
      <c r="G69" s="13">
        <f>IF(D69=0,"",F69/D69)</f>
        <v/>
      </c>
    </row>
    <row r="70">
      <c r="A70" s="16" t="inlineStr">
        <is>
          <t>Retainers</t>
        </is>
      </c>
      <c r="B70" s="16" t="inlineStr">
        <is>
          <t>Apr 26</t>
        </is>
      </c>
      <c r="C70" s="16" t="inlineStr">
        <is>
          <t>Locked</t>
        </is>
      </c>
      <c r="D70" s="12" t="n">
        <v>31100</v>
      </c>
      <c r="E70" s="12" t="n">
        <v>9420</v>
      </c>
      <c r="F70" s="12">
        <f>D70-E70</f>
        <v/>
      </c>
      <c r="G70" s="13">
        <f>IF(D70=0,"",F70/D70)</f>
        <v/>
      </c>
    </row>
    <row r="71">
      <c r="A71" s="16" t="inlineStr">
        <is>
          <t>Retainers</t>
        </is>
      </c>
      <c r="B71" s="16" t="inlineStr">
        <is>
          <t>May 26</t>
        </is>
      </c>
      <c r="C71" s="16" t="inlineStr">
        <is>
          <t>Locked</t>
        </is>
      </c>
      <c r="D71" s="12" t="n">
        <v>31100</v>
      </c>
      <c r="E71" s="12" t="n">
        <v>10500</v>
      </c>
      <c r="F71" s="12">
        <f>D71-E71</f>
        <v/>
      </c>
      <c r="G71" s="13">
        <f>IF(D71=0,"",F71/D71)</f>
        <v/>
      </c>
    </row>
    <row r="72">
      <c r="A72" s="16" t="inlineStr">
        <is>
          <t>Retainers</t>
        </is>
      </c>
      <c r="B72" s="16" t="inlineStr">
        <is>
          <t>Jun 26</t>
        </is>
      </c>
      <c r="C72" s="16" t="inlineStr">
        <is>
          <t>Locked</t>
        </is>
      </c>
      <c r="D72" s="12" t="n">
        <v>35700</v>
      </c>
      <c r="E72" s="12" t="n">
        <v>12180</v>
      </c>
      <c r="F72" s="12">
        <f>D72-E72</f>
        <v/>
      </c>
      <c r="G72" s="13">
        <f>IF(D72=0,"",F72/D72)</f>
        <v/>
      </c>
    </row>
    <row r="73">
      <c r="A73" s="16" t="inlineStr">
        <is>
          <t>Retainers</t>
        </is>
      </c>
      <c r="B73" s="16" t="inlineStr">
        <is>
          <t>Jul 26</t>
        </is>
      </c>
      <c r="C73" s="16" t="inlineStr">
        <is>
          <t>Locked</t>
        </is>
      </c>
      <c r="D73" s="12" t="n">
        <v>35700</v>
      </c>
      <c r="E73" s="12" t="n">
        <v>12900</v>
      </c>
      <c r="F73" s="12">
        <f>D73-E73</f>
        <v/>
      </c>
      <c r="G73" s="13">
        <f>IF(D73=0,"",F73/D73)</f>
        <v/>
      </c>
    </row>
    <row r="74">
      <c r="A74" s="16" t="inlineStr">
        <is>
          <t>Retainers</t>
        </is>
      </c>
      <c r="B74" s="16" t="inlineStr">
        <is>
          <t>Aug 26</t>
        </is>
      </c>
      <c r="C74" s="16" t="inlineStr">
        <is>
          <t>Locked</t>
        </is>
      </c>
      <c r="D74" s="12" t="n">
        <v>35700</v>
      </c>
      <c r="E74" s="12" t="n">
        <v>12840</v>
      </c>
      <c r="F74" s="12">
        <f>D74-E74</f>
        <v/>
      </c>
      <c r="G74" s="13">
        <f>IF(D74=0,"",F74/D74)</f>
        <v/>
      </c>
    </row>
    <row r="75">
      <c r="A75" s="16" t="inlineStr">
        <is>
          <t>Training</t>
        </is>
      </c>
      <c r="B75" s="16" t="inlineStr">
        <is>
          <t>Oct 24</t>
        </is>
      </c>
      <c r="C75" s="16" t="inlineStr">
        <is>
          <t>Locked</t>
        </is>
      </c>
      <c r="D75" s="12" t="n">
        <v>9700</v>
      </c>
      <c r="E75" s="12" t="n">
        <v>2700</v>
      </c>
      <c r="F75" s="12">
        <f>D75-E75</f>
        <v/>
      </c>
      <c r="G75" s="13">
        <f>IF(D75=0,"",F75/D75)</f>
        <v/>
      </c>
    </row>
    <row r="76">
      <c r="A76" s="16" t="inlineStr">
        <is>
          <t>Training</t>
        </is>
      </c>
      <c r="B76" s="16" t="inlineStr">
        <is>
          <t>Nov 24</t>
        </is>
      </c>
      <c r="C76" s="16" t="inlineStr">
        <is>
          <t>Locked</t>
        </is>
      </c>
      <c r="D76" s="12" t="n">
        <v>5100</v>
      </c>
      <c r="E76" s="12" t="n">
        <v>840</v>
      </c>
      <c r="F76" s="12">
        <f>D76-E76</f>
        <v/>
      </c>
      <c r="G76" s="13">
        <f>IF(D76=0,"",F76/D76)</f>
        <v/>
      </c>
    </row>
    <row r="77">
      <c r="A77" s="16" t="inlineStr">
        <is>
          <t>Training</t>
        </is>
      </c>
      <c r="B77" s="16" t="inlineStr">
        <is>
          <t>Dec 24</t>
        </is>
      </c>
      <c r="C77" s="16" t="inlineStr">
        <is>
          <t>Locked</t>
        </is>
      </c>
      <c r="D77" s="12" t="n">
        <v>5700</v>
      </c>
      <c r="E77" s="12" t="n">
        <v>960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Jan 25</t>
        </is>
      </c>
      <c r="C78" s="16" t="inlineStr">
        <is>
          <t>Locked</t>
        </is>
      </c>
      <c r="D78" s="12" t="n">
        <v>7000</v>
      </c>
      <c r="E78" s="12" t="n">
        <v>2100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Feb 25</t>
        </is>
      </c>
      <c r="C79" s="16" t="inlineStr">
        <is>
          <t>Locked</t>
        </is>
      </c>
      <c r="D79" s="12" t="n">
        <v>12700</v>
      </c>
      <c r="E79" s="12" t="n">
        <v>3060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Mar 25</t>
        </is>
      </c>
      <c r="C80" s="16" t="inlineStr">
        <is>
          <t>Locked</t>
        </is>
      </c>
      <c r="D80" s="12" t="n">
        <v>7000</v>
      </c>
      <c r="E80" s="12" t="n">
        <v>2100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Apr 25</t>
        </is>
      </c>
      <c r="C81" s="16" t="inlineStr">
        <is>
          <t>Locked</t>
        </is>
      </c>
      <c r="D81" s="12" t="n">
        <v>5100</v>
      </c>
      <c r="E81" s="12" t="n">
        <v>840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May 25</t>
        </is>
      </c>
      <c r="C82" s="16" t="inlineStr">
        <is>
          <t>Locked</t>
        </is>
      </c>
      <c r="D82" s="12" t="n">
        <v>15400</v>
      </c>
      <c r="E82" s="12" t="n">
        <v>3660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Jun 25</t>
        </is>
      </c>
      <c r="C83" s="16" t="inlineStr">
        <is>
          <t>Locked</t>
        </is>
      </c>
      <c r="D83" s="12" t="n">
        <v>4300</v>
      </c>
      <c r="E83" s="12" t="n">
        <v>720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Jul 25</t>
        </is>
      </c>
      <c r="C84" s="16" t="inlineStr">
        <is>
          <t>Locked</t>
        </is>
      </c>
      <c r="D84" s="12" t="n">
        <v>5700</v>
      </c>
      <c r="E84" s="12" t="n">
        <v>960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Aug 25</t>
        </is>
      </c>
      <c r="C85" s="16" t="inlineStr">
        <is>
          <t>Locked</t>
        </is>
      </c>
      <c r="D85" s="12" t="n">
        <v>7000</v>
      </c>
      <c r="E85" s="12" t="n">
        <v>2100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Sep 25</t>
        </is>
      </c>
      <c r="C86" s="16" t="inlineStr">
        <is>
          <t>Locked</t>
        </is>
      </c>
      <c r="D86" s="12" t="n">
        <v>5700</v>
      </c>
      <c r="E86" s="12" t="n">
        <v>960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Oct 25</t>
        </is>
      </c>
      <c r="C87" s="16" t="inlineStr">
        <is>
          <t>Locked</t>
        </is>
      </c>
      <c r="D87" s="12" t="n">
        <v>10000</v>
      </c>
      <c r="E87" s="12" t="n">
        <v>1680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Nov 25</t>
        </is>
      </c>
      <c r="C88" s="16" t="inlineStr">
        <is>
          <t>Locked</t>
        </is>
      </c>
      <c r="D88" s="12" t="n">
        <v>9700</v>
      </c>
      <c r="E88" s="12" t="n">
        <v>2700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Dec 25</t>
        </is>
      </c>
      <c r="C89" s="16" t="inlineStr">
        <is>
          <t>Locked</t>
        </is>
      </c>
      <c r="D89" s="12" t="n">
        <v>12700</v>
      </c>
      <c r="E89" s="12" t="n">
        <v>3060</v>
      </c>
      <c r="F89" s="12">
        <f>D89-E89</f>
        <v/>
      </c>
      <c r="G89" s="13">
        <f>IF(D89=0,"",F89/D89)</f>
        <v/>
      </c>
    </row>
    <row r="90">
      <c r="A90" s="16" t="inlineStr">
        <is>
          <t>Training</t>
        </is>
      </c>
      <c r="B90" s="16" t="inlineStr">
        <is>
          <t>Jan 26</t>
        </is>
      </c>
      <c r="C90" s="16" t="inlineStr">
        <is>
          <t>Locked</t>
        </is>
      </c>
      <c r="D90" s="12" t="n">
        <v>4300</v>
      </c>
      <c r="E90" s="12" t="n">
        <v>720</v>
      </c>
      <c r="F90" s="12">
        <f>D90-E90</f>
        <v/>
      </c>
      <c r="G90" s="13">
        <f>IF(D90=0,"",F90/D90)</f>
        <v/>
      </c>
    </row>
    <row r="91">
      <c r="A91" s="16" t="inlineStr">
        <is>
          <t>Training</t>
        </is>
      </c>
      <c r="B91" s="16" t="inlineStr">
        <is>
          <t>Feb 26</t>
        </is>
      </c>
      <c r="C91" s="16" t="inlineStr">
        <is>
          <t>Locked</t>
        </is>
      </c>
      <c r="D91" s="12" t="n">
        <v>9700</v>
      </c>
      <c r="E91" s="12" t="n">
        <v>2700</v>
      </c>
      <c r="F91" s="12">
        <f>D91-E91</f>
        <v/>
      </c>
      <c r="G91" s="13">
        <f>IF(D91=0,"",F91/D91)</f>
        <v/>
      </c>
    </row>
    <row r="92">
      <c r="A92" s="16" t="inlineStr">
        <is>
          <t>Training</t>
        </is>
      </c>
      <c r="B92" s="16" t="inlineStr">
        <is>
          <t>Mar 26</t>
        </is>
      </c>
      <c r="C92" s="16" t="inlineStr">
        <is>
          <t>Locked</t>
        </is>
      </c>
      <c r="D92" s="12" t="n">
        <v>7000</v>
      </c>
      <c r="E92" s="12" t="n">
        <v>2100</v>
      </c>
      <c r="F92" s="12">
        <f>D92-E92</f>
        <v/>
      </c>
      <c r="G92" s="13">
        <f>IF(D92=0,"",F92/D92)</f>
        <v/>
      </c>
    </row>
    <row r="93">
      <c r="A93" s="16" t="inlineStr">
        <is>
          <t>Training</t>
        </is>
      </c>
      <c r="B93" s="16" t="inlineStr">
        <is>
          <t>Apr 26</t>
        </is>
      </c>
      <c r="C93" s="16" t="inlineStr">
        <is>
          <t>Locked</t>
        </is>
      </c>
      <c r="D93" s="12" t="n">
        <v>5700</v>
      </c>
      <c r="E93" s="12" t="n">
        <v>960</v>
      </c>
      <c r="F93" s="12">
        <f>D93-E93</f>
        <v/>
      </c>
      <c r="G93" s="13">
        <f>IF(D93=0,"",F93/D93)</f>
        <v/>
      </c>
    </row>
    <row r="94">
      <c r="A94" s="16" t="inlineStr">
        <is>
          <t>Training</t>
        </is>
      </c>
      <c r="B94" s="16" t="inlineStr">
        <is>
          <t>May 26</t>
        </is>
      </c>
      <c r="C94" s="16" t="inlineStr">
        <is>
          <t>Locked</t>
        </is>
      </c>
      <c r="D94" s="12" t="n">
        <v>5700</v>
      </c>
      <c r="E94" s="12" t="n">
        <v>960</v>
      </c>
      <c r="F94" s="12">
        <f>D94-E94</f>
        <v/>
      </c>
      <c r="G94" s="13">
        <f>IF(D94=0,"",F94/D94)</f>
        <v/>
      </c>
    </row>
    <row r="95">
      <c r="A95" s="16" t="inlineStr">
        <is>
          <t>Training</t>
        </is>
      </c>
      <c r="B95" s="16" t="inlineStr">
        <is>
          <t>Jun 26</t>
        </is>
      </c>
      <c r="C95" s="16" t="inlineStr">
        <is>
          <t>Locked</t>
        </is>
      </c>
      <c r="D95" s="12" t="n">
        <v>7000</v>
      </c>
      <c r="E95" s="12" t="n">
        <v>2100</v>
      </c>
      <c r="F95" s="12">
        <f>D95-E95</f>
        <v/>
      </c>
      <c r="G95" s="13">
        <f>IF(D95=0,"",F95/D95)</f>
        <v/>
      </c>
    </row>
    <row r="96">
      <c r="A96" s="16" t="inlineStr">
        <is>
          <t>Training</t>
        </is>
      </c>
      <c r="B96" s="16" t="inlineStr">
        <is>
          <t>Jul 26</t>
        </is>
      </c>
      <c r="C96" s="16" t="inlineStr">
        <is>
          <t>Locked</t>
        </is>
      </c>
      <c r="D96" s="12" t="n">
        <v>9700</v>
      </c>
      <c r="E96" s="12" t="n">
        <v>2700</v>
      </c>
      <c r="F96" s="12">
        <f>D96-E96</f>
        <v/>
      </c>
      <c r="G96" s="13">
        <f>IF(D96=0,"",F96/D96)</f>
        <v/>
      </c>
    </row>
    <row r="97">
      <c r="A97" s="16" t="inlineStr">
        <is>
          <t>Training</t>
        </is>
      </c>
      <c r="B97" s="16" t="inlineStr">
        <is>
          <t>Aug 26</t>
        </is>
      </c>
      <c r="C97" s="16" t="inlineStr">
        <is>
          <t>Locked</t>
        </is>
      </c>
      <c r="D97" s="12" t="n">
        <v>7000</v>
      </c>
      <c r="E97" s="12" t="n">
        <v>2100</v>
      </c>
      <c r="F97" s="12">
        <f>D97-E97</f>
        <v/>
      </c>
      <c r="G97" s="13">
        <f>IF(D97=0,"",F97/D97)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8" min="0" max="16383" man="1"/>
    <brk id="51" min="0" max="16383" man="1"/>
    <brk id="74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171855</v>
      </c>
      <c r="C6" s="12" t="n">
        <v>114050</v>
      </c>
      <c r="D6" s="13">
        <f>IF(C6=0,"",B6/C6-1)</f>
        <v/>
      </c>
      <c r="E6" s="12" t="n">
        <v>108095</v>
      </c>
      <c r="F6" s="13">
        <f>IF(B6=0,"",E6/B6)</f>
        <v/>
      </c>
    </row>
    <row r="7">
      <c r="A7" s="16" t="inlineStr">
        <is>
          <t>Retainers</t>
        </is>
      </c>
      <c r="B7" s="12" t="n">
        <v>71400</v>
      </c>
      <c r="C7" s="12" t="n">
        <v>35800</v>
      </c>
      <c r="D7" s="13">
        <f>IF(C7=0,"",B7/C7-1)</f>
        <v/>
      </c>
      <c r="E7" s="12" t="n">
        <v>45660</v>
      </c>
      <c r="F7" s="13">
        <f>IF(B7=0,"",E7/B7)</f>
        <v/>
      </c>
    </row>
    <row r="8">
      <c r="A8" s="16" t="inlineStr">
        <is>
          <t>Training</t>
        </is>
      </c>
      <c r="B8" s="12" t="n">
        <v>16700</v>
      </c>
      <c r="C8" s="12" t="n">
        <v>12700</v>
      </c>
      <c r="D8" s="13">
        <f>IF(C8=0,"",B8/C8-1)</f>
        <v/>
      </c>
      <c r="E8" s="12" t="n">
        <v>11900</v>
      </c>
      <c r="F8" s="13">
        <f>IF(B8=0,"",E8/B8)</f>
        <v/>
      </c>
    </row>
    <row r="9">
      <c r="A9" s="16" t="inlineStr">
        <is>
          <t>Total</t>
        </is>
      </c>
      <c r="B9" s="12" t="n">
        <v>259955</v>
      </c>
      <c r="C9" s="12" t="n">
        <v>162550</v>
      </c>
      <c r="D9" s="13">
        <f>IF(C9=0,"",B9/C9-1)</f>
        <v/>
      </c>
      <c r="E9" s="12" t="n">
        <v>165655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2026-10-10T11:56:51Z</dcterms:created>
  <dcterms:modified xmlns:dcterms="http://purl.org/dc/terms/" xmlns:xsi="http://www.w3.org/2001/XMLSchema-instance" xsi:type="dcterms:W3CDTF">2026-10-10T11:56:51Z</dcterms:modified>
</cp:coreProperties>
</file>