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August_all_fundraising">'Report'!$B$9</definedName>
    <definedName name="Year_to_date_Jul_to_Aug_2026">'Report'!$B$10</definedName>
    <definedName name="August_Grants">'Report'!$B$34</definedName>
    <definedName name="Year_to_date_Jul_to_Aug_2026_2">'Report'!$B$35</definedName>
    <definedName name="August_Donations">'Report'!$B$45</definedName>
    <definedName name="Year_to_date_Jul_to_Aug_2026_3">'Report'!$B$46</definedName>
    <definedName name="August_Fundraising_events">'Report'!$B$56</definedName>
    <definedName name="Year_to_date_Jul_to_Aug_2026_4">'Report'!$B$57</definedName>
    <definedName name="_xlnm.Print_Area" localSheetId="0">'Report'!$A$1:$D$66</definedName>
    <definedName name="_xlnm.Print_Area" localSheetId="1">'Workings'!$A$1:$C$89</definedName>
    <definedName name="_xlnm.Print_Titles" localSheetId="2">'Data'!$5:$5</definedName>
    <definedName name="_xlnm.Print_Area" localSheetId="2">'Data'!$A$1:$I$28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&quot;¢&quot;;[Red](0&quot;¢&quot;)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F7A5D"/>
      <sz val="12"/>
    </font>
    <font>
      <name val="Roboto"/>
      <b val="1"/>
      <color rgb="00FFFFFF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5342A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8" fillId="0" borderId="0" applyAlignment="1" pivotButton="0" quotePrefix="0" xfId="0">
      <alignment indent="1"/>
    </xf>
    <xf numFmtId="0" fontId="9" fillId="0" borderId="0" pivotButton="0" quotePrefix="0" xfId="0"/>
    <xf numFmtId="0" fontId="10" fillId="0" borderId="0" pivotButton="0" quotePrefix="0" xfId="0"/>
    <xf numFmtId="164" fontId="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0" fontId="7" fillId="0" borderId="1" pivotButton="0" quotePrefix="0" xfId="0"/>
    <xf numFmtId="165" fontId="7" fillId="0" borderId="1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4" fontId="7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Cost to raise a dollar, by source, August 2026 (cents)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Cost to raise a dollar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0&quot;¢&quot;"/>
            <showLegendKey val="0"/>
            <showVal val="1"/>
            <showCatName val="0"/>
            <showSerName val="0"/>
            <showPercent val="0"/>
          </dLbls>
          <cat>
            <numRef>
              <f>'Report'!$A$14:$A$15</f>
            </numRef>
          </cat>
          <val>
            <numRef>
              <f>'Report'!$B$14:$B$15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0&quot;¢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Grant writing by month</a:t>
            </a:r>
          </a:p>
        </rich>
      </tx>
      <overlay val="0"/>
    </title>
    <plotArea>
      <lineChart>
        <grouping val="standard"/>
        <ser>
          <idx val="0"/>
          <order val="0"/>
          <tx>
            <v>Grant writing</v>
          </tx>
          <spPr>
            <a:ln xmlns:a="http://schemas.openxmlformats.org/drawingml/2006/main" w="22000">
              <a:solidFill>
                <a:srgbClr val="0E9F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'Data'!$A$6:$A$28</f>
            </numRef>
          </cat>
          <val>
            <numRef>
              <f>'Data'!$C$6:$C$28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@" sourceLinked="0"/>
        <majorTickMark val="none"/>
        <minorTickMark val="none"/>
        <crossAx val="100"/>
        <lblOffset val="100"/>
        <tickLblSkip val="1"/>
      </catAx>
      <valAx>
        <axId val="100"/>
        <scaling>
          <orientation val="minMax"/>
        </scaling>
        <axPos val="l"/>
        <majorGridlines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12</row>
      <rowOff>0</rowOff>
    </from>
    <ext cx="5400000" cy="19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ost_to_raise_Data" displayName="cost_to_raise_Data" ref="A5:I28" headerRowCount="1">
  <autoFilter ref="A5:I28"/>
  <tableColumns count="9">
    <tableColumn id="1" name="Month"/>
    <tableColumn id="2" name="Status"/>
    <tableColumn id="3" name="Grant writing"/>
    <tableColumn id="4" name="Donor campaigns"/>
    <tableColumn id="5" name="Event costs"/>
    <tableColumn id="6" name="Grant income"/>
    <tableColumn id="7" name="Donations"/>
    <tableColumn id="8" name="Events"/>
    <tableColumn id="9" name="Cents per $1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8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What does it cost to raise a dollar?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August 2026 · Data status: Jul 2026 locked · Aug 2026 locked · Oct 2026 incomplete (data retrieved 2pm, Tue 6 Oct 2026) · Generated 8 Oct 2026, 9:35am</t>
        </is>
      </c>
    </row>
    <row r="4"/>
    <row r="5" ht="32" customHeight="1">
      <c r="A5" s="3" t="inlineStr">
        <is>
          <t>What fundraising costs (grant writing, donor campaigns, events) for every dollar it brings in. Pick a source and every number, chart and note follows it.</t>
        </is>
      </c>
    </row>
    <row r="6"/>
    <row r="7">
      <c r="A7" s="4" t="inlineStr">
        <is>
          <t>Source: All fundraising</t>
        </is>
      </c>
    </row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August · all fundraising</t>
        </is>
      </c>
      <c r="B9" s="7">
        <f>Workings!B10</f>
        <v/>
      </c>
      <c r="C9" s="8" t="inlineStr">
        <is>
          <t>July 11¢</t>
        </is>
      </c>
    </row>
    <row r="10">
      <c r="A10" t="inlineStr">
        <is>
          <t>Year to date (Jul to Aug 2026)</t>
        </is>
      </c>
      <c r="B10" s="7">
        <f>Workings!B21</f>
        <v/>
      </c>
      <c r="C10" s="8" t="inlineStr">
        <is>
          <t>same period last year: 12¢</t>
        </is>
      </c>
    </row>
    <row r="11"/>
    <row r="12">
      <c r="A12" s="9" t="inlineStr">
        <is>
          <t>Cost to raise a dollar, by source, August 2026 (cents)</t>
        </is>
      </c>
    </row>
    <row r="13">
      <c r="A13" s="5" t="inlineStr"/>
      <c r="B13" s="6" t="inlineStr">
        <is>
          <t>Cost to raise a dollar</t>
        </is>
      </c>
    </row>
    <row r="14">
      <c r="A14" t="inlineStr">
        <is>
          <t>Grants</t>
        </is>
      </c>
      <c r="B14" s="7" t="n">
        <v>10</v>
      </c>
    </row>
    <row r="15">
      <c r="A15" t="inlineStr">
        <is>
          <t>Donations</t>
        </is>
      </c>
      <c r="B15" s="7" t="n">
        <v>12</v>
      </c>
    </row>
    <row r="16"/>
    <row r="17"/>
    <row r="18"/>
    <row r="19"/>
    <row r="20"/>
    <row r="21"/>
    <row r="22"/>
    <row r="23"/>
    <row r="24"/>
    <row r="25"/>
    <row r="26">
      <c r="A26" s="10" t="inlineStr">
        <is>
          <t>What it shows</t>
        </is>
      </c>
    </row>
    <row r="27" ht="30" customHeight="1">
      <c r="A27" s="3" t="inlineStr">
        <is>
          <t>August cost 13¢ to raise each dollar, against 11¢ in July. This financial year to date it has cost 12¢ a dollar, against 12¢ in the same period last year.</t>
        </is>
      </c>
    </row>
    <row r="28"/>
    <row r="29">
      <c r="A29" s="10" t="inlineStr">
        <is>
          <t>What you'd do about it</t>
        </is>
      </c>
    </row>
    <row r="30" ht="30" customHeight="1">
      <c r="A30" s="3" t="inlineStr">
        <is>
          <t>The year-to-date figure is steadier than single months: events make some months jump. Pick a source above to see which one moves it.</t>
        </is>
      </c>
    </row>
    <row r="31"/>
    <row r="32">
      <c r="A32" s="4" t="inlineStr">
        <is>
          <t>Source: Grants</t>
        </is>
      </c>
    </row>
    <row r="33">
      <c r="A33" s="5" t="inlineStr">
        <is>
          <t>Headline number</t>
        </is>
      </c>
      <c r="B33" s="6" t="inlineStr">
        <is>
          <t>Value</t>
        </is>
      </c>
      <c r="C33" s="6" t="inlineStr">
        <is>
          <t>Compared with</t>
        </is>
      </c>
    </row>
    <row r="34">
      <c r="A34" t="inlineStr">
        <is>
          <t>August · Grants</t>
        </is>
      </c>
      <c r="B34" s="7">
        <f>Workings!B41</f>
        <v/>
      </c>
      <c r="C34" s="8" t="inlineStr">
        <is>
          <t>July 10¢</t>
        </is>
      </c>
    </row>
    <row r="35">
      <c r="A35" t="inlineStr">
        <is>
          <t>Year to date (Jul to Aug 2026)</t>
        </is>
      </c>
      <c r="B35" s="7">
        <f>Workings!B52</f>
        <v/>
      </c>
      <c r="C35" s="8" t="inlineStr">
        <is>
          <t>same period last year: 12¢</t>
        </is>
      </c>
    </row>
    <row r="36"/>
    <row r="37">
      <c r="A37" s="10" t="inlineStr">
        <is>
          <t>What it shows</t>
        </is>
      </c>
    </row>
    <row r="38" ht="30" customHeight="1">
      <c r="A38" s="3" t="inlineStr">
        <is>
          <t>Grants cost 10¢ to raise each dollar this financial year to date ($14,200 of grant writing and reporting for $146,318), against 12¢ in the same period last year.</t>
        </is>
      </c>
    </row>
    <row r="39"/>
    <row r="40">
      <c r="A40" s="10" t="inlineStr">
        <is>
          <t>What you'd do about it</t>
        </is>
      </c>
    </row>
    <row r="41" ht="30" customHeight="1">
      <c r="A41" s="3" t="inlineStr">
        <is>
          <t>Usually the cheapest money to raise, as long as the time that goes into applications and acquittals is protected.</t>
        </is>
      </c>
    </row>
    <row r="42"/>
    <row r="43">
      <c r="A43" s="4" t="inlineStr">
        <is>
          <t>Source: Donations</t>
        </is>
      </c>
    </row>
    <row r="44">
      <c r="A44" s="5" t="inlineStr">
        <is>
          <t>Headline number</t>
        </is>
      </c>
      <c r="B44" s="6" t="inlineStr">
        <is>
          <t>Value</t>
        </is>
      </c>
      <c r="C44" s="6" t="inlineStr">
        <is>
          <t>Compared with</t>
        </is>
      </c>
    </row>
    <row r="45">
      <c r="A45" t="inlineStr">
        <is>
          <t>August · Donations</t>
        </is>
      </c>
      <c r="B45" s="7">
        <f>Workings!B60</f>
        <v/>
      </c>
      <c r="C45" s="8" t="inlineStr">
        <is>
          <t>July 15¢</t>
        </is>
      </c>
    </row>
    <row r="46">
      <c r="A46" t="inlineStr">
        <is>
          <t>Year to date (Jul to Aug 2026)</t>
        </is>
      </c>
      <c r="B46" s="7">
        <f>Workings!B71</f>
        <v/>
      </c>
      <c r="C46" s="8" t="inlineStr">
        <is>
          <t>same period last year: 15¢</t>
        </is>
      </c>
    </row>
    <row r="47"/>
    <row r="48">
      <c r="A48" s="10" t="inlineStr">
        <is>
          <t>What it shows</t>
        </is>
      </c>
    </row>
    <row r="49" ht="30" customHeight="1">
      <c r="A49" s="3" t="inlineStr">
        <is>
          <t>Donations cost 13¢ to raise each dollar this financial year to date ($4,400 of donor campaigns for $32,700), against 15¢ in the same period last year.</t>
        </is>
      </c>
    </row>
    <row r="50"/>
    <row r="51">
      <c r="A51" s="10" t="inlineStr">
        <is>
          <t>What you'd do about it</t>
        </is>
      </c>
    </row>
    <row r="52" ht="30" customHeight="1">
      <c r="A52" s="3" t="inlineStr">
        <is>
          <t>Steady and cheap, and untied: the money that builds reserves.</t>
        </is>
      </c>
    </row>
    <row r="53"/>
    <row r="54">
      <c r="A54" s="4" t="inlineStr">
        <is>
          <t>Source: Fundraising events</t>
        </is>
      </c>
    </row>
    <row r="55">
      <c r="A55" s="5" t="inlineStr">
        <is>
          <t>Headline number</t>
        </is>
      </c>
      <c r="B55" s="6" t="inlineStr">
        <is>
          <t>Value</t>
        </is>
      </c>
      <c r="C55" s="6" t="inlineStr">
        <is>
          <t>Compared with</t>
        </is>
      </c>
    </row>
    <row r="56">
      <c r="A56" t="inlineStr">
        <is>
          <t>August · Fundraising events</t>
        </is>
      </c>
      <c r="B56" s="11">
        <f>Workings!B78</f>
        <v/>
      </c>
      <c r="C56" s="8" t="inlineStr">
        <is>
          <t>July none raised</t>
        </is>
      </c>
    </row>
    <row r="57">
      <c r="A57" t="inlineStr">
        <is>
          <t>Year to date (Jul to Aug 2026)</t>
        </is>
      </c>
      <c r="B57" s="11">
        <f>Workings!B89</f>
        <v/>
      </c>
      <c r="C57" s="8" t="inlineStr">
        <is>
          <t>same period last year: –</t>
        </is>
      </c>
    </row>
    <row r="58"/>
    <row r="59">
      <c r="A59" s="10" t="inlineStr">
        <is>
          <t>What it shows</t>
        </is>
      </c>
    </row>
    <row r="60" ht="30" customHeight="1">
      <c r="A60" s="3" t="inlineStr">
        <is>
          <t>Fundraising events cost – to raise each dollar this financial year to date ($2,400 of event costs for $0).</t>
        </is>
      </c>
    </row>
    <row r="61"/>
    <row r="62">
      <c r="A62" s="10" t="inlineStr">
        <is>
          <t>What you'd do about it</t>
        </is>
      </c>
    </row>
    <row r="63" ht="30" customHeight="1">
      <c r="A63" s="3" t="inlineStr">
        <is>
          <t>Usually the dearest money to raise: events are worth counting for what else they bring too (new donors, profile).</t>
        </is>
      </c>
    </row>
    <row r="64"/>
    <row r="65">
      <c r="A65" s="4" t="inlineStr">
        <is>
          <t>Every source at once</t>
        </is>
      </c>
    </row>
    <row r="66">
      <c r="A66" s="12" t="inlineStr">
        <is>
          <t>Cost to raise a dollar, by month (cents): every month is on the Data sheet.</t>
        </is>
      </c>
    </row>
    <row r="67"/>
    <row r="68"/>
  </sheetData>
  <mergeCells count="9">
    <mergeCell ref="A5:D5"/>
    <mergeCell ref="A27:D27"/>
    <mergeCell ref="A38:D38"/>
    <mergeCell ref="A30:D30"/>
    <mergeCell ref="A52:D52"/>
    <mergeCell ref="A41:D41"/>
    <mergeCell ref="A49:D49"/>
    <mergeCell ref="A60:D60"/>
    <mergeCell ref="A63:D63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cost-to-raise.xlsx&amp;C&amp;"Roboto,Regular"&amp;8 Data retrieved 2pm, Tue 6 Oct 2026 · Generated 8 Oct 2026, 9:35am&amp;R&amp;"Roboto,Regular"&amp;8 Page &amp;P of &amp;N</oddFooter>
    <evenHeader/>
    <evenFooter/>
    <firstHeader/>
    <firstFooter/>
  </headerFooter>
  <rowBreaks count="2" manualBreakCount="2">
    <brk id="25" min="0" max="16383" man="1"/>
    <brk id="47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92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August 2026 · Data status: Jul 2026 locked · Aug 2026 locked · Oct 2026 incomplete (data retrieved 2pm, Tue 6 Oct 2026) · Generated 8 Oct 2026, 9:35am</t>
        </is>
      </c>
    </row>
    <row r="4"/>
    <row r="5">
      <c r="A5" s="4" t="inlineStr">
        <is>
          <t>Cost to raise a dollar, all fundraising, August and July</t>
        </is>
      </c>
    </row>
    <row r="6">
      <c r="A6" s="12" t="inlineStr">
        <is>
          <t>Cost of raising it ÷ money raised, in cents</t>
        </is>
      </c>
    </row>
    <row r="7">
      <c r="A7" s="5" t="inlineStr"/>
      <c r="B7" s="6" t="inlineStr">
        <is>
          <t>Aug 26</t>
        </is>
      </c>
      <c r="C7" s="6" t="inlineStr">
        <is>
          <t>Jul 26</t>
        </is>
      </c>
    </row>
    <row r="8">
      <c r="A8" t="inlineStr">
        <is>
          <t>Cost of raising it</t>
        </is>
      </c>
      <c r="B8" s="13" t="n">
        <v>11700</v>
      </c>
      <c r="C8" s="13" t="n">
        <v>9300</v>
      </c>
    </row>
    <row r="9">
      <c r="A9" t="inlineStr">
        <is>
          <t>Money raised</t>
        </is>
      </c>
      <c r="B9" s="13" t="n">
        <v>92100</v>
      </c>
      <c r="C9" s="13" t="n">
        <v>86918</v>
      </c>
    </row>
    <row r="10">
      <c r="A10" s="14" t="inlineStr">
        <is>
          <t>Cents per dollar</t>
        </is>
      </c>
      <c r="B10" s="15">
        <f>B8/B9*100</f>
        <v/>
      </c>
      <c r="C10" s="15">
        <f>C8/C9*100</f>
        <v/>
      </c>
    </row>
    <row r="11"/>
    <row r="12"/>
    <row r="13">
      <c r="A13" s="4" t="inlineStr">
        <is>
          <t>Cost to raise a dollar, all fundraising, year to date against the same period last year</t>
        </is>
      </c>
    </row>
    <row r="14">
      <c r="A14" s="12" t="inlineStr">
        <is>
          <t>Cost ÷ money raised, in cents</t>
        </is>
      </c>
    </row>
    <row r="15">
      <c r="A15" s="5" t="inlineStr"/>
      <c r="B15" s="6" t="inlineStr">
        <is>
          <t>Year to date</t>
        </is>
      </c>
    </row>
    <row r="16">
      <c r="A16" t="inlineStr">
        <is>
          <t>Cost, year to date</t>
        </is>
      </c>
      <c r="B16" s="13" t="n">
        <v>21000</v>
      </c>
    </row>
    <row r="17">
      <c r="A17" t="inlineStr">
        <is>
          <t>Raised, year to date</t>
        </is>
      </c>
      <c r="B17" s="13" t="n">
        <v>179018</v>
      </c>
    </row>
    <row r="18">
      <c r="A18" t="inlineStr">
        <is>
          <t>Cents, year to date</t>
        </is>
      </c>
      <c r="B18" s="16">
        <f>B16/B17*100</f>
        <v/>
      </c>
    </row>
    <row r="19">
      <c r="A19" t="inlineStr">
        <is>
          <t>Cost, same period last year</t>
        </is>
      </c>
      <c r="B19" s="13" t="n">
        <v>18600</v>
      </c>
    </row>
    <row r="20">
      <c r="A20" t="inlineStr">
        <is>
          <t>Raised, same period last year</t>
        </is>
      </c>
      <c r="B20" s="13" t="n">
        <v>150107</v>
      </c>
    </row>
    <row r="21">
      <c r="A21" s="14" t="inlineStr">
        <is>
          <t>Cents, same period last year</t>
        </is>
      </c>
      <c r="B21" s="15">
        <f>B19/B20*100</f>
        <v/>
      </c>
    </row>
    <row r="22"/>
    <row r="23"/>
    <row r="24">
      <c r="A24" s="4" t="inlineStr">
        <is>
          <t>Cost to raise a dollar, by source, August 2026</t>
        </is>
      </c>
    </row>
    <row r="25">
      <c r="A25" s="12" t="inlineStr">
        <is>
          <t>Fundraising cost ÷ money raised, for each source, in cents</t>
        </is>
      </c>
    </row>
    <row r="26">
      <c r="A26" s="5" t="inlineStr"/>
      <c r="B26" s="6" t="inlineStr">
        <is>
          <t>Aug 2026</t>
        </is>
      </c>
    </row>
    <row r="27">
      <c r="A27" t="inlineStr">
        <is>
          <t>Grants: cost (grant writing and reporting)</t>
        </is>
      </c>
      <c r="B27" s="13" t="n">
        <v>7100</v>
      </c>
    </row>
    <row r="28">
      <c r="A28" t="inlineStr">
        <is>
          <t>Grants: raised</t>
        </is>
      </c>
      <c r="B28" s="13" t="n">
        <v>73700</v>
      </c>
    </row>
    <row r="29">
      <c r="A29" t="inlineStr">
        <is>
          <t>Donations: cost (donor campaigns)</t>
        </is>
      </c>
      <c r="B29" s="13" t="n">
        <v>2200</v>
      </c>
    </row>
    <row r="30">
      <c r="A30" t="inlineStr">
        <is>
          <t>Donations: raised</t>
        </is>
      </c>
      <c r="B30" s="13" t="n">
        <v>18400</v>
      </c>
    </row>
    <row r="31">
      <c r="A31" t="inlineStr">
        <is>
          <t>Grants: cost per dollar raised</t>
        </is>
      </c>
      <c r="B31" s="16">
        <f>B27/B28*100</f>
        <v/>
      </c>
    </row>
    <row r="32">
      <c r="A32" s="14" t="inlineStr">
        <is>
          <t>Donations: cost per dollar raised</t>
        </is>
      </c>
      <c r="B32" s="15">
        <f>B29/B30*100</f>
        <v/>
      </c>
    </row>
    <row r="33">
      <c r="A33" s="2" t="inlineStr">
        <is>
          <t xml:space="preserve">Nothing raised from fundraising events in August. </t>
        </is>
      </c>
    </row>
    <row r="34"/>
    <row r="35"/>
    <row r="36">
      <c r="A36" s="4" t="inlineStr">
        <is>
          <t>Cost to raise a dollar, grants, August and July</t>
        </is>
      </c>
    </row>
    <row r="37">
      <c r="A37" s="12" t="inlineStr">
        <is>
          <t>Cost of raising it ÷ money raised, in cents</t>
        </is>
      </c>
    </row>
    <row r="38">
      <c r="A38" s="5" t="inlineStr"/>
      <c r="B38" s="6" t="inlineStr">
        <is>
          <t>Aug 26</t>
        </is>
      </c>
      <c r="C38" s="6" t="inlineStr">
        <is>
          <t>Jul 26</t>
        </is>
      </c>
    </row>
    <row r="39">
      <c r="A39" t="inlineStr">
        <is>
          <t>Cost of raising it</t>
        </is>
      </c>
      <c r="B39" s="13" t="n">
        <v>7100</v>
      </c>
      <c r="C39" s="13" t="n">
        <v>7100</v>
      </c>
    </row>
    <row r="40">
      <c r="A40" t="inlineStr">
        <is>
          <t>Money raised</t>
        </is>
      </c>
      <c r="B40" s="13" t="n">
        <v>73700</v>
      </c>
      <c r="C40" s="13" t="n">
        <v>72618</v>
      </c>
    </row>
    <row r="41">
      <c r="A41" s="14" t="inlineStr">
        <is>
          <t>Cents per dollar</t>
        </is>
      </c>
      <c r="B41" s="15">
        <f>B39/B40*100</f>
        <v/>
      </c>
      <c r="C41" s="15">
        <f>C39/C40*100</f>
        <v/>
      </c>
    </row>
    <row r="42"/>
    <row r="43"/>
    <row r="44">
      <c r="A44" s="4" t="inlineStr">
        <is>
          <t>Cost to raise a dollar, grants, year to date against the same period last year</t>
        </is>
      </c>
    </row>
    <row r="45">
      <c r="A45" s="12" t="inlineStr">
        <is>
          <t>Cost ÷ money raised, in cents</t>
        </is>
      </c>
    </row>
    <row r="46">
      <c r="A46" s="5" t="inlineStr"/>
      <c r="B46" s="6" t="inlineStr">
        <is>
          <t>Year to date</t>
        </is>
      </c>
    </row>
    <row r="47">
      <c r="A47" t="inlineStr">
        <is>
          <t>Cost, year to date</t>
        </is>
      </c>
      <c r="B47" s="13" t="n">
        <v>14200</v>
      </c>
    </row>
    <row r="48">
      <c r="A48" t="inlineStr">
        <is>
          <t>Raised, year to date</t>
        </is>
      </c>
      <c r="B48" s="13" t="n">
        <v>146318</v>
      </c>
    </row>
    <row r="49">
      <c r="A49" t="inlineStr">
        <is>
          <t>Cents, year to date</t>
        </is>
      </c>
      <c r="B49" s="16">
        <f>B47/B48*100</f>
        <v/>
      </c>
    </row>
    <row r="50">
      <c r="A50" t="inlineStr">
        <is>
          <t>Cost, same period last year</t>
        </is>
      </c>
      <c r="B50" s="13" t="n">
        <v>14200</v>
      </c>
    </row>
    <row r="51">
      <c r="A51" t="inlineStr">
        <is>
          <t>Raised, same period last year</t>
        </is>
      </c>
      <c r="B51" s="13" t="n">
        <v>120607</v>
      </c>
    </row>
    <row r="52">
      <c r="A52" s="14" t="inlineStr">
        <is>
          <t>Cents, same period last year</t>
        </is>
      </c>
      <c r="B52" s="15">
        <f>B50/B51*100</f>
        <v/>
      </c>
    </row>
    <row r="53"/>
    <row r="54"/>
    <row r="55">
      <c r="A55" s="4" t="inlineStr">
        <is>
          <t>Cost to raise a dollar, donations, August and July</t>
        </is>
      </c>
    </row>
    <row r="56">
      <c r="A56" s="12" t="inlineStr">
        <is>
          <t>Cost of raising it ÷ money raised, in cents</t>
        </is>
      </c>
    </row>
    <row r="57">
      <c r="A57" s="5" t="inlineStr"/>
      <c r="B57" s="6" t="inlineStr">
        <is>
          <t>Aug 26</t>
        </is>
      </c>
      <c r="C57" s="6" t="inlineStr">
        <is>
          <t>Jul 26</t>
        </is>
      </c>
    </row>
    <row r="58">
      <c r="A58" t="inlineStr">
        <is>
          <t>Cost of raising it</t>
        </is>
      </c>
      <c r="B58" s="13" t="n">
        <v>2200</v>
      </c>
      <c r="C58" s="13" t="n">
        <v>2200</v>
      </c>
    </row>
    <row r="59">
      <c r="A59" t="inlineStr">
        <is>
          <t>Money raised</t>
        </is>
      </c>
      <c r="B59" s="13" t="n">
        <v>18400</v>
      </c>
      <c r="C59" s="13" t="n">
        <v>14300</v>
      </c>
    </row>
    <row r="60">
      <c r="A60" s="14" t="inlineStr">
        <is>
          <t>Cents per dollar</t>
        </is>
      </c>
      <c r="B60" s="15">
        <f>B58/B59*100</f>
        <v/>
      </c>
      <c r="C60" s="15">
        <f>C58/C59*100</f>
        <v/>
      </c>
    </row>
    <row r="61"/>
    <row r="62"/>
    <row r="63">
      <c r="A63" s="4" t="inlineStr">
        <is>
          <t>Cost to raise a dollar, donations, year to date against the same period last year</t>
        </is>
      </c>
    </row>
    <row r="64">
      <c r="A64" s="12" t="inlineStr">
        <is>
          <t>Cost ÷ money raised, in cents</t>
        </is>
      </c>
    </row>
    <row r="65">
      <c r="A65" s="5" t="inlineStr"/>
      <c r="B65" s="6" t="inlineStr">
        <is>
          <t>Year to date</t>
        </is>
      </c>
    </row>
    <row r="66">
      <c r="A66" t="inlineStr">
        <is>
          <t>Cost, year to date</t>
        </is>
      </c>
      <c r="B66" s="13" t="n">
        <v>4400</v>
      </c>
    </row>
    <row r="67">
      <c r="A67" t="inlineStr">
        <is>
          <t>Raised, year to date</t>
        </is>
      </c>
      <c r="B67" s="13" t="n">
        <v>32700</v>
      </c>
    </row>
    <row r="68">
      <c r="A68" t="inlineStr">
        <is>
          <t>Cents, year to date</t>
        </is>
      </c>
      <c r="B68" s="16">
        <f>B66/B67*100</f>
        <v/>
      </c>
    </row>
    <row r="69">
      <c r="A69" t="inlineStr">
        <is>
          <t>Cost, same period last year</t>
        </is>
      </c>
      <c r="B69" s="13" t="n">
        <v>4400</v>
      </c>
    </row>
    <row r="70">
      <c r="A70" t="inlineStr">
        <is>
          <t>Raised, same period last year</t>
        </is>
      </c>
      <c r="B70" s="13" t="n">
        <v>29500</v>
      </c>
    </row>
    <row r="71">
      <c r="A71" s="14" t="inlineStr">
        <is>
          <t>Cents, same period last year</t>
        </is>
      </c>
      <c r="B71" s="15">
        <f>B69/B70*100</f>
        <v/>
      </c>
    </row>
    <row r="72"/>
    <row r="73"/>
    <row r="74">
      <c r="A74" s="4" t="inlineStr">
        <is>
          <t>Cost to raise a dollar, fundraising events, August and July</t>
        </is>
      </c>
    </row>
    <row r="75">
      <c r="A75" s="12" t="inlineStr">
        <is>
          <t>Cost of raising it ÷ money raised, in cents</t>
        </is>
      </c>
    </row>
    <row r="76">
      <c r="A76" s="5" t="inlineStr"/>
      <c r="B76" s="6" t="inlineStr">
        <is>
          <t>Aug 26</t>
        </is>
      </c>
      <c r="C76" s="6" t="inlineStr">
        <is>
          <t>Jul 26</t>
        </is>
      </c>
    </row>
    <row r="77">
      <c r="A77" t="inlineStr">
        <is>
          <t>Cost of raising it</t>
        </is>
      </c>
      <c r="B77" s="13" t="n">
        <v>2400</v>
      </c>
      <c r="C77" s="13" t="n">
        <v>0</v>
      </c>
    </row>
    <row r="78">
      <c r="A78" s="14" t="inlineStr">
        <is>
          <t>Money raised</t>
        </is>
      </c>
      <c r="B78" s="17" t="n">
        <v>0</v>
      </c>
      <c r="C78" s="17" t="n">
        <v>0</v>
      </c>
    </row>
    <row r="79">
      <c r="A79" s="2" t="inlineStr">
        <is>
          <t>Nothing raised in one of the months, so there's no cost per dollar for it.</t>
        </is>
      </c>
    </row>
    <row r="80"/>
    <row r="81"/>
    <row r="82">
      <c r="A82" s="4" t="inlineStr">
        <is>
          <t>Cost to raise a dollar, fundraising events, year to date against the same period last year</t>
        </is>
      </c>
    </row>
    <row r="83">
      <c r="A83" s="12" t="inlineStr">
        <is>
          <t>Cost ÷ money raised, in cents</t>
        </is>
      </c>
    </row>
    <row r="84">
      <c r="A84" s="5" t="inlineStr"/>
      <c r="B84" s="6" t="inlineStr">
        <is>
          <t>Year to date</t>
        </is>
      </c>
    </row>
    <row r="85">
      <c r="A85" t="inlineStr">
        <is>
          <t>Cost, year to date</t>
        </is>
      </c>
      <c r="B85" s="13" t="n">
        <v>2400</v>
      </c>
    </row>
    <row r="86">
      <c r="A86" t="inlineStr">
        <is>
          <t>Raised, year to date</t>
        </is>
      </c>
      <c r="B86" s="13" t="n">
        <v>0</v>
      </c>
    </row>
    <row r="87">
      <c r="A87" t="inlineStr">
        <is>
          <t>Cents, year to date</t>
        </is>
      </c>
      <c r="B87" s="16">
        <f>IFERROR(B85/B86*100,"–")</f>
        <v/>
      </c>
    </row>
    <row r="88">
      <c r="A88" t="inlineStr">
        <is>
          <t>Cost, same period last year</t>
        </is>
      </c>
      <c r="B88" s="13" t="n">
        <v>0</v>
      </c>
    </row>
    <row r="89">
      <c r="A89" s="14" t="inlineStr">
        <is>
          <t>Raised, same period last year</t>
        </is>
      </c>
      <c r="B89" s="17" t="n">
        <v>0</v>
      </c>
    </row>
    <row r="90"/>
    <row r="91"/>
    <row r="92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cost-to-raise.xlsx&amp;C&amp;"Roboto,Regular"&amp;8 Data retrieved 2pm, Tue 6 Oct 2026 · Generated 8 Oct 2026, 9:35am&amp;R&amp;"Roboto,Regular"&amp;8 Page &amp;P of &amp;N</oddFooter>
    <evenHeader/>
    <evenFooter/>
    <firstHeader/>
    <firstFooter/>
  </headerFooter>
  <rowBreaks count="3" manualBreakCount="3">
    <brk id="23" min="0" max="16383" man="1"/>
    <brk id="54" min="0" max="16383" man="1"/>
    <brk id="81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August 2026 · Data status: Jul 2026 locked · Aug 2026 locked · Oct 2026 incomplete (data retrieved 2pm, Tue 6 Oct 2026) · Generated 8 Oct 2026, 9:35am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Grant writing</t>
        </is>
      </c>
      <c r="D5" s="6" t="inlineStr">
        <is>
          <t>Donor campaigns</t>
        </is>
      </c>
      <c r="E5" s="6" t="inlineStr">
        <is>
          <t>Event costs</t>
        </is>
      </c>
      <c r="F5" s="6" t="inlineStr">
        <is>
          <t>Grant income</t>
        </is>
      </c>
      <c r="G5" s="6" t="inlineStr">
        <is>
          <t>Donations</t>
        </is>
      </c>
      <c r="H5" s="6" t="inlineStr">
        <is>
          <t>Events</t>
        </is>
      </c>
      <c r="I5" s="6" t="inlineStr">
        <is>
          <t>Cents per $1</t>
        </is>
      </c>
    </row>
    <row r="6">
      <c r="A6" s="18" t="inlineStr">
        <is>
          <t>Oct 24</t>
        </is>
      </c>
      <c r="B6" s="18" t="inlineStr">
        <is>
          <t>Locked</t>
        </is>
      </c>
      <c r="C6" s="13" t="n">
        <v>6500</v>
      </c>
      <c r="D6" s="13" t="n">
        <v>2200</v>
      </c>
      <c r="E6" s="13" t="n">
        <v>0</v>
      </c>
      <c r="F6" s="13" t="n">
        <v>26600</v>
      </c>
      <c r="G6" s="13" t="n">
        <v>15300</v>
      </c>
      <c r="H6" s="13" t="n">
        <v>0</v>
      </c>
      <c r="I6" s="16">
        <f>IF(SUM(F6:H6)=0,"",SUM(C6:E6)/SUM(F6:H6)*100)</f>
        <v/>
      </c>
    </row>
    <row r="7">
      <c r="A7" s="18" t="inlineStr">
        <is>
          <t>Nov 24</t>
        </is>
      </c>
      <c r="B7" s="18" t="inlineStr">
        <is>
          <t>Locked</t>
        </is>
      </c>
      <c r="C7" s="13" t="n">
        <v>6500</v>
      </c>
      <c r="D7" s="13" t="n">
        <v>3100</v>
      </c>
      <c r="E7" s="13" t="n">
        <v>0</v>
      </c>
      <c r="F7" s="13" t="n">
        <v>31800</v>
      </c>
      <c r="G7" s="13" t="n">
        <v>17700</v>
      </c>
      <c r="H7" s="13" t="n">
        <v>0</v>
      </c>
      <c r="I7" s="16">
        <f>IF(SUM(F7:H7)=0,"",SUM(C7:E7)/SUM(F7:H7)*100)</f>
        <v/>
      </c>
    </row>
    <row r="8">
      <c r="A8" s="18" t="inlineStr">
        <is>
          <t>Dec 24</t>
        </is>
      </c>
      <c r="B8" s="18" t="inlineStr">
        <is>
          <t>Locked</t>
        </is>
      </c>
      <c r="C8" s="13" t="n">
        <v>6500</v>
      </c>
      <c r="D8" s="13" t="n">
        <v>4400</v>
      </c>
      <c r="E8" s="13" t="n">
        <v>2600</v>
      </c>
      <c r="F8" s="13" t="n">
        <v>29700</v>
      </c>
      <c r="G8" s="13" t="n">
        <v>24700</v>
      </c>
      <c r="H8" s="13" t="n">
        <v>6200</v>
      </c>
      <c r="I8" s="16">
        <f>IF(SUM(F8:H8)=0,"",SUM(C8:E8)/SUM(F8:H8)*100)</f>
        <v/>
      </c>
    </row>
    <row r="9">
      <c r="A9" s="18" t="inlineStr">
        <is>
          <t>Jan 25</t>
        </is>
      </c>
      <c r="B9" s="18" t="inlineStr">
        <is>
          <t>Locked</t>
        </is>
      </c>
      <c r="C9" s="13" t="n">
        <v>6500</v>
      </c>
      <c r="D9" s="13" t="n">
        <v>2200</v>
      </c>
      <c r="E9" s="13" t="n">
        <v>0</v>
      </c>
      <c r="F9" s="13" t="n">
        <v>62700</v>
      </c>
      <c r="G9" s="13" t="n">
        <v>12400</v>
      </c>
      <c r="H9" s="13" t="n">
        <v>0</v>
      </c>
      <c r="I9" s="16">
        <f>IF(SUM(F9:H9)=0,"",SUM(C9:E9)/SUM(F9:H9)*100)</f>
        <v/>
      </c>
    </row>
    <row r="10">
      <c r="A10" s="18" t="inlineStr">
        <is>
          <t>Feb 25</t>
        </is>
      </c>
      <c r="B10" s="18" t="inlineStr">
        <is>
          <t>Locked</t>
        </is>
      </c>
      <c r="C10" s="13" t="n">
        <v>6500</v>
      </c>
      <c r="D10" s="13" t="n">
        <v>2200</v>
      </c>
      <c r="E10" s="13" t="n">
        <v>0</v>
      </c>
      <c r="F10" s="13" t="n">
        <v>61700</v>
      </c>
      <c r="G10" s="13" t="n">
        <v>15600</v>
      </c>
      <c r="H10" s="13" t="n">
        <v>0</v>
      </c>
      <c r="I10" s="16">
        <f>IF(SUM(F10:H10)=0,"",SUM(C10:E10)/SUM(F10:H10)*100)</f>
        <v/>
      </c>
    </row>
    <row r="11">
      <c r="A11" s="18" t="inlineStr">
        <is>
          <t>Mar 25</t>
        </is>
      </c>
      <c r="B11" s="18" t="inlineStr">
        <is>
          <t>Locked</t>
        </is>
      </c>
      <c r="C11" s="13" t="n">
        <v>6500</v>
      </c>
      <c r="D11" s="13" t="n">
        <v>2200</v>
      </c>
      <c r="E11" s="13" t="n">
        <v>0</v>
      </c>
      <c r="F11" s="13" t="n">
        <v>54500</v>
      </c>
      <c r="G11" s="13" t="n">
        <v>15700</v>
      </c>
      <c r="H11" s="13" t="n">
        <v>0</v>
      </c>
      <c r="I11" s="16">
        <f>IF(SUM(F11:H11)=0,"",SUM(C11:E11)/SUM(F11:H11)*100)</f>
        <v/>
      </c>
    </row>
    <row r="12">
      <c r="A12" s="18" t="inlineStr">
        <is>
          <t>Apr 25</t>
        </is>
      </c>
      <c r="B12" s="18" t="inlineStr">
        <is>
          <t>Locked</t>
        </is>
      </c>
      <c r="C12" s="13" t="n">
        <v>6500</v>
      </c>
      <c r="D12" s="13" t="n">
        <v>2200</v>
      </c>
      <c r="E12" s="13" t="n">
        <v>0</v>
      </c>
      <c r="F12" s="13" t="n">
        <v>61500</v>
      </c>
      <c r="G12" s="13" t="n">
        <v>15700</v>
      </c>
      <c r="H12" s="13" t="n">
        <v>0</v>
      </c>
      <c r="I12" s="16">
        <f>IF(SUM(F12:H12)=0,"",SUM(C12:E12)/SUM(F12:H12)*100)</f>
        <v/>
      </c>
    </row>
    <row r="13">
      <c r="A13" s="18" t="inlineStr">
        <is>
          <t>May 25</t>
        </is>
      </c>
      <c r="B13" s="18" t="inlineStr">
        <is>
          <t>Locked</t>
        </is>
      </c>
      <c r="C13" s="13" t="n">
        <v>6500</v>
      </c>
      <c r="D13" s="13" t="n">
        <v>2200</v>
      </c>
      <c r="E13" s="13" t="n">
        <v>0</v>
      </c>
      <c r="F13" s="13" t="n">
        <v>61700</v>
      </c>
      <c r="G13" s="13" t="n">
        <v>15800</v>
      </c>
      <c r="H13" s="13" t="n">
        <v>0</v>
      </c>
      <c r="I13" s="16">
        <f>IF(SUM(F13:H13)=0,"",SUM(C13:E13)/SUM(F13:H13)*100)</f>
        <v/>
      </c>
    </row>
    <row r="14">
      <c r="A14" s="18" t="inlineStr">
        <is>
          <t>Jun 25</t>
        </is>
      </c>
      <c r="B14" s="18" t="inlineStr">
        <is>
          <t>Locked</t>
        </is>
      </c>
      <c r="C14" s="13" t="n">
        <v>6500</v>
      </c>
      <c r="D14" s="13" t="n">
        <v>5500</v>
      </c>
      <c r="E14" s="13" t="n">
        <v>0</v>
      </c>
      <c r="F14" s="13" t="n">
        <v>52200</v>
      </c>
      <c r="G14" s="13" t="n">
        <v>38100</v>
      </c>
      <c r="H14" s="13" t="n">
        <v>0</v>
      </c>
      <c r="I14" s="16">
        <f>IF(SUM(F14:H14)=0,"",SUM(C14:E14)/SUM(F14:H14)*100)</f>
        <v/>
      </c>
    </row>
    <row r="15">
      <c r="A15" s="18" t="inlineStr">
        <is>
          <t>Jul 25</t>
        </is>
      </c>
      <c r="B15" s="18" t="inlineStr">
        <is>
          <t>Locked</t>
        </is>
      </c>
      <c r="C15" s="13" t="n">
        <v>7100</v>
      </c>
      <c r="D15" s="13" t="n">
        <v>2200</v>
      </c>
      <c r="E15" s="13" t="n">
        <v>0</v>
      </c>
      <c r="F15" s="13" t="n">
        <v>59063</v>
      </c>
      <c r="G15" s="13" t="n">
        <v>13500</v>
      </c>
      <c r="H15" s="13" t="n">
        <v>0</v>
      </c>
      <c r="I15" s="16">
        <f>IF(SUM(F15:H15)=0,"",SUM(C15:E15)/SUM(F15:H15)*100)</f>
        <v/>
      </c>
    </row>
    <row r="16">
      <c r="A16" s="18" t="inlineStr">
        <is>
          <t>Aug 25</t>
        </is>
      </c>
      <c r="B16" s="18" t="inlineStr">
        <is>
          <t>Locked</t>
        </is>
      </c>
      <c r="C16" s="13" t="n">
        <v>7100</v>
      </c>
      <c r="D16" s="13" t="n">
        <v>2200</v>
      </c>
      <c r="E16" s="13" t="n">
        <v>0</v>
      </c>
      <c r="F16" s="13" t="n">
        <v>61544</v>
      </c>
      <c r="G16" s="13" t="n">
        <v>16000</v>
      </c>
      <c r="H16" s="13" t="n">
        <v>0</v>
      </c>
      <c r="I16" s="16">
        <f>IF(SUM(F16:H16)=0,"",SUM(C16:E16)/SUM(F16:H16)*100)</f>
        <v/>
      </c>
    </row>
    <row r="17">
      <c r="A17" s="18" t="inlineStr">
        <is>
          <t>Sep 25</t>
        </is>
      </c>
      <c r="B17" s="18" t="inlineStr">
        <is>
          <t>Locked</t>
        </is>
      </c>
      <c r="C17" s="13" t="n">
        <v>7100</v>
      </c>
      <c r="D17" s="13" t="n">
        <v>2200</v>
      </c>
      <c r="E17" s="13" t="n">
        <v>15200</v>
      </c>
      <c r="F17" s="13" t="n">
        <v>62137</v>
      </c>
      <c r="G17" s="13" t="n">
        <v>16100</v>
      </c>
      <c r="H17" s="13" t="n">
        <v>36800</v>
      </c>
      <c r="I17" s="16">
        <f>IF(SUM(F17:H17)=0,"",SUM(C17:E17)/SUM(F17:H17)*100)</f>
        <v/>
      </c>
    </row>
    <row r="18">
      <c r="A18" s="18" t="inlineStr">
        <is>
          <t>Oct 25</t>
        </is>
      </c>
      <c r="B18" s="18" t="inlineStr">
        <is>
          <t>Locked</t>
        </is>
      </c>
      <c r="C18" s="13" t="n">
        <v>7100</v>
      </c>
      <c r="D18" s="13" t="n">
        <v>2200</v>
      </c>
      <c r="E18" s="13" t="n">
        <v>0</v>
      </c>
      <c r="F18" s="13" t="n">
        <v>69185</v>
      </c>
      <c r="G18" s="13" t="n">
        <v>16200</v>
      </c>
      <c r="H18" s="13" t="n">
        <v>0</v>
      </c>
      <c r="I18" s="16">
        <f>IF(SUM(F18:H18)=0,"",SUM(C18:E18)/SUM(F18:H18)*100)</f>
        <v/>
      </c>
    </row>
    <row r="19">
      <c r="A19" s="18" t="inlineStr">
        <is>
          <t>Nov 25</t>
        </is>
      </c>
      <c r="B19" s="18" t="inlineStr">
        <is>
          <t>Locked</t>
        </is>
      </c>
      <c r="C19" s="13" t="n">
        <v>7100</v>
      </c>
      <c r="D19" s="13" t="n">
        <v>3100</v>
      </c>
      <c r="E19" s="13" t="n">
        <v>0</v>
      </c>
      <c r="F19" s="13" t="n">
        <v>70164</v>
      </c>
      <c r="G19" s="13" t="n">
        <v>18700</v>
      </c>
      <c r="H19" s="13" t="n">
        <v>0</v>
      </c>
      <c r="I19" s="16">
        <f>IF(SUM(F19:H19)=0,"",SUM(C19:E19)/SUM(F19:H19)*100)</f>
        <v/>
      </c>
    </row>
    <row r="20">
      <c r="A20" s="18" t="inlineStr">
        <is>
          <t>Dec 25</t>
        </is>
      </c>
      <c r="B20" s="18" t="inlineStr">
        <is>
          <t>Locked</t>
        </is>
      </c>
      <c r="C20" s="13" t="n">
        <v>7100</v>
      </c>
      <c r="D20" s="13" t="n">
        <v>4400</v>
      </c>
      <c r="E20" s="13" t="n">
        <v>2600</v>
      </c>
      <c r="F20" s="13" t="n">
        <v>68793</v>
      </c>
      <c r="G20" s="13" t="n">
        <v>26100</v>
      </c>
      <c r="H20" s="13" t="n">
        <v>6200</v>
      </c>
      <c r="I20" s="16">
        <f>IF(SUM(F20:H20)=0,"",SUM(C20:E20)/SUM(F20:H20)*100)</f>
        <v/>
      </c>
    </row>
    <row r="21">
      <c r="A21" s="18" t="inlineStr">
        <is>
          <t>Jan 26</t>
        </is>
      </c>
      <c r="B21" s="18" t="inlineStr">
        <is>
          <t>Locked</t>
        </is>
      </c>
      <c r="C21" s="13" t="n">
        <v>7100</v>
      </c>
      <c r="D21" s="13" t="n">
        <v>2200</v>
      </c>
      <c r="E21" s="13" t="n">
        <v>0</v>
      </c>
      <c r="F21" s="13" t="n">
        <v>59785</v>
      </c>
      <c r="G21" s="13" t="n">
        <v>13100</v>
      </c>
      <c r="H21" s="13" t="n">
        <v>0</v>
      </c>
      <c r="I21" s="16">
        <f>IF(SUM(F21:H21)=0,"",SUM(C21:E21)/SUM(F21:H21)*100)</f>
        <v/>
      </c>
    </row>
    <row r="22">
      <c r="A22" s="18" t="inlineStr">
        <is>
          <t>Feb 26</t>
        </is>
      </c>
      <c r="B22" s="18" t="inlineStr">
        <is>
          <t>Locked</t>
        </is>
      </c>
      <c r="C22" s="13" t="n">
        <v>7100</v>
      </c>
      <c r="D22" s="13" t="n">
        <v>2200</v>
      </c>
      <c r="E22" s="13" t="n">
        <v>0</v>
      </c>
      <c r="F22" s="13" t="n">
        <v>55759</v>
      </c>
      <c r="G22" s="13" t="n">
        <v>16400</v>
      </c>
      <c r="H22" s="13" t="n">
        <v>0</v>
      </c>
      <c r="I22" s="16">
        <f>IF(SUM(F22:H22)=0,"",SUM(C22:E22)/SUM(F22:H22)*100)</f>
        <v/>
      </c>
    </row>
    <row r="23">
      <c r="A23" s="18" t="inlineStr">
        <is>
          <t>Mar 26</t>
        </is>
      </c>
      <c r="B23" s="18" t="inlineStr">
        <is>
          <t>Locked</t>
        </is>
      </c>
      <c r="C23" s="13" t="n">
        <v>7100</v>
      </c>
      <c r="D23" s="13" t="n">
        <v>2200</v>
      </c>
      <c r="E23" s="13" t="n">
        <v>0</v>
      </c>
      <c r="F23" s="13" t="n">
        <v>53806</v>
      </c>
      <c r="G23" s="13" t="n">
        <v>16500</v>
      </c>
      <c r="H23" s="13" t="n">
        <v>0</v>
      </c>
      <c r="I23" s="16">
        <f>IF(SUM(F23:H23)=0,"",SUM(C23:E23)/SUM(F23:H23)*100)</f>
        <v/>
      </c>
    </row>
    <row r="24">
      <c r="A24" s="18" t="inlineStr">
        <is>
          <t>Apr 26</t>
        </is>
      </c>
      <c r="B24" s="18" t="inlineStr">
        <is>
          <t>Locked</t>
        </is>
      </c>
      <c r="C24" s="13" t="n">
        <v>7100</v>
      </c>
      <c r="D24" s="13" t="n">
        <v>2200</v>
      </c>
      <c r="E24" s="13" t="n">
        <v>0</v>
      </c>
      <c r="F24" s="13" t="n">
        <v>66729</v>
      </c>
      <c r="G24" s="13" t="n">
        <v>16600</v>
      </c>
      <c r="H24" s="13" t="n">
        <v>0</v>
      </c>
      <c r="I24" s="16">
        <f>IF(SUM(F24:H24)=0,"",SUM(C24:E24)/SUM(F24:H24)*100)</f>
        <v/>
      </c>
    </row>
    <row r="25">
      <c r="A25" s="18" t="inlineStr">
        <is>
          <t>May 26</t>
        </is>
      </c>
      <c r="B25" s="18" t="inlineStr">
        <is>
          <t>Locked</t>
        </is>
      </c>
      <c r="C25" s="13" t="n">
        <v>7100</v>
      </c>
      <c r="D25" s="13" t="n">
        <v>2200</v>
      </c>
      <c r="E25" s="13" t="n">
        <v>0</v>
      </c>
      <c r="F25" s="13" t="n">
        <v>72245</v>
      </c>
      <c r="G25" s="13" t="n">
        <v>16600</v>
      </c>
      <c r="H25" s="13" t="n">
        <v>0</v>
      </c>
      <c r="I25" s="16">
        <f>IF(SUM(F25:H25)=0,"",SUM(C25:E25)/SUM(F25:H25)*100)</f>
        <v/>
      </c>
    </row>
    <row r="26">
      <c r="A26" s="18" t="inlineStr">
        <is>
          <t>Jun 26</t>
        </is>
      </c>
      <c r="B26" s="18" t="inlineStr">
        <is>
          <t>Locked</t>
        </is>
      </c>
      <c r="C26" s="13" t="n">
        <v>7100</v>
      </c>
      <c r="D26" s="13" t="n">
        <v>5500</v>
      </c>
      <c r="E26" s="13" t="n">
        <v>0</v>
      </c>
      <c r="F26" s="13" t="n">
        <v>70872</v>
      </c>
      <c r="G26" s="13" t="n">
        <v>40100</v>
      </c>
      <c r="H26" s="13" t="n">
        <v>0</v>
      </c>
      <c r="I26" s="16">
        <f>IF(SUM(F26:H26)=0,"",SUM(C26:E26)/SUM(F26:H26)*100)</f>
        <v/>
      </c>
    </row>
    <row r="27">
      <c r="A27" s="18" t="inlineStr">
        <is>
          <t>Jul 26</t>
        </is>
      </c>
      <c r="B27" s="18" t="inlineStr">
        <is>
          <t>Locked</t>
        </is>
      </c>
      <c r="C27" s="13" t="n">
        <v>7100</v>
      </c>
      <c r="D27" s="13" t="n">
        <v>2200</v>
      </c>
      <c r="E27" s="13" t="n">
        <v>0</v>
      </c>
      <c r="F27" s="13" t="n">
        <v>72618</v>
      </c>
      <c r="G27" s="13" t="n">
        <v>14300</v>
      </c>
      <c r="H27" s="13" t="n">
        <v>0</v>
      </c>
      <c r="I27" s="16">
        <f>IF(SUM(F27:H27)=0,"",SUM(C27:E27)/SUM(F27:H27)*100)</f>
        <v/>
      </c>
    </row>
    <row r="28">
      <c r="A28" s="18" t="inlineStr">
        <is>
          <t>Aug 26</t>
        </is>
      </c>
      <c r="B28" s="18" t="inlineStr">
        <is>
          <t>Locked</t>
        </is>
      </c>
      <c r="C28" s="13" t="n">
        <v>7100</v>
      </c>
      <c r="D28" s="13" t="n">
        <v>2200</v>
      </c>
      <c r="E28" s="13" t="n">
        <v>2400</v>
      </c>
      <c r="F28" s="13" t="n">
        <v>73700</v>
      </c>
      <c r="G28" s="13" t="n">
        <v>18400</v>
      </c>
      <c r="H28" s="13" t="n">
        <v>0</v>
      </c>
      <c r="I28" s="16">
        <f>IF(SUM(F28:H28)=0,"",SUM(C28:E28)/SUM(F28:H28)*100)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cost-to-raise.xlsx&amp;C&amp;"Roboto,Regular"&amp;8 Data retrieved 2pm, Tue 6 Oct 2026 · Generated 8 Oct 2026, 9:35am&amp;R&amp;"Roboto,Regular"&amp;8 Page &amp;P of &amp;N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2026-10-07T23:36:01Z</dcterms:created>
  <dcterms:modified xmlns:dcterms="http://purl.org/dc/terms/" xmlns:xsi="http://www.w3.org/2001/XMLSchema-instance" xsi:type="dcterms:W3CDTF">2026-10-07T23:36:01Z</dcterms:modified>
</cp:coreProperties>
</file>