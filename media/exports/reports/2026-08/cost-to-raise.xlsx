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August · all fundraising</t>
        </is>
      </c>
      <c r="B9" s="7">
        <f>Workings!B10</f>
        <v/>
      </c>
      <c r="C9" s="8" t="inlineStr">
        <is>
          <t>July 11¢</t>
        </is>
      </c>
    </row>
    <row r="10">
      <c r="A10" t="inlineStr">
        <is>
          <t>Year to date (Jul to Aug 2026)</t>
        </is>
      </c>
      <c r="B10" s="7">
        <f>Workings!B21</f>
        <v/>
      </c>
      <c r="C10" s="8" t="inlineStr">
        <is>
          <t>same period last year: 12¢</t>
        </is>
      </c>
    </row>
    <row r="11"/>
    <row r="12">
      <c r="A12" s="9" t="inlineStr">
        <is>
          <t>Cost to raise a dollar, by source, August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12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August cost 13¢ to raise each dollar, against 11¢ in July. This financial year to date it has cost 12¢ a dollar, against 12¢ in the same period last year.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August · Grants</t>
        </is>
      </c>
      <c r="B25" s="7">
        <f>Workings!B41</f>
        <v/>
      </c>
      <c r="C25" s="8" t="inlineStr">
        <is>
          <t>July 10¢</t>
        </is>
      </c>
    </row>
    <row r="26">
      <c r="A26" t="inlineStr">
        <is>
          <t>Year to date (Jul to Aug 2026)</t>
        </is>
      </c>
      <c r="B26" s="7">
        <f>Workings!B52</f>
        <v/>
      </c>
      <c r="C26" s="8" t="inlineStr">
        <is>
          <t>same period last year: 12¢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10¢ to raise each dollar this financial year to date ($14,200 of grant writing and reporting for $146,318), against 12¢ in the same period last year.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August · Donations</t>
        </is>
      </c>
      <c r="B36" s="7">
        <f>Workings!B60</f>
        <v/>
      </c>
      <c r="C36" s="8" t="inlineStr">
        <is>
          <t>July 15¢</t>
        </is>
      </c>
    </row>
    <row r="37">
      <c r="A37" t="inlineStr">
        <is>
          <t>Year to date (Jul to Aug 2026)</t>
        </is>
      </c>
      <c r="B37" s="7">
        <f>Workings!B71</f>
        <v/>
      </c>
      <c r="C37" s="8" t="inlineStr">
        <is>
          <t>same period last year: 15¢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13¢ to raise each dollar this financial year to date ($4,400 of donor campaigns for $32,700), against 15¢ in the same period last year.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August · Fundraising events</t>
        </is>
      </c>
      <c r="B47" s="11">
        <f>Workings!B78</f>
        <v/>
      </c>
      <c r="C47" s="8" t="inlineStr">
        <is>
          <t>July none raised</t>
        </is>
      </c>
    </row>
    <row r="48">
      <c r="A48" t="inlineStr">
        <is>
          <t>Year to date (Jul to Aug 2026)</t>
        </is>
      </c>
      <c r="B48" s="11">
        <f>Workings!B89</f>
        <v/>
      </c>
      <c r="C48" s="8" t="inlineStr">
        <is>
          <t>same period last year: –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– to raise each dollar this financial year to date ($2,400 of event costs for $0).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Cost to raise a dollar, all fundraising, August and July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Aug 26</t>
        </is>
      </c>
      <c r="C7" s="6" t="inlineStr">
        <is>
          <t>Jul 26</t>
        </is>
      </c>
    </row>
    <row r="8">
      <c r="A8" t="inlineStr">
        <is>
          <t>Cost of raising it</t>
        </is>
      </c>
      <c r="B8" s="13" t="n">
        <v>11700</v>
      </c>
      <c r="C8" s="13" t="n">
        <v>9300</v>
      </c>
    </row>
    <row r="9">
      <c r="A9" t="inlineStr">
        <is>
          <t>Money raised</t>
        </is>
      </c>
      <c r="B9" s="13" t="n">
        <v>92100</v>
      </c>
      <c r="C9" s="13" t="n">
        <v>86918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21000</v>
      </c>
    </row>
    <row r="17">
      <c r="A17" t="inlineStr">
        <is>
          <t>Raised, year to date</t>
        </is>
      </c>
      <c r="B17" s="13" t="n">
        <v>179018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18600</v>
      </c>
    </row>
    <row r="20">
      <c r="A20" t="inlineStr">
        <is>
          <t>Raised, same period last year</t>
        </is>
      </c>
      <c r="B20" s="13" t="n">
        <v>150107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4" t="inlineStr">
        <is>
          <t>Cost to raise a dollar, by source, August 2026</t>
        </is>
      </c>
    </row>
    <row r="25">
      <c r="A25" s="12" t="inlineStr">
        <is>
          <t>Fundraising cost ÷ money raised, for each source, in cents</t>
        </is>
      </c>
    </row>
    <row r="26">
      <c r="A26" s="5" t="inlineStr"/>
      <c r="B26" s="6" t="inlineStr">
        <is>
          <t>Aug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73700</v>
      </c>
    </row>
    <row r="29">
      <c r="A29" t="inlineStr">
        <is>
          <t>Donations: cost (donor campaigns)</t>
        </is>
      </c>
      <c r="B29" s="13" t="n">
        <v>2200</v>
      </c>
    </row>
    <row r="30">
      <c r="A30" t="inlineStr">
        <is>
          <t>Donations: raised</t>
        </is>
      </c>
      <c r="B30" s="13" t="n">
        <v>18400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 xml:space="preserve">Nothing raised from fundraising events in August. </t>
        </is>
      </c>
    </row>
    <row r="34"/>
    <row r="35"/>
    <row r="36">
      <c r="A36" s="4" t="inlineStr">
        <is>
          <t>Cost to raise a dollar, grants, August and July</t>
        </is>
      </c>
    </row>
    <row r="37">
      <c r="A37" s="12" t="inlineStr">
        <is>
          <t>Cost of raising it ÷ money raised, in cents</t>
        </is>
      </c>
    </row>
    <row r="38">
      <c r="A38" s="5" t="inlineStr"/>
      <c r="B38" s="6" t="inlineStr">
        <is>
          <t>Aug 26</t>
        </is>
      </c>
      <c r="C38" s="6" t="inlineStr">
        <is>
          <t>Jul 26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73700</v>
      </c>
      <c r="C40" s="13" t="n">
        <v>72618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4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5" t="inlineStr"/>
      <c r="B46" s="6" t="inlineStr">
        <is>
          <t>Year to date</t>
        </is>
      </c>
    </row>
    <row r="47">
      <c r="A47" t="inlineStr">
        <is>
          <t>Cost, year to date</t>
        </is>
      </c>
      <c r="B47" s="13" t="n">
        <v>14200</v>
      </c>
    </row>
    <row r="48">
      <c r="A48" t="inlineStr">
        <is>
          <t>Raised, year to date</t>
        </is>
      </c>
      <c r="B48" s="13" t="n">
        <v>146318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14200</v>
      </c>
    </row>
    <row r="51">
      <c r="A51" t="inlineStr">
        <is>
          <t>Raised, same period last year</t>
        </is>
      </c>
      <c r="B51" s="13" t="n">
        <v>120607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4" t="inlineStr">
        <is>
          <t>Cost to raise a dollar, donations, August and July</t>
        </is>
      </c>
    </row>
    <row r="56">
      <c r="A56" s="12" t="inlineStr">
        <is>
          <t>Cost of raising it ÷ money raised, in cents</t>
        </is>
      </c>
    </row>
    <row r="57">
      <c r="A57" s="5" t="inlineStr"/>
      <c r="B57" s="6" t="inlineStr">
        <is>
          <t>Aug 26</t>
        </is>
      </c>
      <c r="C57" s="6" t="inlineStr">
        <is>
          <t>Jul 26</t>
        </is>
      </c>
    </row>
    <row r="58">
      <c r="A58" t="inlineStr">
        <is>
          <t>Cost of raising it</t>
        </is>
      </c>
      <c r="B58" s="13" t="n">
        <v>2200</v>
      </c>
      <c r="C58" s="13" t="n">
        <v>2200</v>
      </c>
    </row>
    <row r="59">
      <c r="A59" t="inlineStr">
        <is>
          <t>Money raised</t>
        </is>
      </c>
      <c r="B59" s="13" t="n">
        <v>18400</v>
      </c>
      <c r="C59" s="13" t="n">
        <v>14300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4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5" t="inlineStr"/>
      <c r="B65" s="6" t="inlineStr">
        <is>
          <t>Year to date</t>
        </is>
      </c>
    </row>
    <row r="66">
      <c r="A66" t="inlineStr">
        <is>
          <t>Cost, year to date</t>
        </is>
      </c>
      <c r="B66" s="13" t="n">
        <v>4400</v>
      </c>
    </row>
    <row r="67">
      <c r="A67" t="inlineStr">
        <is>
          <t>Raised, year to date</t>
        </is>
      </c>
      <c r="B67" s="13" t="n">
        <v>32700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4400</v>
      </c>
    </row>
    <row r="70">
      <c r="A70" t="inlineStr">
        <is>
          <t>Raised, same period last year</t>
        </is>
      </c>
      <c r="B70" s="13" t="n">
        <v>29500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4" t="inlineStr">
        <is>
          <t>Cost to raise a dollar, fundraising events, August and July</t>
        </is>
      </c>
    </row>
    <row r="75">
      <c r="A75" s="12" t="inlineStr">
        <is>
          <t>Cost of raising it ÷ money raised, in cents</t>
        </is>
      </c>
    </row>
    <row r="76">
      <c r="A76" s="5" t="inlineStr"/>
      <c r="B76" s="6" t="inlineStr">
        <is>
          <t>Aug 26</t>
        </is>
      </c>
      <c r="C76" s="6" t="inlineStr">
        <is>
          <t>Jul 26</t>
        </is>
      </c>
    </row>
    <row r="77">
      <c r="A77" t="inlineStr">
        <is>
          <t>Cost of raising it</t>
        </is>
      </c>
      <c r="B77" s="13" t="n">
        <v>2400</v>
      </c>
      <c r="C77" s="13" t="n">
        <v>0</v>
      </c>
    </row>
    <row r="78">
      <c r="A78" s="14" t="inlineStr">
        <is>
          <t>Money raised</t>
        </is>
      </c>
      <c r="B78" s="17" t="n">
        <v>0</v>
      </c>
      <c r="C78" s="17" t="n">
        <v>0</v>
      </c>
    </row>
    <row r="79">
      <c r="A79" s="2" t="inlineStr">
        <is>
          <t>Nothing raised in one of the months, so there's no cost per dollar for it.</t>
        </is>
      </c>
    </row>
    <row r="80"/>
    <row r="81"/>
    <row r="82">
      <c r="A82" s="4" t="inlineStr">
        <is>
          <t>Cost to raise a dollar, fundraising events, year to date against the same period last year</t>
        </is>
      </c>
    </row>
    <row r="83">
      <c r="A83" s="12" t="inlineStr">
        <is>
          <t>Cost ÷ money raised, in cents</t>
        </is>
      </c>
    </row>
    <row r="84">
      <c r="A84" s="5" t="inlineStr"/>
      <c r="B84" s="6" t="inlineStr">
        <is>
          <t>Year to date</t>
        </is>
      </c>
    </row>
    <row r="85">
      <c r="A85" t="inlineStr">
        <is>
          <t>Cost, year to date</t>
        </is>
      </c>
      <c r="B85" s="13" t="n">
        <v>2400</v>
      </c>
    </row>
    <row r="86">
      <c r="A86" t="inlineStr">
        <is>
          <t>Raised, year to date</t>
        </is>
      </c>
      <c r="B86" s="13" t="n">
        <v>0</v>
      </c>
    </row>
    <row r="87">
      <c r="A87" t="inlineStr">
        <is>
          <t>Cents, year to date</t>
        </is>
      </c>
      <c r="B87" s="16">
        <f>IFERROR(B85/B86*100,"–")</f>
        <v/>
      </c>
    </row>
    <row r="88">
      <c r="A88" t="inlineStr">
        <is>
          <t>Cost, same period last year</t>
        </is>
      </c>
      <c r="B88" s="13" t="n">
        <v>0</v>
      </c>
    </row>
    <row r="89">
      <c r="A89" s="14" t="inlineStr">
        <is>
          <t>Raised, same period last year</t>
        </is>
      </c>
      <c r="B89" s="17" t="n">
        <v>0</v>
      </c>
    </row>
    <row r="90"/>
    <row r="91"/>
    <row r="92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7100</v>
      </c>
      <c r="D28" s="13" t="n">
        <v>2200</v>
      </c>
      <c r="E28" s="13" t="n">
        <v>2400</v>
      </c>
      <c r="F28" s="13" t="n">
        <v>73700</v>
      </c>
      <c r="G28" s="13" t="n">
        <v>18400</v>
      </c>
      <c r="H28" s="13" t="n">
        <v>0</v>
      </c>
      <c r="I28" s="16">
        <f>IF(SUM(F28:H28)=0,"",SUM(C28:E28)/SUM(F28:H28)*100)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