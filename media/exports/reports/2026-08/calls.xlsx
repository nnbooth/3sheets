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August">'Report'!$B$8</definedName>
    <definedName name="Answered_while_staffed_August">'Report'!$B$9</definedName>
    <definedName name="Calls_outside_staffed_hours_August">'Report'!$B$10</definedName>
    <definedName name="Median_wait_when_answered_August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8" headerRowCount="1">
  <autoFilter ref="A5:F28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August</t>
        </is>
      </c>
      <c r="B8" s="6">
        <f>Workings!B12</f>
        <v/>
      </c>
      <c r="C8" s="7" t="inlineStr">
        <is>
          <t>July 953</t>
        </is>
      </c>
    </row>
    <row r="9">
      <c r="A9" t="inlineStr">
        <is>
          <t>Answered while staffed, August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August</t>
        </is>
      </c>
      <c r="B10" s="6">
        <f>Workings!B32</f>
        <v/>
      </c>
      <c r="C10" s="7" t="inlineStr">
        <is>
          <t>521 calls to voicemail</t>
        </is>
      </c>
    </row>
    <row r="11">
      <c r="A11" t="inlineStr">
        <is>
          <t>Median wait when answered, August</t>
        </is>
      </c>
      <c r="B11" s="8">
        <f>Workings!B39</f>
        <v/>
      </c>
      <c r="C11" s="7" t="inlineStr">
        <is>
          <t>327 answered calls</t>
        </is>
      </c>
    </row>
    <row r="12"/>
    <row r="13">
      <c r="A13" s="9" t="inlineStr">
        <is>
          <t>When the calls come in, August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942 calls for help came in during August. While the line was staffed, 77.7% were answered (target 90.0%); 55.3% of all calls came outside staffed hours and went to voicemail. The busiest time was 5 to 8pm (192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192 calls came between 5 and 8pm, when no-one is on the line. 94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12" t="inlineStr">
        <is>
          <t>Calls for help, August and July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Calls</t>
        </is>
      </c>
      <c r="B8" s="13" t="n">
        <v>942</v>
      </c>
      <c r="C8" s="13" t="n">
        <v>953</v>
      </c>
    </row>
    <row r="9">
      <c r="A9" t="inlineStr">
        <is>
          <t>Calls while staffed</t>
        </is>
      </c>
      <c r="B9" s="13" t="n">
        <v>421</v>
      </c>
      <c r="C9" s="13" t="n">
        <v>486</v>
      </c>
    </row>
    <row r="10">
      <c r="A10" t="inlineStr">
        <is>
          <t>Answered</t>
        </is>
      </c>
      <c r="B10" s="13" t="n">
        <v>327</v>
      </c>
      <c r="C10" s="13" t="n">
        <v>384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August and July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Aug 26</t>
        </is>
      </c>
      <c r="C17" s="5" t="inlineStr">
        <is>
          <t>Jul 26</t>
        </is>
      </c>
    </row>
    <row r="18">
      <c r="A18" t="inlineStr">
        <is>
          <t>Calls</t>
        </is>
      </c>
      <c r="B18" s="13" t="n">
        <v>942</v>
      </c>
      <c r="C18" s="13" t="n">
        <v>953</v>
      </c>
    </row>
    <row r="19">
      <c r="A19" t="inlineStr">
        <is>
          <t>Calls while staffed</t>
        </is>
      </c>
      <c r="B19" s="13" t="n">
        <v>421</v>
      </c>
      <c r="C19" s="13" t="n">
        <v>486</v>
      </c>
    </row>
    <row r="20">
      <c r="A20" t="inlineStr">
        <is>
          <t>Answered</t>
        </is>
      </c>
      <c r="B20" s="13" t="n">
        <v>327</v>
      </c>
      <c r="C20" s="13" t="n">
        <v>384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August and July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Aug 26</t>
        </is>
      </c>
      <c r="C27" s="5" t="inlineStr">
        <is>
          <t>Jul 26</t>
        </is>
      </c>
    </row>
    <row r="28">
      <c r="A28" t="inlineStr">
        <is>
          <t>Calls</t>
        </is>
      </c>
      <c r="B28" s="13" t="n">
        <v>942</v>
      </c>
      <c r="C28" s="13" t="n">
        <v>953</v>
      </c>
    </row>
    <row r="29">
      <c r="A29" t="inlineStr">
        <is>
          <t>Calls while staffed</t>
        </is>
      </c>
      <c r="B29" s="13" t="n">
        <v>421</v>
      </c>
      <c r="C29" s="13" t="n">
        <v>486</v>
      </c>
    </row>
    <row r="30">
      <c r="A30" t="inlineStr">
        <is>
          <t>Answered</t>
        </is>
      </c>
      <c r="B30" s="13" t="n">
        <v>327</v>
      </c>
      <c r="C30" s="13" t="n">
        <v>384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August and July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Aug 26</t>
        </is>
      </c>
      <c r="C37" s="5" t="inlineStr">
        <is>
          <t>Jul 26</t>
        </is>
      </c>
    </row>
    <row r="38">
      <c r="A38" t="inlineStr">
        <is>
          <t>Answered calls (while staffed)</t>
        </is>
      </c>
      <c r="B38" s="13" t="n">
        <v>327</v>
      </c>
      <c r="C38" s="13" t="n">
        <v>384</v>
      </c>
    </row>
    <row r="39">
      <c r="A39" s="15" t="inlineStr">
        <is>
          <t>Median wait (seconds, rounded half up)</t>
        </is>
      </c>
      <c r="B39" s="17" t="n">
        <v>80</v>
      </c>
      <c r="C39" s="17" t="n">
        <v>89</v>
      </c>
    </row>
    <row r="40">
      <c r="A40" s="2" t="inlineStr">
        <is>
          <t xml:space="preserve">August: 327 waits in order; the median is the 164th, 80 seconds. Unanswered calls and calls outside staffed hours have no wait to count. </t>
        </is>
      </c>
    </row>
    <row r="41"/>
    <row r="42"/>
    <row r="43">
      <c r="A43" s="12" t="inlineStr">
        <is>
          <t>Calls before 8:30am, August 2026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Aug 2026</t>
        </is>
      </c>
    </row>
    <row r="46">
      <c r="A46" t="inlineStr">
        <is>
          <t>Calls</t>
        </is>
      </c>
      <c r="B46" s="13" t="n">
        <v>152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August 2026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Aug 2026</t>
        </is>
      </c>
    </row>
    <row r="55">
      <c r="A55" t="inlineStr">
        <is>
          <t>Calls</t>
        </is>
      </c>
      <c r="B55" s="13" t="n">
        <v>127</v>
      </c>
    </row>
    <row r="56">
      <c r="A56" t="inlineStr">
        <is>
          <t>Answered</t>
        </is>
      </c>
      <c r="B56" s="13" t="n">
        <v>83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August 2026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Aug 2026</t>
        </is>
      </c>
    </row>
    <row r="64">
      <c r="A64" t="inlineStr">
        <is>
          <t>Calls</t>
        </is>
      </c>
      <c r="B64" s="13" t="n">
        <v>126</v>
      </c>
    </row>
    <row r="65">
      <c r="A65" t="inlineStr">
        <is>
          <t>Answered</t>
        </is>
      </c>
      <c r="B65" s="13" t="n">
        <v>80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August 2026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Aug 2026</t>
        </is>
      </c>
    </row>
    <row r="73">
      <c r="A73" t="inlineStr">
        <is>
          <t>Calls</t>
        </is>
      </c>
      <c r="B73" s="13" t="n">
        <v>113</v>
      </c>
    </row>
    <row r="74">
      <c r="A74" t="inlineStr">
        <is>
          <t>Answered</t>
        </is>
      </c>
      <c r="B74" s="13" t="n">
        <v>71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August 2026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Aug 2026</t>
        </is>
      </c>
    </row>
    <row r="82">
      <c r="A82" t="inlineStr">
        <is>
          <t>Calls</t>
        </is>
      </c>
      <c r="B82" s="13" t="n">
        <v>138</v>
      </c>
    </row>
    <row r="83">
      <c r="A83" t="inlineStr">
        <is>
          <t>Answered</t>
        </is>
      </c>
      <c r="B83" s="13" t="n">
        <v>93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August 2026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Aug 2026</t>
        </is>
      </c>
    </row>
    <row r="91">
      <c r="A91" t="inlineStr">
        <is>
          <t>Calls</t>
        </is>
      </c>
      <c r="B91" s="13" t="n">
        <v>192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August 2026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Aug 2026</t>
        </is>
      </c>
    </row>
    <row r="100">
      <c r="A100" t="inlineStr">
        <is>
          <t>Calls</t>
        </is>
      </c>
      <c r="B100" s="13" t="n">
        <v>94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953</v>
      </c>
      <c r="D27" s="13" t="n">
        <v>486</v>
      </c>
      <c r="E27" s="13" t="n">
        <v>384</v>
      </c>
      <c r="F27" s="14">
        <f>IF(D27=0,"",E27/D27)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942</v>
      </c>
      <c r="D28" s="13" t="n">
        <v>421</v>
      </c>
      <c r="E28" s="13" t="n">
        <v>327</v>
      </c>
      <c r="F28" s="14">
        <f>IF(D28=0,"",E28/D28)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2026-10-08T22:42:18Z</dcterms:created>
  <dcterms:modified xmlns:dcterms="http://purl.org/dc/terms/" xmlns:xsi="http://www.w3.org/2001/XMLSchema-instance" xsi:type="dcterms:W3CDTF">2026-10-08T22:42:18Z</dcterms:modified>
</cp:coreProperties>
</file>