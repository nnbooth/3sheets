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'Report'!$A$1:$D$73</definedName>
    <definedName name="_xlnm.Print_Area" localSheetId="1">'Workings'!$A$1:$B$80</definedName>
    <definedName name="_xlnm.Print_Titles" localSheetId="2">'Data'!$9:$9</definedName>
    <definedName name="_xlnm.Print_Area" localSheetId="2">'Data'!$A$1:$F$15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August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'Report'!$A$10:$A$15</f>
            </numRef>
          </cat>
          <val>
            <numRef>
              <f>'Report'!$B$10:$B$15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5" headerRowCount="1">
  <autoFilter ref="A9:F15"/>
  <tableColumns count="6">
    <tableColumn id="1" name="Program"/>
    <tableColumn id="2" name="Grant spending, Aug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8:41am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August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Mental health first aid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</t>
        </is>
      </c>
      <c r="B14" s="8">
        <f>Workings!B67</f>
        <v/>
      </c>
      <c r="C14" s="9">
        <f>Workings!B62</f>
        <v/>
      </c>
    </row>
    <row r="15">
      <c r="A15" t="inlineStr">
        <is>
          <t>Volunteer coordinator</t>
        </is>
      </c>
      <c r="B15" s="8">
        <f>Workings!B80</f>
        <v/>
      </c>
      <c r="C15" s="9">
        <f>Workings!B75</f>
        <v/>
      </c>
    </row>
    <row r="16"/>
    <row r="17"/>
    <row r="18"/>
    <row r="19"/>
    <row r="20"/>
    <row r="21"/>
    <row r="22"/>
    <row r="23"/>
    <row r="24">
      <c r="A24" s="10" t="inlineStr">
        <is>
          <t>What it shows</t>
        </is>
      </c>
    </row>
    <row r="25" ht="45" customHeight="1">
      <c r="A25" s="3" t="inlineStr">
        <is>
          <t>Housing support is the biggest program: $53,592 in August once its share of untied program costs and administration is added to $30,500 of grant spending. Shared costs add 75.7% on top of grant spending across all programs.</t>
        </is>
      </c>
    </row>
    <row r="26"/>
    <row r="27">
      <c r="A27" s="10" t="inlineStr">
        <is>
          <t>What you'd do about it</t>
        </is>
      </c>
    </row>
    <row r="28" ht="30" customHeight="1">
      <c r="A28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9"/>
    <row r="30">
      <c r="A30" s="4" t="inlineStr">
        <is>
          <t>Program: Housing support</t>
        </is>
      </c>
    </row>
    <row r="31">
      <c r="A31" s="10" t="inlineStr">
        <is>
          <t>What it shows</t>
        </is>
      </c>
    </row>
    <row r="32" ht="45" customHeight="1">
      <c r="A32" s="3" t="inlineStr">
        <is>
          <t>Housing support cost $53,592 in full in August: $30,500 paid by the State Housing Program grant, and $23,092 of shared costs no grant covers. It has spent 94.4% of its budget to date, with $133,500 left and 4 months to go.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The full cost is $53,592 a month; $23,092 of it is shared cost the grant doesn't pay for. Worth asking for as much of it as the funder allows at renewal.</t>
        </is>
      </c>
    </row>
    <row r="36"/>
    <row r="37">
      <c r="A37" s="4" t="inlineStr">
        <is>
          <t>Program: Youth outreach</t>
        </is>
      </c>
    </row>
    <row r="38">
      <c r="A38" s="10" t="inlineStr">
        <is>
          <t>What it shows</t>
        </is>
      </c>
    </row>
    <row r="39" ht="45" customHeight="1">
      <c r="A39" s="3" t="inlineStr">
        <is>
          <t>Youth outreach cost $37,778 in full in August: $21,500 paid by the State Department of Families grant, and $16,278 of shared costs no grant covers. It has spent 101.3% of its budget to date, with $196,500 left and 10 months to go.</t>
        </is>
      </c>
    </row>
    <row r="40"/>
    <row r="41">
      <c r="A41" s="10" t="inlineStr">
        <is>
          <t>What you'd do about it</t>
        </is>
      </c>
    </row>
    <row r="42" ht="30" customHeight="1">
      <c r="A42" s="3" t="inlineStr">
        <is>
          <t>The full cost is $37,778 a month; $16,278 of it is shared cost the grant doesn't pay for. Worth asking for as much of it as the funder allows at renewal.</t>
        </is>
      </c>
    </row>
    <row r="43"/>
    <row r="44">
      <c r="A44" s="4" t="inlineStr">
        <is>
          <t>Program: Mental health first aid</t>
        </is>
      </c>
    </row>
    <row r="45">
      <c r="A45" s="10" t="inlineStr">
        <is>
          <t>What it shows</t>
        </is>
      </c>
    </row>
    <row r="46" ht="45" customHeight="1">
      <c r="A46" s="3" t="inlineStr">
        <is>
          <t>Mental health first aid cost $16,517 in full in August: $9,400 paid by the Federal health program grant, and $7,117 of shared costs no grant covers. It has spent 92.8% of its budget to date, with $73,600 left and 7 months to go.</t>
        </is>
      </c>
    </row>
    <row r="47"/>
    <row r="48">
      <c r="A48" s="10" t="inlineStr">
        <is>
          <t>What you'd do about it</t>
        </is>
      </c>
    </row>
    <row r="49" ht="30" customHeight="1">
      <c r="A49" s="3" t="inlineStr">
        <is>
          <t>The full cost is $16,517 a month; $7,117 of it is shared cost the grant doesn't pay for. Worth asking for as much of it as the funder allows at renewal.</t>
        </is>
      </c>
    </row>
    <row r="50"/>
    <row r="51">
      <c r="A51" s="4" t="inlineStr">
        <is>
          <t>Program: Digital literacy</t>
        </is>
      </c>
    </row>
    <row r="52">
      <c r="A52" s="10" t="inlineStr">
        <is>
          <t>What it shows</t>
        </is>
      </c>
    </row>
    <row r="53" ht="45" customHeight="1">
      <c r="A53" s="3" t="inlineStr">
        <is>
          <t>Digital literacy cost $9,137 in full in August: $5,200 paid by the Philanthropic foundation grant, and $3,937 of shared costs no grant covers. It has spent 99.5% of its budget to date, with $35,300 left and 7 months to go.</t>
        </is>
      </c>
    </row>
    <row r="54"/>
    <row r="55">
      <c r="A55" s="10" t="inlineStr">
        <is>
          <t>What you'd do about it</t>
        </is>
      </c>
    </row>
    <row r="56" ht="30" customHeight="1">
      <c r="A56" s="3" t="inlineStr">
        <is>
          <t>The full cost is $9,137 a month; $3,937 of it is shared cost the grant doesn't pay for. Worth asking for as much of it as the funder allows at renewal.</t>
        </is>
      </c>
    </row>
    <row r="57"/>
    <row r="58">
      <c r="A58" s="4" t="inlineStr">
        <is>
          <t>Program: Community meals</t>
        </is>
      </c>
    </row>
    <row r="59">
      <c r="A59" s="10" t="inlineStr">
        <is>
          <t>What it shows</t>
        </is>
      </c>
    </row>
    <row r="60" ht="45" customHeight="1">
      <c r="A60" s="3" t="inlineStr">
        <is>
          <t>Community meals cost $7,204 in full in August: $4,100 paid by the Local council community grant grant, and $3,104 of shared costs no grant covers. It has spent 96.3% of its budget to date, with $40,300 left and 10 months to go.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The full cost is $7,204 a month; $3,104 of it is shared cost the grant doesn't pay for. Worth asking for as much of it as the funder allows at renewal.</t>
        </is>
      </c>
    </row>
    <row r="64"/>
    <row r="65">
      <c r="A65" s="4" t="inlineStr">
        <is>
          <t>Program: Volunteer coordinator</t>
        </is>
      </c>
    </row>
    <row r="66">
      <c r="A66" s="10" t="inlineStr">
        <is>
          <t>What it shows</t>
        </is>
      </c>
    </row>
    <row r="67" ht="45" customHeight="1">
      <c r="A67" s="3" t="inlineStr">
        <is>
          <t>Volunteer coordinator cost $5,271 in full in August: $3,000 paid by the State volunteering grant grant, and $2,271 of shared costs no grant covers. It has spent 100.0% of its budget to date, with $18,000 left and 6 months to go.</t>
        </is>
      </c>
    </row>
    <row r="68"/>
    <row r="69">
      <c r="A69" s="10" t="inlineStr">
        <is>
          <t>What you'd do about it</t>
        </is>
      </c>
    </row>
    <row r="70" ht="30" customHeight="1">
      <c r="A70" s="3" t="inlineStr">
        <is>
          <t>The full cost is $5,271 a month; $2,271 of it is shared cost the grant doesn't pay for. Worth asking for as much of it as the funder allows at renewal.</t>
        </is>
      </c>
    </row>
    <row r="71"/>
    <row r="72">
      <c r="A72" s="4" t="inlineStr">
        <is>
          <t>Every program at once</t>
        </is>
      </c>
    </row>
    <row r="73">
      <c r="A73" s="11" t="inlineStr">
        <is>
          <t>Grant spending, by month: every month is on the Data sheet.</t>
        </is>
      </c>
    </row>
    <row r="74"/>
    <row r="75"/>
  </sheetData>
  <mergeCells count="15">
    <mergeCell ref="A5:D5"/>
    <mergeCell ref="A56:D56"/>
    <mergeCell ref="A67:D67"/>
    <mergeCell ref="A70:D70"/>
    <mergeCell ref="A42:D42"/>
    <mergeCell ref="A53:D53"/>
    <mergeCell ref="A60:D60"/>
    <mergeCell ref="A35:D35"/>
    <mergeCell ref="A63:D63"/>
    <mergeCell ref="A39:D39"/>
    <mergeCell ref="A25:D25"/>
    <mergeCell ref="A49:D49"/>
    <mergeCell ref="A28:D28"/>
    <mergeCell ref="A46:D46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3" min="0" max="16383" man="1"/>
    <brk id="44" min="0" max="16383" man="1"/>
    <brk id="6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8:41am</t>
        </is>
      </c>
    </row>
    <row r="4"/>
    <row r="5">
      <c r="A5" s="4" t="inlineStr">
        <is>
          <t>Housing support: full cost, August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Aug 2026</t>
        </is>
      </c>
    </row>
    <row r="8">
      <c r="A8" t="inlineStr">
        <is>
          <t>Grant spending on the program</t>
        </is>
      </c>
      <c r="B8" s="12" t="n">
        <v>30500</v>
      </c>
    </row>
    <row r="9">
      <c r="A9" t="inlineStr">
        <is>
          <t>All grant-funded program spending</t>
        </is>
      </c>
      <c r="B9" s="12" t="n">
        <v>73700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19500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36300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August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Aug 2026</t>
        </is>
      </c>
    </row>
    <row r="21">
      <c r="A21" t="inlineStr">
        <is>
          <t>Grant spending on the program</t>
        </is>
      </c>
      <c r="B21" s="12" t="n">
        <v>21500</v>
      </c>
    </row>
    <row r="22">
      <c r="A22" t="inlineStr">
        <is>
          <t>All grant-funded program spending</t>
        </is>
      </c>
      <c r="B22" s="12" t="n">
        <v>73700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19500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36300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Mental health first aid: full cost, August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Aug 2026</t>
        </is>
      </c>
    </row>
    <row r="34">
      <c r="A34" t="inlineStr">
        <is>
          <t>Grant spending on the program</t>
        </is>
      </c>
      <c r="B34" s="12" t="n">
        <v>9400</v>
      </c>
    </row>
    <row r="35">
      <c r="A35" t="inlineStr">
        <is>
          <t>All grant-funded program spending</t>
        </is>
      </c>
      <c r="B35" s="12" t="n">
        <v>73700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19500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36300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August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Aug 2026</t>
        </is>
      </c>
    </row>
    <row r="47">
      <c r="A47" t="inlineStr">
        <is>
          <t>Grant spending on the program</t>
        </is>
      </c>
      <c r="B47" s="12" t="n">
        <v>5200</v>
      </c>
    </row>
    <row r="48">
      <c r="A48" t="inlineStr">
        <is>
          <t>All grant-funded program spending</t>
        </is>
      </c>
      <c r="B48" s="12" t="n">
        <v>73700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19500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36300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meals: full cost, August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Aug 2026</t>
        </is>
      </c>
    </row>
    <row r="60">
      <c r="A60" t="inlineStr">
        <is>
          <t>Grant spending on the program</t>
        </is>
      </c>
      <c r="B60" s="12" t="n">
        <v>4100</v>
      </c>
    </row>
    <row r="61">
      <c r="A61" t="inlineStr">
        <is>
          <t>All grant-funded program spending</t>
        </is>
      </c>
      <c r="B61" s="12" t="n">
        <v>73700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19500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36300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>
      <c r="A70" s="4" t="inlineStr">
        <is>
          <t>Volunteer coordinator: full cost, August</t>
        </is>
      </c>
    </row>
    <row r="71">
      <c r="A71" s="11" t="inlineStr">
        <is>
          <t>Grant spending + its share of untied program costs and administration (shared by grant spending)</t>
        </is>
      </c>
    </row>
    <row r="72">
      <c r="A72" s="6" t="inlineStr"/>
      <c r="B72" s="7" t="inlineStr">
        <is>
          <t>Aug 2026</t>
        </is>
      </c>
    </row>
    <row r="73">
      <c r="A73" t="inlineStr">
        <is>
          <t>Grant spending on the program</t>
        </is>
      </c>
      <c r="B73" s="12" t="n">
        <v>3000</v>
      </c>
    </row>
    <row r="74">
      <c r="A74" t="inlineStr">
        <is>
          <t>All grant-funded program spending</t>
        </is>
      </c>
      <c r="B74" s="12" t="n">
        <v>73700</v>
      </c>
    </row>
    <row r="75">
      <c r="A75" t="inlineStr">
        <is>
          <t>Share of program spending</t>
        </is>
      </c>
      <c r="B75" s="13">
        <f>B73/B74</f>
        <v/>
      </c>
    </row>
    <row r="76">
      <c r="A76" t="inlineStr">
        <is>
          <t>Untied program costs (all programs)</t>
        </is>
      </c>
      <c r="B76" s="12" t="n">
        <v>19500</v>
      </c>
    </row>
    <row r="77">
      <c r="A77" t="inlineStr">
        <is>
          <t>Share of untied program costs</t>
        </is>
      </c>
      <c r="B77" s="12">
        <f>B75*B76</f>
        <v/>
      </c>
    </row>
    <row r="78">
      <c r="A78" t="inlineStr">
        <is>
          <t>Administration (all)</t>
        </is>
      </c>
      <c r="B78" s="12" t="n">
        <v>36300</v>
      </c>
    </row>
    <row r="79">
      <c r="A79" t="inlineStr">
        <is>
          <t>Share of administration</t>
        </is>
      </c>
      <c r="B79" s="12">
        <f>B75*B78</f>
        <v/>
      </c>
    </row>
    <row r="80">
      <c r="A80" s="14" t="inlineStr">
        <is>
          <t>Full cost of the program</t>
        </is>
      </c>
      <c r="B80" s="15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8:41am</t>
        </is>
      </c>
    </row>
    <row r="4"/>
    <row r="5">
      <c r="A5" t="inlineStr">
        <is>
          <t>All grant-funded program spending, August 2026</t>
        </is>
      </c>
      <c r="B5" s="8" t="n">
        <v>73700</v>
      </c>
    </row>
    <row r="6">
      <c r="A6" t="inlineStr">
        <is>
          <t>Untied program costs, August 2026 (all programs)</t>
        </is>
      </c>
      <c r="B6" s="8" t="n">
        <v>19500</v>
      </c>
    </row>
    <row r="7">
      <c r="A7" t="inlineStr">
        <is>
          <t>Administration, August 2026 (all)</t>
        </is>
      </c>
      <c r="B7" s="8" t="n">
        <v>36300</v>
      </c>
    </row>
    <row r="8"/>
    <row r="9">
      <c r="A9" s="6" t="inlineStr">
        <is>
          <t>Program</t>
        </is>
      </c>
      <c r="B9" s="7" t="inlineStr">
        <is>
          <t>Grant spending, Aug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30500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21500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Mental health first aid</t>
        </is>
      </c>
      <c r="B12" s="12" t="n">
        <v>9400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5200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</t>
        </is>
      </c>
      <c r="B14" s="12" t="n">
        <v>4100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  <row r="15">
      <c r="A15" s="16" t="inlineStr">
        <is>
          <t>Volunteer coordinator</t>
        </is>
      </c>
      <c r="B15" s="12" t="n">
        <v>3000</v>
      </c>
      <c r="C15" s="13">
        <f>B15/$B$5</f>
        <v/>
      </c>
      <c r="D15" s="12">
        <f>C15*$B$6</f>
        <v/>
      </c>
      <c r="E15" s="12">
        <f>C15*$B$7</f>
        <v/>
      </c>
      <c r="F15" s="12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2026-10-08T22:42:14Z</dcterms:created>
  <dcterms:modified xmlns:dcterms="http://purl.org/dc/terms/" xmlns:xsi="http://www.w3.org/2001/XMLSchema-instance" xsi:type="dcterms:W3CDTF">2026-10-08T22:42:14Z</dcterms:modified>
</cp:coreProperties>
</file>