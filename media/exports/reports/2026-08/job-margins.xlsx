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0">
    <font>
      <name val="Calibri"/>
      <family val="2"/>
      <color theme="1"/>
      <sz val="11"/>
      <scheme val="minor"/>
    </font>
    <font>
      <b val="1"/>
      <color rgb="0025342A"/>
      <sz val="14"/>
    </font>
    <font>
      <i val="1"/>
      <color rgb="005F6F63"/>
      <sz val="9"/>
    </font>
    <font>
      <b val="1"/>
      <color rgb="002F7A5D"/>
    </font>
    <font>
      <b val="1"/>
      <color rgb="002F7A5D"/>
      <sz val="12"/>
    </font>
    <font>
      <i val="1"/>
      <color rgb="005F6F63"/>
    </font>
    <font>
      <b val="1"/>
      <color rgb="00FFFFFF"/>
    </font>
    <font>
      <b val="1"/>
    </font>
    <font>
      <color rgb="005F6F63"/>
    </font>
    <font>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8" fillId="0" borderId="0" pivotButton="0" quotePrefix="0" xfId="0"/>
    <xf numFmtId="0" fontId="9"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96"/>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ht="32" customHeight="1">
      <c r="A5" s="3" t="inlineStr">
        <is>
          <t>Every job's gross margin: revenue less materials, subcontractors and technician time at $68 an hour (fully loaded: wages and all on-costs). Before overheads, so this is not profit.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45" customHeight="1">
      <c r="A11" s="3" t="inlineStr">
        <is>
          <t>August's jobs made $73,637 gross margin (41.1%). Technician time not charged to jobs took $10,060 and overheads $59,500, leaving $4,077 profit before tax (2.3% of revenue). To cover overheads, jobs need a 38.9%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August · All jobs</t>
        </is>
      </c>
      <c r="B15" s="8">
        <f>Workings!B28</f>
        <v/>
      </c>
      <c r="C15" s="9" t="inlineStr">
        <is>
          <t>July 36.8%</t>
        </is>
      </c>
    </row>
    <row r="16"/>
    <row r="17">
      <c r="A17" s="10" t="inlineStr">
        <is>
          <t>Job gross margin by type of job, August 2026</t>
        </is>
      </c>
    </row>
    <row r="18">
      <c r="A18" s="6" t="inlineStr"/>
      <c r="B18" s="7" t="inlineStr">
        <is>
          <t>Gross margin %</t>
        </is>
      </c>
      <c r="C18" s="7" t="inlineStr">
        <is>
          <t>Gross margin $</t>
        </is>
      </c>
    </row>
    <row r="19">
      <c r="A19" t="inlineStr">
        <is>
          <t>Maintenance contracts</t>
        </is>
      </c>
      <c r="B19" s="8">
        <f>Workings!B37</f>
        <v/>
      </c>
      <c r="C19" s="11">
        <f>Workings!B36</f>
        <v/>
      </c>
    </row>
    <row r="20">
      <c r="A20" t="inlineStr">
        <is>
          <t>Installations</t>
        </is>
      </c>
      <c r="B20" s="8">
        <f>Workings!B46</f>
        <v/>
      </c>
      <c r="C20" s="11">
        <f>Workings!B45</f>
        <v/>
      </c>
    </row>
    <row r="21">
      <c r="A21" t="inlineStr">
        <is>
          <t>Call-outs and repairs</t>
        </is>
      </c>
      <c r="B21" s="8">
        <f>Workings!B55</f>
        <v/>
      </c>
      <c r="C21" s="11">
        <f>Workings!B54</f>
        <v/>
      </c>
    </row>
    <row r="22"/>
    <row r="23">
      <c r="A23" s="4" t="inlineStr">
        <is>
          <t>What it shows</t>
        </is>
      </c>
    </row>
    <row r="24" ht="45" customHeight="1">
      <c r="A24" s="3" t="inlineStr">
        <is>
          <t>In August maintenance contracts made a 59.5% job gross margin, installations made a 33.6% job gross margin, call-outs and repairs made a 43.7% job gross margin (technician time at $68 an hour, wages and all on-costs). Jobs need 38.9% just to cover overheads.</t>
        </is>
      </c>
    </row>
    <row r="25"/>
    <row r="26">
      <c r="A26" s="4" t="inlineStr">
        <is>
          <t>What you'd do about it</t>
        </is>
      </c>
    </row>
    <row r="27" ht="30" customHeight="1">
      <c r="A27" s="3" t="inlineStr">
        <is>
          <t>Maintenance contracts: 59.5% gross margin, the most profitable work you do. Installations: 33.6% gross margin, below the 38.9% needed to cover overheads.</t>
        </is>
      </c>
    </row>
    <row r="28"/>
    <row r="29">
      <c r="A29" s="5" t="inlineStr">
        <is>
          <t>Type of job: Maintenance contracts</t>
        </is>
      </c>
    </row>
    <row r="30">
      <c r="A30" s="6" t="inlineStr">
        <is>
          <t>Headline number</t>
        </is>
      </c>
      <c r="B30" s="7" t="inlineStr">
        <is>
          <t>Value</t>
        </is>
      </c>
      <c r="C30" s="7" t="inlineStr">
        <is>
          <t>Compared with</t>
        </is>
      </c>
    </row>
    <row r="31">
      <c r="A31" t="inlineStr">
        <is>
          <t>Job gross margin, August · Maintenance contracts</t>
        </is>
      </c>
      <c r="B31" s="8">
        <f>Workings!B64</f>
        <v/>
      </c>
      <c r="C31" s="9" t="inlineStr">
        <is>
          <t>July 59.5%</t>
        </is>
      </c>
    </row>
    <row r="32"/>
    <row r="33">
      <c r="A33" s="10" t="inlineStr">
        <is>
          <t>Job gross margin on each maintenance contract, August 2026</t>
        </is>
      </c>
    </row>
    <row r="34">
      <c r="A34" s="6" t="inlineStr"/>
      <c r="B34" s="7" t="inlineStr">
        <is>
          <t>Gross margin %</t>
        </is>
      </c>
      <c r="C34" s="7" t="inlineStr">
        <is>
          <t>Gross margin $</t>
        </is>
      </c>
    </row>
    <row r="35">
      <c r="A35" t="inlineStr">
        <is>
          <t>Carindale vet clinic</t>
        </is>
      </c>
      <c r="B35" s="8">
        <f>Workings!B77</f>
        <v/>
      </c>
      <c r="C35" s="11">
        <f>Workings!B76</f>
        <v/>
      </c>
    </row>
    <row r="36">
      <c r="A36" t="inlineStr">
        <is>
          <t>Wynnum medical centre</t>
        </is>
      </c>
      <c r="B36" s="8">
        <f>Workings!B90</f>
        <v/>
      </c>
      <c r="C36" s="11">
        <f>Workings!B89</f>
        <v/>
      </c>
    </row>
    <row r="37">
      <c r="A37" t="inlineStr">
        <is>
          <t>Southbank cafe group</t>
        </is>
      </c>
      <c r="B37" s="8">
        <f>Workings!B103</f>
        <v/>
      </c>
      <c r="C37" s="11">
        <f>Workings!B102</f>
        <v/>
      </c>
    </row>
    <row r="38">
      <c r="A38" t="inlineStr">
        <is>
          <t>Ashgrove aged care</t>
        </is>
      </c>
      <c r="B38" s="8">
        <f>Workings!B116</f>
        <v/>
      </c>
      <c r="C38" s="11">
        <f>Workings!B115</f>
        <v/>
      </c>
    </row>
    <row r="39">
      <c r="A39" t="inlineStr">
        <is>
          <t>Fortitude Valley hotel</t>
        </is>
      </c>
      <c r="B39" s="8">
        <f>Workings!B129</f>
        <v/>
      </c>
      <c r="C39" s="11">
        <f>Workings!B128</f>
        <v/>
      </c>
    </row>
    <row r="40">
      <c r="A40" t="inlineStr">
        <is>
          <t>Riverside Apartments (strata)</t>
        </is>
      </c>
      <c r="B40" s="8">
        <f>Workings!B142</f>
        <v/>
      </c>
      <c r="C40" s="11">
        <f>Workings!B141</f>
        <v/>
      </c>
    </row>
    <row r="41">
      <c r="A41" t="inlineStr">
        <is>
          <t>Newstead gym</t>
        </is>
      </c>
      <c r="B41" s="8">
        <f>Workings!B155</f>
        <v/>
      </c>
      <c r="C41" s="11">
        <f>Workings!B154</f>
        <v/>
      </c>
    </row>
    <row r="42">
      <c r="A42" t="inlineStr">
        <is>
          <t>Chermside retail centre</t>
        </is>
      </c>
      <c r="B42" s="8">
        <f>Workings!B168</f>
        <v/>
      </c>
      <c r="C42" s="11">
        <f>Workings!B167</f>
        <v/>
      </c>
    </row>
    <row r="43">
      <c r="A43" t="inlineStr">
        <is>
          <t>Wacol logistics depot</t>
        </is>
      </c>
      <c r="B43" s="8">
        <f>Workings!B181</f>
        <v/>
      </c>
      <c r="C43" s="11">
        <f>Workings!B180</f>
        <v/>
      </c>
    </row>
    <row r="44">
      <c r="A44" t="inlineStr">
        <is>
          <t>Milton office tower</t>
        </is>
      </c>
      <c r="B44" s="8">
        <f>Workings!B194</f>
        <v/>
      </c>
      <c r="C44" s="11">
        <f>Workings!B193</f>
        <v/>
      </c>
    </row>
    <row r="45">
      <c r="A45" t="inlineStr">
        <is>
          <t>Bulimba school</t>
        </is>
      </c>
      <c r="B45" s="8">
        <f>Workings!B207</f>
        <v/>
      </c>
      <c r="C45" s="11">
        <f>Workings!B206</f>
        <v/>
      </c>
    </row>
    <row r="46">
      <c r="A46" t="inlineStr">
        <is>
          <t>West End brewery</t>
        </is>
      </c>
      <c r="B46" s="8">
        <f>Workings!B220</f>
        <v/>
      </c>
      <c r="C46" s="11">
        <f>Workings!B219</f>
        <v/>
      </c>
    </row>
    <row r="47">
      <c r="A47" t="inlineStr">
        <is>
          <t>Rocklea factory</t>
        </is>
      </c>
      <c r="B47" s="8">
        <f>Workings!B233</f>
        <v/>
      </c>
      <c r="C47" s="11">
        <f>Workings!B232</f>
        <v/>
      </c>
    </row>
    <row r="48">
      <c r="A48" t="inlineStr">
        <is>
          <t>Kangaroo Point townhouses</t>
        </is>
      </c>
      <c r="B48" s="8">
        <f>Workings!B246</f>
        <v/>
      </c>
      <c r="C48" s="11">
        <f>Workings!B245</f>
        <v/>
      </c>
    </row>
    <row r="49"/>
    <row r="50">
      <c r="A50" s="4" t="inlineStr">
        <is>
          <t>What it shows</t>
        </is>
      </c>
    </row>
    <row r="51" ht="30" customHeight="1">
      <c r="A51" s="3" t="inlineStr">
        <is>
          <t>All 14 contracts made more than the 35.0% job gross margin target. The thinnest was Kangaroo Point townhouses at 58.2% job gross margin: 14.0 h of technician time on a $2,400 monthly fee.</t>
        </is>
      </c>
    </row>
    <row r="52"/>
    <row r="53">
      <c r="A53" s="4" t="inlineStr">
        <is>
          <t>What you'd do about it</t>
        </is>
      </c>
    </row>
    <row r="54" ht="30" customHeight="1">
      <c r="A54" s="3" t="inlineStr">
        <is>
          <t>The Kangaroo Point townhouses contract: 58.2% gross margin, 19.4 points clear of the 38.9% overheads need. Maintenance contracts overall: 59.5% gross margin.</t>
        </is>
      </c>
    </row>
    <row r="55"/>
    <row r="56">
      <c r="A56" s="5" t="inlineStr">
        <is>
          <t>Type of job: Installations</t>
        </is>
      </c>
    </row>
    <row r="57">
      <c r="A57" s="6" t="inlineStr">
        <is>
          <t>Headline number</t>
        </is>
      </c>
      <c r="B57" s="7" t="inlineStr">
        <is>
          <t>Value</t>
        </is>
      </c>
      <c r="C57" s="7" t="inlineStr">
        <is>
          <t>Compared with</t>
        </is>
      </c>
    </row>
    <row r="58">
      <c r="A58" t="inlineStr">
        <is>
          <t>Job gross margin, August · Installations</t>
        </is>
      </c>
      <c r="B58" s="8">
        <f>Workings!B255</f>
        <v/>
      </c>
      <c r="C58" s="9" t="inlineStr">
        <is>
          <t>July 28.3%</t>
        </is>
      </c>
    </row>
    <row r="59"/>
    <row r="60">
      <c r="A60" s="10" t="inlineStr">
        <is>
          <t>Job gross margin on each installation invoiced in August 2026</t>
        </is>
      </c>
    </row>
    <row r="61">
      <c r="A61" s="6" t="inlineStr"/>
      <c r="B61" s="7" t="inlineStr">
        <is>
          <t>Gross margin %</t>
        </is>
      </c>
      <c r="C61" s="7" t="inlineStr">
        <is>
          <t>Gross margin $</t>
        </is>
      </c>
    </row>
    <row r="62">
      <c r="A62" t="inlineStr">
        <is>
          <t>Ashgrove hall LED lighting</t>
        </is>
      </c>
      <c r="B62" s="8">
        <f>Workings!B268</f>
        <v/>
      </c>
      <c r="C62" s="11">
        <f>Workings!B267</f>
        <v/>
      </c>
    </row>
    <row r="63">
      <c r="A63" t="inlineStr">
        <is>
          <t>Valley office cabling</t>
        </is>
      </c>
      <c r="B63" s="8">
        <f>Workings!B281</f>
        <v/>
      </c>
      <c r="C63" s="11">
        <f>Workings!B280</f>
        <v/>
      </c>
    </row>
    <row r="64">
      <c r="A64" t="inlineStr">
        <is>
          <t>Newstead gym air-con</t>
        </is>
      </c>
      <c r="B64" s="8">
        <f>Workings!B294</f>
        <v/>
      </c>
      <c r="C64" s="11">
        <f>Workings!B293</f>
        <v/>
      </c>
    </row>
    <row r="65">
      <c r="A65" t="inlineStr">
        <is>
          <t>Rocklea factory switchboard</t>
        </is>
      </c>
      <c r="B65" s="8">
        <f>Workings!B307</f>
        <v/>
      </c>
      <c r="C65" s="11">
        <f>Workings!B306</f>
        <v/>
      </c>
    </row>
    <row r="66">
      <c r="A66" t="inlineStr">
        <is>
          <t>Wynnum house solar</t>
        </is>
      </c>
      <c r="B66" s="8">
        <f>Workings!B320</f>
        <v/>
      </c>
      <c r="C66" s="11">
        <f>Workings!B319</f>
        <v/>
      </c>
    </row>
    <row r="67"/>
    <row r="68">
      <c r="A68" s="4" t="inlineStr">
        <is>
          <t>What it shows</t>
        </is>
      </c>
    </row>
    <row r="69" ht="60" customHeight="1">
      <c r="A69" s="3" t="inlineStr">
        <is>
          <t>2 of the 5 installation jobs invoiced in August made less than the 35.0% job gross margin target. The Wynnum house solar made a 28.3% job gross margin: 36.0 h of technician time ($2,448) and $2,200 of subcontractors on a $19,600 job. Jobs need 38.9% gross margin just to cover overheads.</t>
        </is>
      </c>
    </row>
    <row r="70"/>
    <row r="71">
      <c r="A71" s="4" t="inlineStr">
        <is>
          <t>What you'd do about it</t>
        </is>
      </c>
    </row>
    <row r="72" ht="45" customHeight="1">
      <c r="A72" s="3" t="inlineStr">
        <is>
          <t>Below the 38.9% overheads need: Valley office cabling (38.3%), Newstead gym air-con (35.2%), Rocklea factory switchboard (30.8%), Wynnum house solar (28.3%). Most profitable: Ashgrove hall LED lighting (39.6%).</t>
        </is>
      </c>
    </row>
    <row r="73"/>
    <row r="74">
      <c r="A74" s="5" t="inlineStr">
        <is>
          <t>Type of job: Call-outs and repairs</t>
        </is>
      </c>
    </row>
    <row r="75">
      <c r="A75" s="6" t="inlineStr">
        <is>
          <t>Headline number</t>
        </is>
      </c>
      <c r="B75" s="7" t="inlineStr">
        <is>
          <t>Value</t>
        </is>
      </c>
      <c r="C75" s="7" t="inlineStr">
        <is>
          <t>Compared with</t>
        </is>
      </c>
    </row>
    <row r="76">
      <c r="A76" t="inlineStr">
        <is>
          <t>Job gross margin, August · Call-outs and repairs</t>
        </is>
      </c>
      <c r="B76" s="8">
        <f>Workings!B329</f>
        <v/>
      </c>
      <c r="C76" s="9" t="inlineStr">
        <is>
          <t>July 43.4%</t>
        </is>
      </c>
    </row>
    <row r="77"/>
    <row r="78">
      <c r="A78" s="10" t="inlineStr">
        <is>
          <t>Job gross margin on call-outs by length, August 2026</t>
        </is>
      </c>
    </row>
    <row r="79">
      <c r="A79" s="6" t="inlineStr"/>
      <c r="B79" s="7" t="inlineStr">
        <is>
          <t>Gross margin %</t>
        </is>
      </c>
      <c r="C79" s="7" t="inlineStr">
        <is>
          <t>Gross margin $</t>
        </is>
      </c>
    </row>
    <row r="80">
      <c r="A80" t="inlineStr">
        <is>
          <t>1-hour call-outs (8)</t>
        </is>
      </c>
      <c r="B80" s="8">
        <f>Workings!B340</f>
        <v/>
      </c>
      <c r="C80" s="11">
        <f>Workings!B339</f>
        <v/>
      </c>
    </row>
    <row r="81">
      <c r="A81" t="inlineStr">
        <is>
          <t>1.5-hour call-outs (7)</t>
        </is>
      </c>
      <c r="B81" s="8">
        <f>Workings!B351</f>
        <v/>
      </c>
      <c r="C81" s="11">
        <f>Workings!B350</f>
        <v/>
      </c>
    </row>
    <row r="82">
      <c r="A82" t="inlineStr">
        <is>
          <t>2-hour call-outs (14)</t>
        </is>
      </c>
      <c r="B82" s="8">
        <f>Workings!B362</f>
        <v/>
      </c>
      <c r="C82" s="11">
        <f>Workings!B361</f>
        <v/>
      </c>
    </row>
    <row r="83">
      <c r="A83" t="inlineStr">
        <is>
          <t>2.5-hour call-outs (7)</t>
        </is>
      </c>
      <c r="B83" s="8">
        <f>Workings!B373</f>
        <v/>
      </c>
      <c r="C83" s="11">
        <f>Workings!B372</f>
        <v/>
      </c>
    </row>
    <row r="84">
      <c r="A84" t="inlineStr">
        <is>
          <t>3-hour call-outs (15)</t>
        </is>
      </c>
      <c r="B84" s="8">
        <f>Workings!B384</f>
        <v/>
      </c>
      <c r="C84" s="11">
        <f>Workings!B383</f>
        <v/>
      </c>
    </row>
    <row r="85">
      <c r="A85" t="inlineStr">
        <is>
          <t>4-hour call-outs (7)</t>
        </is>
      </c>
      <c r="B85" s="8">
        <f>Workings!B395</f>
        <v/>
      </c>
      <c r="C85" s="11">
        <f>Workings!B394</f>
        <v/>
      </c>
    </row>
    <row r="86"/>
    <row r="87">
      <c r="A87" s="4" t="inlineStr">
        <is>
          <t>What it shows</t>
        </is>
      </c>
    </row>
    <row r="88" ht="45" customHeight="1">
      <c r="A88" s="3" t="inlineStr">
        <is>
          <t>58 call-outs in August made a 43.7% job gross margin between them. Gross margins run from 38.8% to 45.8% by length: the hourly rate covers technician time comfortably, so the gross margin mostly moves with how much material goes on the van.</t>
        </is>
      </c>
    </row>
    <row r="89"/>
    <row r="90">
      <c r="A90" s="4" t="inlineStr">
        <is>
          <t>What you'd do about it</t>
        </is>
      </c>
    </row>
    <row r="91" ht="30" customHeight="1">
      <c r="A91" s="3" t="inlineStr">
        <is>
          <t>Call-outs: 43.7% gross margin, 4.9 points clear of the 38.9% overheads need.</t>
        </is>
      </c>
    </row>
    <row r="92"/>
    <row r="93">
      <c r="A93" s="5" t="inlineStr">
        <is>
          <t>Every type of job at once</t>
        </is>
      </c>
    </row>
    <row r="94">
      <c r="A94" s="12" t="inlineStr">
        <is>
          <t>Job gross margin by month: every month is on the Data sheet.</t>
        </is>
      </c>
    </row>
    <row r="95"/>
    <row r="96"/>
  </sheetData>
  <mergeCells count="11">
    <mergeCell ref="A5:D5"/>
    <mergeCell ref="A27:D27"/>
    <mergeCell ref="A8:D8"/>
    <mergeCell ref="A88:D88"/>
    <mergeCell ref="A69:D69"/>
    <mergeCell ref="A91:D91"/>
    <mergeCell ref="A54:D54"/>
    <mergeCell ref="A72:D72"/>
    <mergeCell ref="A24:D24"/>
    <mergeCell ref="A51:D51"/>
    <mergeCell ref="A11:D11"/>
  </mergeCells>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3" manualBreakCount="3">
    <brk id="22" min="0" max="16383" man="1"/>
    <brk id="49" min="0" max="16383" man="1"/>
    <brk id="74" min="0" max="16383" man="1"/>
  </rowBreaks>
</worksheet>
</file>

<file path=xl/worksheets/sheet2.xml><?xml version="1.0" encoding="utf-8"?>
<worksheet xmlns="http://schemas.openxmlformats.org/spreadsheetml/2006/main">
  <sheetPr>
    <outlinePr summaryBelow="1" summaryRight="1"/>
    <pageSetUpPr fitToPage="1"/>
  </sheetPr>
  <dimension ref="A1:C39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c r="A5" s="5" t="inlineStr">
        <is>
          <t>From gross margin to profit, August 2026</t>
        </is>
      </c>
    </row>
    <row r="6">
      <c r="A6" s="12" t="inlineStr">
        <is>
          <t>Gross margin on the work − time not charged − overheads = profit before tax</t>
        </is>
      </c>
    </row>
    <row r="7">
      <c r="A7" s="6" t="inlineStr"/>
      <c r="B7" s="7" t="inlineStr">
        <is>
          <t>Aug 2026</t>
        </is>
      </c>
    </row>
    <row r="8">
      <c r="A8" t="inlineStr">
        <is>
          <t>Gross margin on jobs</t>
        </is>
      </c>
      <c r="B8" s="13" t="n">
        <v>73637</v>
      </c>
    </row>
    <row r="9">
      <c r="A9" t="inlineStr">
        <is>
          <t>Technician wages and on-costs</t>
        </is>
      </c>
      <c r="B9" s="13" t="n">
        <v>54600</v>
      </c>
    </row>
    <row r="10">
      <c r="A10" t="inlineStr">
        <is>
          <t>Technician time charged to jobs (at cost)</t>
        </is>
      </c>
      <c r="B10" s="13" t="n">
        <v>44540</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59500</v>
      </c>
    </row>
    <row r="14">
      <c r="A14" t="inlineStr">
        <is>
          <t>Profit before tax (the P&amp;L)</t>
        </is>
      </c>
      <c r="B14" s="13">
        <f>B12-B13</f>
        <v/>
      </c>
    </row>
    <row r="15">
      <c r="A15" t="inlineStr">
        <is>
          <t>Revenue</t>
        </is>
      </c>
      <c r="B15" s="13" t="n">
        <v>179007</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August 2026 P&amp;L (locked). Wages always include all on-costs: super, payroll tax, workers' compensation insurance and leave.</t>
        </is>
      </c>
    </row>
    <row r="20"/>
    <row r="21"/>
    <row r="22">
      <c r="A22" s="5" t="inlineStr">
        <is>
          <t>All lines: gross margin, August and July</t>
        </is>
      </c>
    </row>
    <row r="23">
      <c r="A23" s="12" t="inlineStr">
        <is>
          <t>Revenue less direct cost, over revenue. Before overheads.</t>
        </is>
      </c>
    </row>
    <row r="24">
      <c r="A24" s="6" t="inlineStr"/>
      <c r="B24" s="7" t="inlineStr">
        <is>
          <t>Aug 26</t>
        </is>
      </c>
      <c r="C24" s="7" t="inlineStr">
        <is>
          <t>Jul 26</t>
        </is>
      </c>
    </row>
    <row r="25">
      <c r="A25" t="inlineStr">
        <is>
          <t>Revenue</t>
        </is>
      </c>
      <c r="B25" s="13" t="n">
        <v>179007</v>
      </c>
      <c r="C25" s="13" t="n">
        <v>193245</v>
      </c>
    </row>
    <row r="26">
      <c r="A26" t="inlineStr">
        <is>
          <t>Direct cost</t>
        </is>
      </c>
      <c r="B26" s="13" t="n">
        <v>105370</v>
      </c>
      <c r="C26" s="13" t="n">
        <v>122124</v>
      </c>
    </row>
    <row r="27">
      <c r="A27" t="inlineStr">
        <is>
          <t>Gross margin</t>
        </is>
      </c>
      <c r="B27" s="13">
        <f>B25-B26</f>
        <v/>
      </c>
      <c r="C27" s="13">
        <f>C25-C26</f>
        <v/>
      </c>
    </row>
    <row r="28">
      <c r="A28" s="15" t="inlineStr">
        <is>
          <t>Gross margin %</t>
        </is>
      </c>
      <c r="B28" s="16">
        <f>B27/B25</f>
        <v/>
      </c>
      <c r="C28" s="16">
        <f>C27/C25</f>
        <v/>
      </c>
    </row>
    <row r="29"/>
    <row r="30"/>
    <row r="31">
      <c r="A31" s="5" t="inlineStr">
        <is>
          <t>Maintenance contracts, August</t>
        </is>
      </c>
    </row>
    <row r="32">
      <c r="A32" s="12" t="inlineStr">
        <is>
          <t>Revenue less direct cost (materials, subcontractors, technician time at cost)</t>
        </is>
      </c>
    </row>
    <row r="33">
      <c r="A33" s="6" t="inlineStr"/>
      <c r="B33" s="7" t="inlineStr">
        <is>
          <t>Aug 2026</t>
        </is>
      </c>
    </row>
    <row r="34">
      <c r="A34" t="inlineStr">
        <is>
          <t>Revenue</t>
        </is>
      </c>
      <c r="B34" s="13" t="n">
        <v>40500</v>
      </c>
    </row>
    <row r="35">
      <c r="A35" t="inlineStr">
        <is>
          <t>Direct cost</t>
        </is>
      </c>
      <c r="B35" s="13" t="n">
        <v>16384</v>
      </c>
    </row>
    <row r="36">
      <c r="A36" t="inlineStr">
        <is>
          <t>Gross margin</t>
        </is>
      </c>
      <c r="B36" s="13">
        <f>B34-B35</f>
        <v/>
      </c>
    </row>
    <row r="37">
      <c r="A37" s="15" t="inlineStr">
        <is>
          <t>Gross margin %</t>
        </is>
      </c>
      <c r="B37" s="16">
        <f>B36/B34</f>
        <v/>
      </c>
    </row>
    <row r="38"/>
    <row r="39"/>
    <row r="40">
      <c r="A40" s="5" t="inlineStr">
        <is>
          <t>Installations, August</t>
        </is>
      </c>
    </row>
    <row r="41">
      <c r="A41" s="12" t="inlineStr">
        <is>
          <t>Revenue less direct cost (materials, subcontractors, technician time at cost)</t>
        </is>
      </c>
    </row>
    <row r="42">
      <c r="A42" s="6" t="inlineStr"/>
      <c r="B42" s="7" t="inlineStr">
        <is>
          <t>Aug 2026</t>
        </is>
      </c>
    </row>
    <row r="43">
      <c r="A43" t="inlineStr">
        <is>
          <t>Revenue</t>
        </is>
      </c>
      <c r="B43" s="13" t="n">
        <v>109600</v>
      </c>
    </row>
    <row r="44">
      <c r="A44" t="inlineStr">
        <is>
          <t>Direct cost</t>
        </is>
      </c>
      <c r="B44" s="13" t="n">
        <v>72720</v>
      </c>
    </row>
    <row r="45">
      <c r="A45" t="inlineStr">
        <is>
          <t>Gross margin</t>
        </is>
      </c>
      <c r="B45" s="13">
        <f>B43-B44</f>
        <v/>
      </c>
    </row>
    <row r="46">
      <c r="A46" s="15" t="inlineStr">
        <is>
          <t>Gross margin %</t>
        </is>
      </c>
      <c r="B46" s="16">
        <f>B45/B43</f>
        <v/>
      </c>
    </row>
    <row r="47"/>
    <row r="48"/>
    <row r="49">
      <c r="A49" s="5" t="inlineStr">
        <is>
          <t>Call-outs and repairs, August</t>
        </is>
      </c>
    </row>
    <row r="50">
      <c r="A50" s="12" t="inlineStr">
        <is>
          <t>Revenue less direct cost (materials, subcontractors, technician time at cost)</t>
        </is>
      </c>
    </row>
    <row r="51">
      <c r="A51" s="6" t="inlineStr"/>
      <c r="B51" s="7" t="inlineStr">
        <is>
          <t>Aug 2026</t>
        </is>
      </c>
    </row>
    <row r="52">
      <c r="A52" t="inlineStr">
        <is>
          <t>Revenue</t>
        </is>
      </c>
      <c r="B52" s="13" t="n">
        <v>28907</v>
      </c>
    </row>
    <row r="53">
      <c r="A53" t="inlineStr">
        <is>
          <t>Direct cost</t>
        </is>
      </c>
      <c r="B53" s="13" t="n">
        <v>16266</v>
      </c>
    </row>
    <row r="54">
      <c r="A54" t="inlineStr">
        <is>
          <t>Gross margin</t>
        </is>
      </c>
      <c r="B54" s="13">
        <f>B52-B53</f>
        <v/>
      </c>
    </row>
    <row r="55">
      <c r="A55" s="15" t="inlineStr">
        <is>
          <t>Gross margin %</t>
        </is>
      </c>
      <c r="B55" s="16">
        <f>B54/B52</f>
        <v/>
      </c>
    </row>
    <row r="56"/>
    <row r="57"/>
    <row r="58">
      <c r="A58" s="5" t="inlineStr">
        <is>
          <t>Maintenance contracts: gross margin, August and July</t>
        </is>
      </c>
    </row>
    <row r="59">
      <c r="A59" s="12" t="inlineStr">
        <is>
          <t>Revenue less direct cost, over revenue. Before overheads.</t>
        </is>
      </c>
    </row>
    <row r="60">
      <c r="A60" s="6" t="inlineStr"/>
      <c r="B60" s="7" t="inlineStr">
        <is>
          <t>Aug 26</t>
        </is>
      </c>
      <c r="C60" s="7" t="inlineStr">
        <is>
          <t>Jul 26</t>
        </is>
      </c>
    </row>
    <row r="61">
      <c r="A61" t="inlineStr">
        <is>
          <t>Revenue</t>
        </is>
      </c>
      <c r="B61" s="13" t="n">
        <v>40500</v>
      </c>
      <c r="C61" s="13" t="n">
        <v>40500</v>
      </c>
    </row>
    <row r="62">
      <c r="A62" t="inlineStr">
        <is>
          <t>Direct cost</t>
        </is>
      </c>
      <c r="B62" s="13" t="n">
        <v>16384</v>
      </c>
      <c r="C62" s="13" t="n">
        <v>16384</v>
      </c>
    </row>
    <row r="63">
      <c r="A63" t="inlineStr">
        <is>
          <t>Gross margin</t>
        </is>
      </c>
      <c r="B63" s="13">
        <f>B61-B62</f>
        <v/>
      </c>
      <c r="C63" s="13">
        <f>C61-C62</f>
        <v/>
      </c>
    </row>
    <row r="64">
      <c r="A64" s="15" t="inlineStr">
        <is>
          <t>Gross margin %</t>
        </is>
      </c>
      <c r="B64" s="16">
        <f>B63/B61</f>
        <v/>
      </c>
      <c r="C64" s="16">
        <f>C63/C61</f>
        <v/>
      </c>
    </row>
    <row r="65"/>
    <row r="66"/>
    <row r="67">
      <c r="A67" s="5" t="inlineStr">
        <is>
          <t>Carindale vet clinic</t>
        </is>
      </c>
    </row>
    <row r="68">
      <c r="A68" s="12" t="inlineStr">
        <is>
          <t>Job gross margin ÷ revenue for this job (before overheads)</t>
        </is>
      </c>
    </row>
    <row r="69">
      <c r="A69" s="6" t="inlineStr"/>
      <c r="B69" s="7" t="inlineStr">
        <is>
          <t>This job</t>
        </is>
      </c>
    </row>
    <row r="70">
      <c r="A70" t="inlineStr">
        <is>
          <t>Revenue</t>
        </is>
      </c>
      <c r="B70" s="13" t="n">
        <v>1700</v>
      </c>
    </row>
    <row r="71">
      <c r="A71" t="inlineStr">
        <is>
          <t>Materials</t>
        </is>
      </c>
      <c r="B71" s="13" t="n">
        <v>-30</v>
      </c>
    </row>
    <row r="72">
      <c r="A72" t="inlineStr">
        <is>
          <t>Subcontractors</t>
        </is>
      </c>
      <c r="B72" s="13" t="n">
        <v>0</v>
      </c>
    </row>
    <row r="73">
      <c r="A73" t="inlineStr">
        <is>
          <t>Technician hours</t>
        </is>
      </c>
      <c r="B73" s="17" t="n">
        <v>9</v>
      </c>
    </row>
    <row r="74">
      <c r="A74" t="inlineStr">
        <is>
          <t>Technician cost rate ($/hour, wages and all on-costs)</t>
        </is>
      </c>
      <c r="B74" s="13" t="n">
        <v>68</v>
      </c>
    </row>
    <row r="75">
      <c r="A75" t="inlineStr">
        <is>
          <t>Technician time</t>
        </is>
      </c>
      <c r="B75" s="13">
        <f>-B73*B74</f>
        <v/>
      </c>
    </row>
    <row r="76">
      <c r="A76" t="inlineStr">
        <is>
          <t>Job gross margin</t>
        </is>
      </c>
      <c r="B76" s="13">
        <f>B70+B71+B72+B75</f>
        <v/>
      </c>
    </row>
    <row r="77">
      <c r="A77" s="15" t="inlineStr">
        <is>
          <t>Job gross margin %</t>
        </is>
      </c>
      <c r="B77" s="16">
        <f>B76/B70</f>
        <v/>
      </c>
    </row>
    <row r="78"/>
    <row r="79"/>
    <row r="80">
      <c r="A80" s="5" t="inlineStr">
        <is>
          <t>Wynnum medical centre</t>
        </is>
      </c>
    </row>
    <row r="81">
      <c r="A81" s="12" t="inlineStr">
        <is>
          <t>Job gross margin ÷ revenue for this job (before overheads)</t>
        </is>
      </c>
    </row>
    <row r="82">
      <c r="A82" s="6" t="inlineStr"/>
      <c r="B82" s="7" t="inlineStr">
        <is>
          <t>This job</t>
        </is>
      </c>
    </row>
    <row r="83">
      <c r="A83" t="inlineStr">
        <is>
          <t>Revenue</t>
        </is>
      </c>
      <c r="B83" s="13" t="n">
        <v>2200</v>
      </c>
    </row>
    <row r="84">
      <c r="A84" t="inlineStr">
        <is>
          <t>Materials</t>
        </is>
      </c>
      <c r="B84" s="13" t="n">
        <v>-40</v>
      </c>
    </row>
    <row r="85">
      <c r="A85" t="inlineStr">
        <is>
          <t>Subcontractors</t>
        </is>
      </c>
      <c r="B85" s="13" t="n">
        <v>0</v>
      </c>
    </row>
    <row r="86">
      <c r="A86" t="inlineStr">
        <is>
          <t>Technician hours</t>
        </is>
      </c>
      <c r="B86" s="17" t="n">
        <v>12</v>
      </c>
    </row>
    <row r="87">
      <c r="A87" t="inlineStr">
        <is>
          <t>Technician cost rate ($/hour, wages and all on-costs)</t>
        </is>
      </c>
      <c r="B87" s="13" t="n">
        <v>68</v>
      </c>
    </row>
    <row r="88">
      <c r="A88" t="inlineStr">
        <is>
          <t>Technician time</t>
        </is>
      </c>
      <c r="B88" s="13">
        <f>-B86*B87</f>
        <v/>
      </c>
    </row>
    <row r="89">
      <c r="A89" t="inlineStr">
        <is>
          <t>Job gross margin</t>
        </is>
      </c>
      <c r="B89" s="13">
        <f>B83+B84+B85+B88</f>
        <v/>
      </c>
    </row>
    <row r="90">
      <c r="A90" s="15" t="inlineStr">
        <is>
          <t>Job gross margin %</t>
        </is>
      </c>
      <c r="B90" s="16">
        <f>B89/B83</f>
        <v/>
      </c>
    </row>
    <row r="91"/>
    <row r="92"/>
    <row r="93">
      <c r="A93" s="5" t="inlineStr">
        <is>
          <t>Southbank cafe group</t>
        </is>
      </c>
    </row>
    <row r="94">
      <c r="A94" s="12" t="inlineStr">
        <is>
          <t>Job gross margin ÷ revenue for this job (before overheads)</t>
        </is>
      </c>
    </row>
    <row r="95">
      <c r="A95" s="6" t="inlineStr"/>
      <c r="B95" s="7" t="inlineStr">
        <is>
          <t>This job</t>
        </is>
      </c>
    </row>
    <row r="96">
      <c r="A96" t="inlineStr">
        <is>
          <t>Revenue</t>
        </is>
      </c>
      <c r="B96" s="13" t="n">
        <v>1800</v>
      </c>
    </row>
    <row r="97">
      <c r="A97" t="inlineStr">
        <is>
          <t>Materials</t>
        </is>
      </c>
      <c r="B97" s="13" t="n">
        <v>-40</v>
      </c>
    </row>
    <row r="98">
      <c r="A98" t="inlineStr">
        <is>
          <t>Subcontractors</t>
        </is>
      </c>
      <c r="B98" s="13" t="n">
        <v>0</v>
      </c>
    </row>
    <row r="99">
      <c r="A99" t="inlineStr">
        <is>
          <t>Technician hours</t>
        </is>
      </c>
      <c r="B99" s="17" t="n">
        <v>10</v>
      </c>
    </row>
    <row r="100">
      <c r="A100" t="inlineStr">
        <is>
          <t>Technician cost rate ($/hour, wages and all on-costs)</t>
        </is>
      </c>
      <c r="B100" s="13" t="n">
        <v>68</v>
      </c>
    </row>
    <row r="101">
      <c r="A101" t="inlineStr">
        <is>
          <t>Technician time</t>
        </is>
      </c>
      <c r="B101" s="13">
        <f>-B99*B100</f>
        <v/>
      </c>
    </row>
    <row r="102">
      <c r="A102" t="inlineStr">
        <is>
          <t>Job gross margin</t>
        </is>
      </c>
      <c r="B102" s="13">
        <f>B96+B97+B98+B101</f>
        <v/>
      </c>
    </row>
    <row r="103">
      <c r="A103" s="15" t="inlineStr">
        <is>
          <t>Job gross margin %</t>
        </is>
      </c>
      <c r="B103" s="16">
        <f>B102/B96</f>
        <v/>
      </c>
    </row>
    <row r="104"/>
    <row r="105"/>
    <row r="106">
      <c r="A106" s="5" t="inlineStr">
        <is>
          <t>Ashgrove aged care</t>
        </is>
      </c>
    </row>
    <row r="107">
      <c r="A107" s="12" t="inlineStr">
        <is>
          <t>Job gross margin ÷ revenue for this job (before overheads)</t>
        </is>
      </c>
    </row>
    <row r="108">
      <c r="A108" s="6" t="inlineStr"/>
      <c r="B108" s="7" t="inlineStr">
        <is>
          <t>This job</t>
        </is>
      </c>
    </row>
    <row r="109">
      <c r="A109" t="inlineStr">
        <is>
          <t>Revenue</t>
        </is>
      </c>
      <c r="B109" s="13" t="n">
        <v>3600</v>
      </c>
    </row>
    <row r="110">
      <c r="A110" t="inlineStr">
        <is>
          <t>Materials</t>
        </is>
      </c>
      <c r="B110" s="13" t="n">
        <v>-80</v>
      </c>
    </row>
    <row r="111">
      <c r="A111" t="inlineStr">
        <is>
          <t>Subcontractors</t>
        </is>
      </c>
      <c r="B111" s="13" t="n">
        <v>0</v>
      </c>
    </row>
    <row r="112">
      <c r="A112" t="inlineStr">
        <is>
          <t>Technician hours</t>
        </is>
      </c>
      <c r="B112" s="17" t="n">
        <v>20</v>
      </c>
    </row>
    <row r="113">
      <c r="A113" t="inlineStr">
        <is>
          <t>Technician cost rate ($/hour, wages and all on-costs)</t>
        </is>
      </c>
      <c r="B113" s="13" t="n">
        <v>68</v>
      </c>
    </row>
    <row r="114">
      <c r="A114" t="inlineStr">
        <is>
          <t>Technician time</t>
        </is>
      </c>
      <c r="B114" s="13">
        <f>-B112*B113</f>
        <v/>
      </c>
    </row>
    <row r="115">
      <c r="A115" t="inlineStr">
        <is>
          <t>Job gross margin</t>
        </is>
      </c>
      <c r="B115" s="13">
        <f>B109+B110+B111+B114</f>
        <v/>
      </c>
    </row>
    <row r="116">
      <c r="A116" s="15" t="inlineStr">
        <is>
          <t>Job gross margin %</t>
        </is>
      </c>
      <c r="B116" s="16">
        <f>B115/B109</f>
        <v/>
      </c>
    </row>
    <row r="117"/>
    <row r="118"/>
    <row r="119">
      <c r="A119" s="5" t="inlineStr">
        <is>
          <t>Fortitude Valley hotel</t>
        </is>
      </c>
    </row>
    <row r="120">
      <c r="A120" s="12" t="inlineStr">
        <is>
          <t>Job gross margin ÷ revenue for this job (before overheads)</t>
        </is>
      </c>
    </row>
    <row r="121">
      <c r="A121" s="6" t="inlineStr"/>
      <c r="B121" s="7" t="inlineStr">
        <is>
          <t>This job</t>
        </is>
      </c>
    </row>
    <row r="122">
      <c r="A122" t="inlineStr">
        <is>
          <t>Revenue</t>
        </is>
      </c>
      <c r="B122" s="13" t="n">
        <v>3400</v>
      </c>
    </row>
    <row r="123">
      <c r="A123" t="inlineStr">
        <is>
          <t>Materials</t>
        </is>
      </c>
      <c r="B123" s="13" t="n">
        <v>-70</v>
      </c>
    </row>
    <row r="124">
      <c r="A124" t="inlineStr">
        <is>
          <t>Subcontractors</t>
        </is>
      </c>
      <c r="B124" s="13" t="n">
        <v>0</v>
      </c>
    </row>
    <row r="125">
      <c r="A125" t="inlineStr">
        <is>
          <t>Technician hours</t>
        </is>
      </c>
      <c r="B125" s="17" t="n">
        <v>19</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Riverside Apartments (strata)</t>
        </is>
      </c>
    </row>
    <row r="133">
      <c r="A133" s="12" t="inlineStr">
        <is>
          <t>Job gross margin ÷ revenue for this job (before overheads)</t>
        </is>
      </c>
    </row>
    <row r="134">
      <c r="A134" s="6" t="inlineStr"/>
      <c r="B134" s="7" t="inlineStr">
        <is>
          <t>This job</t>
        </is>
      </c>
    </row>
    <row r="135">
      <c r="A135" t="inlineStr">
        <is>
          <t>Revenue</t>
        </is>
      </c>
      <c r="B135" s="13" t="n">
        <v>3200</v>
      </c>
    </row>
    <row r="136">
      <c r="A136" t="inlineStr">
        <is>
          <t>Materials</t>
        </is>
      </c>
      <c r="B136" s="13" t="n">
        <v>-60</v>
      </c>
    </row>
    <row r="137">
      <c r="A137" t="inlineStr">
        <is>
          <t>Subcontractors</t>
        </is>
      </c>
      <c r="B137" s="13" t="n">
        <v>0</v>
      </c>
    </row>
    <row r="138">
      <c r="A138" t="inlineStr">
        <is>
          <t>Technician hours</t>
        </is>
      </c>
      <c r="B138" s="17" t="n">
        <v>18</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Newstead gym</t>
        </is>
      </c>
    </row>
    <row r="146">
      <c r="A146" s="12" t="inlineStr">
        <is>
          <t>Job gross margin ÷ revenue for this job (before overheads)</t>
        </is>
      </c>
    </row>
    <row r="147">
      <c r="A147" s="6" t="inlineStr"/>
      <c r="B147" s="7" t="inlineStr">
        <is>
          <t>This job</t>
        </is>
      </c>
    </row>
    <row r="148">
      <c r="A148" t="inlineStr">
        <is>
          <t>Revenue</t>
        </is>
      </c>
      <c r="B148" s="13" t="n">
        <v>1600</v>
      </c>
    </row>
    <row r="149">
      <c r="A149" t="inlineStr">
        <is>
          <t>Materials</t>
        </is>
      </c>
      <c r="B149" s="13" t="n">
        <v>-30</v>
      </c>
    </row>
    <row r="150">
      <c r="A150" t="inlineStr">
        <is>
          <t>Subcontractors</t>
        </is>
      </c>
      <c r="B150" s="13" t="n">
        <v>0</v>
      </c>
    </row>
    <row r="151">
      <c r="A151" t="inlineStr">
        <is>
          <t>Technician hours</t>
        </is>
      </c>
      <c r="B151" s="17" t="n">
        <v>9</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Chermside retail centre</t>
        </is>
      </c>
    </row>
    <row r="159">
      <c r="A159" s="12" t="inlineStr">
        <is>
          <t>Job gross margin ÷ revenue for this job (before overheads)</t>
        </is>
      </c>
    </row>
    <row r="160">
      <c r="A160" s="6" t="inlineStr"/>
      <c r="B160" s="7" t="inlineStr">
        <is>
          <t>This job</t>
        </is>
      </c>
    </row>
    <row r="161">
      <c r="A161" t="inlineStr">
        <is>
          <t>Revenue</t>
        </is>
      </c>
      <c r="B161" s="13" t="n">
        <v>4100</v>
      </c>
    </row>
    <row r="162">
      <c r="A162" t="inlineStr">
        <is>
          <t>Materials</t>
        </is>
      </c>
      <c r="B162" s="13" t="n">
        <v>-100</v>
      </c>
    </row>
    <row r="163">
      <c r="A163" t="inlineStr">
        <is>
          <t>Subcontractors</t>
        </is>
      </c>
      <c r="B163" s="13" t="n">
        <v>0</v>
      </c>
    </row>
    <row r="164">
      <c r="A164" t="inlineStr">
        <is>
          <t>Technician hours</t>
        </is>
      </c>
      <c r="B164" s="17" t="n">
        <v>23</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Wacol logistics depot</t>
        </is>
      </c>
    </row>
    <row r="172">
      <c r="A172" s="12" t="inlineStr">
        <is>
          <t>Job gross margin ÷ revenue for this job (before overheads)</t>
        </is>
      </c>
    </row>
    <row r="173">
      <c r="A173" s="6" t="inlineStr"/>
      <c r="B173" s="7" t="inlineStr">
        <is>
          <t>This job</t>
        </is>
      </c>
    </row>
    <row r="174">
      <c r="A174" t="inlineStr">
        <is>
          <t>Revenue</t>
        </is>
      </c>
      <c r="B174" s="13" t="n">
        <v>3000</v>
      </c>
    </row>
    <row r="175">
      <c r="A175" t="inlineStr">
        <is>
          <t>Materials</t>
        </is>
      </c>
      <c r="B175" s="13" t="n">
        <v>-70</v>
      </c>
    </row>
    <row r="176">
      <c r="A176" t="inlineStr">
        <is>
          <t>Subcontractors</t>
        </is>
      </c>
      <c r="B176" s="13" t="n">
        <v>0</v>
      </c>
    </row>
    <row r="177">
      <c r="A177" t="inlineStr">
        <is>
          <t>Technician hours</t>
        </is>
      </c>
      <c r="B177" s="17" t="n">
        <v>17</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Milton office tower</t>
        </is>
      </c>
    </row>
    <row r="185">
      <c r="A185" s="12" t="inlineStr">
        <is>
          <t>Job gross margin ÷ revenue for this job (before overheads)</t>
        </is>
      </c>
    </row>
    <row r="186">
      <c r="A186" s="6" t="inlineStr"/>
      <c r="B186" s="7" t="inlineStr">
        <is>
          <t>This job</t>
        </is>
      </c>
    </row>
    <row r="187">
      <c r="A187" t="inlineStr">
        <is>
          <t>Revenue</t>
        </is>
      </c>
      <c r="B187" s="13" t="n">
        <v>4200</v>
      </c>
    </row>
    <row r="188">
      <c r="A188" t="inlineStr">
        <is>
          <t>Materials</t>
        </is>
      </c>
      <c r="B188" s="13" t="n">
        <v>-90</v>
      </c>
    </row>
    <row r="189">
      <c r="A189" t="inlineStr">
        <is>
          <t>Subcontractors</t>
        </is>
      </c>
      <c r="B189" s="13" t="n">
        <v>0</v>
      </c>
    </row>
    <row r="190">
      <c r="A190" t="inlineStr">
        <is>
          <t>Technician hours</t>
        </is>
      </c>
      <c r="B190" s="17" t="n">
        <v>24</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Bulimba school</t>
        </is>
      </c>
    </row>
    <row r="198">
      <c r="A198" s="12" t="inlineStr">
        <is>
          <t>Job gross margin ÷ revenue for this job (before overheads)</t>
        </is>
      </c>
    </row>
    <row r="199">
      <c r="A199" s="6" t="inlineStr"/>
      <c r="B199" s="7" t="inlineStr">
        <is>
          <t>This job</t>
        </is>
      </c>
    </row>
    <row r="200">
      <c r="A200" t="inlineStr">
        <is>
          <t>Revenue</t>
        </is>
      </c>
      <c r="B200" s="13" t="n">
        <v>2800</v>
      </c>
    </row>
    <row r="201">
      <c r="A201" t="inlineStr">
        <is>
          <t>Materials</t>
        </is>
      </c>
      <c r="B201" s="13" t="n">
        <v>-60</v>
      </c>
    </row>
    <row r="202">
      <c r="A202" t="inlineStr">
        <is>
          <t>Subcontractors</t>
        </is>
      </c>
      <c r="B202" s="13" t="n">
        <v>0</v>
      </c>
    </row>
    <row r="203">
      <c r="A203" t="inlineStr">
        <is>
          <t>Technician hours</t>
        </is>
      </c>
      <c r="B203" s="17" t="n">
        <v>16</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West End brewery</t>
        </is>
      </c>
    </row>
    <row r="211">
      <c r="A211" s="12" t="inlineStr">
        <is>
          <t>Job gross margin ÷ revenue for this job (before overheads)</t>
        </is>
      </c>
    </row>
    <row r="212">
      <c r="A212" s="6" t="inlineStr"/>
      <c r="B212" s="7" t="inlineStr">
        <is>
          <t>This job</t>
        </is>
      </c>
    </row>
    <row r="213">
      <c r="A213" t="inlineStr">
        <is>
          <t>Revenue</t>
        </is>
      </c>
      <c r="B213" s="13" t="n">
        <v>2600</v>
      </c>
    </row>
    <row r="214">
      <c r="A214" t="inlineStr">
        <is>
          <t>Materials</t>
        </is>
      </c>
      <c r="B214" s="13" t="n">
        <v>-50</v>
      </c>
    </row>
    <row r="215">
      <c r="A215" t="inlineStr">
        <is>
          <t>Subcontractors</t>
        </is>
      </c>
      <c r="B215" s="13" t="n">
        <v>0</v>
      </c>
    </row>
    <row r="216">
      <c r="A216" t="inlineStr">
        <is>
          <t>Technician hours</t>
        </is>
      </c>
      <c r="B216" s="17" t="n">
        <v>15</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Rocklea factory</t>
        </is>
      </c>
    </row>
    <row r="224">
      <c r="A224" s="12" t="inlineStr">
        <is>
          <t>Job gross margin ÷ revenue for this job (before overheads)</t>
        </is>
      </c>
    </row>
    <row r="225">
      <c r="A225" s="6" t="inlineStr"/>
      <c r="B225" s="7" t="inlineStr">
        <is>
          <t>This job</t>
        </is>
      </c>
    </row>
    <row r="226">
      <c r="A226" t="inlineStr">
        <is>
          <t>Revenue</t>
        </is>
      </c>
      <c r="B226" s="13" t="n">
        <v>3900</v>
      </c>
    </row>
    <row r="227">
      <c r="A227" t="inlineStr">
        <is>
          <t>Materials</t>
        </is>
      </c>
      <c r="B227" s="13" t="n">
        <v>-110</v>
      </c>
    </row>
    <row r="228">
      <c r="A228" t="inlineStr">
        <is>
          <t>Subcontractors</t>
        </is>
      </c>
      <c r="B228" s="13" t="n">
        <v>0</v>
      </c>
    </row>
    <row r="229">
      <c r="A229" t="inlineStr">
        <is>
          <t>Technician hours</t>
        </is>
      </c>
      <c r="B229" s="17" t="n">
        <v>22</v>
      </c>
    </row>
    <row r="230">
      <c r="A230" t="inlineStr">
        <is>
          <t>Technician cost rate ($/hour, wages and all on-costs)</t>
        </is>
      </c>
      <c r="B230" s="13" t="n">
        <v>68</v>
      </c>
    </row>
    <row r="231">
      <c r="A231" t="inlineStr">
        <is>
          <t>Technician time</t>
        </is>
      </c>
      <c r="B231" s="13">
        <f>-B229*B230</f>
        <v/>
      </c>
    </row>
    <row r="232">
      <c r="A232" t="inlineStr">
        <is>
          <t>Job gross margin</t>
        </is>
      </c>
      <c r="B232" s="13">
        <f>B226+B227+B228+B231</f>
        <v/>
      </c>
    </row>
    <row r="233">
      <c r="A233" s="15" t="inlineStr">
        <is>
          <t>Job gross margin %</t>
        </is>
      </c>
      <c r="B233" s="16">
        <f>B232/B226</f>
        <v/>
      </c>
    </row>
    <row r="234"/>
    <row r="235"/>
    <row r="236">
      <c r="A236" s="5" t="inlineStr">
        <is>
          <t>Kangaroo Point townhouses</t>
        </is>
      </c>
    </row>
    <row r="237">
      <c r="A237" s="12" t="inlineStr">
        <is>
          <t>Job gross margin ÷ revenue for this job (before overheads)</t>
        </is>
      </c>
    </row>
    <row r="238">
      <c r="A238" s="6" t="inlineStr"/>
      <c r="B238" s="7" t="inlineStr">
        <is>
          <t>This job</t>
        </is>
      </c>
    </row>
    <row r="239">
      <c r="A239" t="inlineStr">
        <is>
          <t>Revenue</t>
        </is>
      </c>
      <c r="B239" s="13" t="n">
        <v>2400</v>
      </c>
    </row>
    <row r="240">
      <c r="A240" t="inlineStr">
        <is>
          <t>Materials</t>
        </is>
      </c>
      <c r="B240" s="13" t="n">
        <v>-50</v>
      </c>
    </row>
    <row r="241">
      <c r="A241" t="inlineStr">
        <is>
          <t>Subcontractors</t>
        </is>
      </c>
      <c r="B241" s="13" t="n">
        <v>0</v>
      </c>
    </row>
    <row r="242">
      <c r="A242" t="inlineStr">
        <is>
          <t>Technician hours</t>
        </is>
      </c>
      <c r="B242" s="17" t="n">
        <v>14</v>
      </c>
    </row>
    <row r="243">
      <c r="A243" t="inlineStr">
        <is>
          <t>Technician cost rate ($/hour, wages and all on-costs)</t>
        </is>
      </c>
      <c r="B243" s="13" t="n">
        <v>68</v>
      </c>
    </row>
    <row r="244">
      <c r="A244" t="inlineStr">
        <is>
          <t>Technician time</t>
        </is>
      </c>
      <c r="B244" s="13">
        <f>-B242*B243</f>
        <v/>
      </c>
    </row>
    <row r="245">
      <c r="A245" t="inlineStr">
        <is>
          <t>Job gross margin</t>
        </is>
      </c>
      <c r="B245" s="13">
        <f>B239+B240+B241+B244</f>
        <v/>
      </c>
    </row>
    <row r="246">
      <c r="A246" s="15" t="inlineStr">
        <is>
          <t>Job gross margin %</t>
        </is>
      </c>
      <c r="B246" s="16">
        <f>B245/B239</f>
        <v/>
      </c>
    </row>
    <row r="247"/>
    <row r="248"/>
    <row r="249">
      <c r="A249" s="5" t="inlineStr">
        <is>
          <t>Installations: gross margin, August and July</t>
        </is>
      </c>
    </row>
    <row r="250">
      <c r="A250" s="12" t="inlineStr">
        <is>
          <t>Revenue less direct cost, over revenue. Before overheads.</t>
        </is>
      </c>
    </row>
    <row r="251">
      <c r="A251" s="6" t="inlineStr"/>
      <c r="B251" s="7" t="inlineStr">
        <is>
          <t>Aug 26</t>
        </is>
      </c>
      <c r="C251" s="7" t="inlineStr">
        <is>
          <t>Jul 26</t>
        </is>
      </c>
    </row>
    <row r="252">
      <c r="A252" t="inlineStr">
        <is>
          <t>Revenue</t>
        </is>
      </c>
      <c r="B252" s="13" t="n">
        <v>109600</v>
      </c>
      <c r="C252" s="13" t="n">
        <v>127600</v>
      </c>
    </row>
    <row r="253">
      <c r="A253" t="inlineStr">
        <is>
          <t>Direct cost</t>
        </is>
      </c>
      <c r="B253" s="13" t="n">
        <v>72720</v>
      </c>
      <c r="C253" s="13" t="n">
        <v>91520</v>
      </c>
    </row>
    <row r="254">
      <c r="A254" t="inlineStr">
        <is>
          <t>Gross margin</t>
        </is>
      </c>
      <c r="B254" s="13">
        <f>B252-B253</f>
        <v/>
      </c>
      <c r="C254" s="13">
        <f>C252-C253</f>
        <v/>
      </c>
    </row>
    <row r="255">
      <c r="A255" s="15" t="inlineStr">
        <is>
          <t>Gross margin %</t>
        </is>
      </c>
      <c r="B255" s="16">
        <f>B254/B252</f>
        <v/>
      </c>
      <c r="C255" s="16">
        <f>C254/C252</f>
        <v/>
      </c>
    </row>
    <row r="256"/>
    <row r="257"/>
    <row r="258">
      <c r="A258" s="5" t="inlineStr">
        <is>
          <t>Ashgrove hall LED lighting</t>
        </is>
      </c>
    </row>
    <row r="259">
      <c r="A259" s="12" t="inlineStr">
        <is>
          <t>Job gross margin ÷ revenue for this job (before overheads)</t>
        </is>
      </c>
    </row>
    <row r="260">
      <c r="A260" s="6" t="inlineStr"/>
      <c r="B260" s="7" t="inlineStr">
        <is>
          <t>This job</t>
        </is>
      </c>
    </row>
    <row r="261">
      <c r="A261" t="inlineStr">
        <is>
          <t>Revenue</t>
        </is>
      </c>
      <c r="B261" s="13" t="n">
        <v>21300</v>
      </c>
    </row>
    <row r="262">
      <c r="A262" t="inlineStr">
        <is>
          <t>Materials</t>
        </is>
      </c>
      <c r="B262" s="13" t="n">
        <v>-8100</v>
      </c>
    </row>
    <row r="263">
      <c r="A263" t="inlineStr">
        <is>
          <t>Subcontractors</t>
        </is>
      </c>
      <c r="B263" s="13" t="n">
        <v>0</v>
      </c>
    </row>
    <row r="264">
      <c r="A264" t="inlineStr">
        <is>
          <t>Technician hours</t>
        </is>
      </c>
      <c r="B264" s="17" t="n">
        <v>70</v>
      </c>
    </row>
    <row r="265">
      <c r="A265" t="inlineStr">
        <is>
          <t>Technician cost rate ($/hour, wages and all on-costs)</t>
        </is>
      </c>
      <c r="B265" s="13" t="n">
        <v>68</v>
      </c>
    </row>
    <row r="266">
      <c r="A266" t="inlineStr">
        <is>
          <t>Technician time</t>
        </is>
      </c>
      <c r="B266" s="13">
        <f>-B264*B265</f>
        <v/>
      </c>
    </row>
    <row r="267">
      <c r="A267" t="inlineStr">
        <is>
          <t>Job gross margin</t>
        </is>
      </c>
      <c r="B267" s="13">
        <f>B261+B262+B263+B266</f>
        <v/>
      </c>
    </row>
    <row r="268">
      <c r="A268" s="15" t="inlineStr">
        <is>
          <t>Job gross margin %</t>
        </is>
      </c>
      <c r="B268" s="16">
        <f>B267/B261</f>
        <v/>
      </c>
    </row>
    <row r="269"/>
    <row r="270"/>
    <row r="271">
      <c r="A271" s="5" t="inlineStr">
        <is>
          <t>Valley office cabling</t>
        </is>
      </c>
    </row>
    <row r="272">
      <c r="A272" s="12" t="inlineStr">
        <is>
          <t>Job gross margin ÷ revenue for this job (before overheads)</t>
        </is>
      </c>
    </row>
    <row r="273">
      <c r="A273" s="6" t="inlineStr"/>
      <c r="B273" s="7" t="inlineStr">
        <is>
          <t>This job</t>
        </is>
      </c>
    </row>
    <row r="274">
      <c r="A274" t="inlineStr">
        <is>
          <t>Revenue</t>
        </is>
      </c>
      <c r="B274" s="13" t="n">
        <v>13400</v>
      </c>
    </row>
    <row r="275">
      <c r="A275" t="inlineStr">
        <is>
          <t>Materials</t>
        </is>
      </c>
      <c r="B275" s="13" t="n">
        <v>-3900</v>
      </c>
    </row>
    <row r="276">
      <c r="A276" t="inlineStr">
        <is>
          <t>Subcontractors</t>
        </is>
      </c>
      <c r="B276" s="13" t="n">
        <v>-1100</v>
      </c>
    </row>
    <row r="277">
      <c r="A277" t="inlineStr">
        <is>
          <t>Technician hours</t>
        </is>
      </c>
      <c r="B277" s="17" t="n">
        <v>48</v>
      </c>
    </row>
    <row r="278">
      <c r="A278" t="inlineStr">
        <is>
          <t>Technician cost rate ($/hour, wages and all on-costs)</t>
        </is>
      </c>
      <c r="B278" s="13" t="n">
        <v>68</v>
      </c>
    </row>
    <row r="279">
      <c r="A279" t="inlineStr">
        <is>
          <t>Technician time</t>
        </is>
      </c>
      <c r="B279" s="13">
        <f>-B277*B278</f>
        <v/>
      </c>
    </row>
    <row r="280">
      <c r="A280" t="inlineStr">
        <is>
          <t>Job gross margin</t>
        </is>
      </c>
      <c r="B280" s="13">
        <f>B274+B275+B276+B279</f>
        <v/>
      </c>
    </row>
    <row r="281">
      <c r="A281" s="15" t="inlineStr">
        <is>
          <t>Job gross margin %</t>
        </is>
      </c>
      <c r="B281" s="16">
        <f>B280/B274</f>
        <v/>
      </c>
    </row>
    <row r="282"/>
    <row r="283"/>
    <row r="284">
      <c r="A284" s="5" t="inlineStr">
        <is>
          <t>Newstead gym air-con</t>
        </is>
      </c>
    </row>
    <row r="285">
      <c r="A285" s="12" t="inlineStr">
        <is>
          <t>Job gross margin ÷ revenue for this job (before overheads)</t>
        </is>
      </c>
    </row>
    <row r="286">
      <c r="A286" s="6" t="inlineStr"/>
      <c r="B286" s="7" t="inlineStr">
        <is>
          <t>This job</t>
        </is>
      </c>
    </row>
    <row r="287">
      <c r="A287" t="inlineStr">
        <is>
          <t>Revenue</t>
        </is>
      </c>
      <c r="B287" s="13" t="n">
        <v>16800</v>
      </c>
    </row>
    <row r="288">
      <c r="A288" t="inlineStr">
        <is>
          <t>Materials</t>
        </is>
      </c>
      <c r="B288" s="13" t="n">
        <v>-6700</v>
      </c>
    </row>
    <row r="289">
      <c r="A289" t="inlineStr">
        <is>
          <t>Subcontractors</t>
        </is>
      </c>
      <c r="B289" s="13" t="n">
        <v>-1200</v>
      </c>
    </row>
    <row r="290">
      <c r="A290" t="inlineStr">
        <is>
          <t>Technician hours</t>
        </is>
      </c>
      <c r="B290" s="17" t="n">
        <v>44</v>
      </c>
    </row>
    <row r="291">
      <c r="A291" t="inlineStr">
        <is>
          <t>Technician cost rate ($/hour, wages and all on-costs)</t>
        </is>
      </c>
      <c r="B291" s="13" t="n">
        <v>68</v>
      </c>
    </row>
    <row r="292">
      <c r="A292" t="inlineStr">
        <is>
          <t>Technician time</t>
        </is>
      </c>
      <c r="B292" s="13">
        <f>-B290*B291</f>
        <v/>
      </c>
    </row>
    <row r="293">
      <c r="A293" t="inlineStr">
        <is>
          <t>Job gross margin</t>
        </is>
      </c>
      <c r="B293" s="13">
        <f>B287+B288+B289+B292</f>
        <v/>
      </c>
    </row>
    <row r="294">
      <c r="A294" s="15" t="inlineStr">
        <is>
          <t>Job gross margin %</t>
        </is>
      </c>
      <c r="B294" s="16">
        <f>B293/B287</f>
        <v/>
      </c>
    </row>
    <row r="295"/>
    <row r="296"/>
    <row r="297">
      <c r="A297" s="5" t="inlineStr">
        <is>
          <t>Rocklea factory switchboard</t>
        </is>
      </c>
    </row>
    <row r="298">
      <c r="A298" s="12" t="inlineStr">
        <is>
          <t>Job gross margin ÷ revenue for this job (before overheads)</t>
        </is>
      </c>
    </row>
    <row r="299">
      <c r="A299" s="6" t="inlineStr"/>
      <c r="B299" s="7" t="inlineStr">
        <is>
          <t>This job</t>
        </is>
      </c>
    </row>
    <row r="300">
      <c r="A300" t="inlineStr">
        <is>
          <t>Revenue</t>
        </is>
      </c>
      <c r="B300" s="13" t="n">
        <v>38500</v>
      </c>
    </row>
    <row r="301">
      <c r="A301" t="inlineStr">
        <is>
          <t>Materials</t>
        </is>
      </c>
      <c r="B301" s="13" t="n">
        <v>-15600</v>
      </c>
    </row>
    <row r="302">
      <c r="A302" t="inlineStr">
        <is>
          <t>Subcontractors</t>
        </is>
      </c>
      <c r="B302" s="13" t="n">
        <v>-4800</v>
      </c>
    </row>
    <row r="303">
      <c r="A303" t="inlineStr">
        <is>
          <t>Technician hours</t>
        </is>
      </c>
      <c r="B303" s="17" t="n">
        <v>92</v>
      </c>
    </row>
    <row r="304">
      <c r="A304" t="inlineStr">
        <is>
          <t>Technician cost rate ($/hour, wages and all on-costs)</t>
        </is>
      </c>
      <c r="B304" s="13" t="n">
        <v>68</v>
      </c>
    </row>
    <row r="305">
      <c r="A305" t="inlineStr">
        <is>
          <t>Technician time</t>
        </is>
      </c>
      <c r="B305" s="13">
        <f>-B303*B304</f>
        <v/>
      </c>
    </row>
    <row r="306">
      <c r="A306" t="inlineStr">
        <is>
          <t>Job gross margin</t>
        </is>
      </c>
      <c r="B306" s="13">
        <f>B300+B301+B302+B305</f>
        <v/>
      </c>
    </row>
    <row r="307">
      <c r="A307" s="15" t="inlineStr">
        <is>
          <t>Job gross margin %</t>
        </is>
      </c>
      <c r="B307" s="16">
        <f>B306/B300</f>
        <v/>
      </c>
    </row>
    <row r="308"/>
    <row r="309"/>
    <row r="310">
      <c r="A310" s="5" t="inlineStr">
        <is>
          <t>Wynnum house solar</t>
        </is>
      </c>
    </row>
    <row r="311">
      <c r="A311" s="12" t="inlineStr">
        <is>
          <t>Job gross margin ÷ revenue for this job (before overheads)</t>
        </is>
      </c>
    </row>
    <row r="312">
      <c r="A312" s="6" t="inlineStr"/>
      <c r="B312" s="7" t="inlineStr">
        <is>
          <t>This job</t>
        </is>
      </c>
    </row>
    <row r="313">
      <c r="A313" t="inlineStr">
        <is>
          <t>Revenue</t>
        </is>
      </c>
      <c r="B313" s="13" t="n">
        <v>19600</v>
      </c>
    </row>
    <row r="314">
      <c r="A314" t="inlineStr">
        <is>
          <t>Materials</t>
        </is>
      </c>
      <c r="B314" s="13" t="n">
        <v>-9400</v>
      </c>
    </row>
    <row r="315">
      <c r="A315" t="inlineStr">
        <is>
          <t>Subcontractors</t>
        </is>
      </c>
      <c r="B315" s="13" t="n">
        <v>-2200</v>
      </c>
    </row>
    <row r="316">
      <c r="A316" t="inlineStr">
        <is>
          <t>Technician hours</t>
        </is>
      </c>
      <c r="B316" s="17" t="n">
        <v>36</v>
      </c>
    </row>
    <row r="317">
      <c r="A317" t="inlineStr">
        <is>
          <t>Technician cost rate ($/hour, wages and all on-costs)</t>
        </is>
      </c>
      <c r="B317" s="13" t="n">
        <v>68</v>
      </c>
    </row>
    <row r="318">
      <c r="A318" t="inlineStr">
        <is>
          <t>Technician time</t>
        </is>
      </c>
      <c r="B318" s="13">
        <f>-B316*B317</f>
        <v/>
      </c>
    </row>
    <row r="319">
      <c r="A319" t="inlineStr">
        <is>
          <t>Job gross margin</t>
        </is>
      </c>
      <c r="B319" s="13">
        <f>B313+B314+B315+B318</f>
        <v/>
      </c>
    </row>
    <row r="320">
      <c r="A320" s="15" t="inlineStr">
        <is>
          <t>Job gross margin %</t>
        </is>
      </c>
      <c r="B320" s="16">
        <f>B319/B313</f>
        <v/>
      </c>
    </row>
    <row r="321"/>
    <row r="322"/>
    <row r="323">
      <c r="A323" s="5" t="inlineStr">
        <is>
          <t>Call-outs and repairs: gross margin, August and July</t>
        </is>
      </c>
    </row>
    <row r="324">
      <c r="A324" s="12" t="inlineStr">
        <is>
          <t>Revenue less direct cost, over revenue. Before overheads.</t>
        </is>
      </c>
    </row>
    <row r="325">
      <c r="A325" s="6" t="inlineStr"/>
      <c r="B325" s="7" t="inlineStr">
        <is>
          <t>Aug 26</t>
        </is>
      </c>
      <c r="C325" s="7" t="inlineStr">
        <is>
          <t>Jul 26</t>
        </is>
      </c>
    </row>
    <row r="326">
      <c r="A326" t="inlineStr">
        <is>
          <t>Revenue</t>
        </is>
      </c>
      <c r="B326" s="13" t="n">
        <v>28907</v>
      </c>
      <c r="C326" s="13" t="n">
        <v>25145</v>
      </c>
    </row>
    <row r="327">
      <c r="A327" t="inlineStr">
        <is>
          <t>Direct cost</t>
        </is>
      </c>
      <c r="B327" s="13" t="n">
        <v>16266</v>
      </c>
      <c r="C327" s="13" t="n">
        <v>14220</v>
      </c>
    </row>
    <row r="328">
      <c r="A328" t="inlineStr">
        <is>
          <t>Gross margin</t>
        </is>
      </c>
      <c r="B328" s="13">
        <f>B326-B327</f>
        <v/>
      </c>
      <c r="C328" s="13">
        <f>C326-C327</f>
        <v/>
      </c>
    </row>
    <row r="329">
      <c r="A329" s="15" t="inlineStr">
        <is>
          <t>Gross margin %</t>
        </is>
      </c>
      <c r="B329" s="16">
        <f>B328/B326</f>
        <v/>
      </c>
      <c r="C329" s="16">
        <f>C328/C326</f>
        <v/>
      </c>
    </row>
    <row r="330"/>
    <row r="331"/>
    <row r="332">
      <c r="A332" s="5" t="inlineStr">
        <is>
          <t>1-hour call-outs (8)</t>
        </is>
      </c>
    </row>
    <row r="333">
      <c r="A333" s="12" t="inlineStr">
        <is>
          <t>Call-outs of this length in August, added together</t>
        </is>
      </c>
    </row>
    <row r="334">
      <c r="A334" s="6" t="inlineStr"/>
      <c r="B334" s="7" t="inlineStr">
        <is>
          <t>Aug 2026</t>
        </is>
      </c>
    </row>
    <row r="335">
      <c r="A335" t="inlineStr">
        <is>
          <t>Call-outs</t>
        </is>
      </c>
      <c r="B335" s="13" t="n">
        <v>8</v>
      </c>
    </row>
    <row r="336">
      <c r="A336" t="inlineStr">
        <is>
          <t>Revenue</t>
        </is>
      </c>
      <c r="B336" s="13" t="n">
        <v>2213</v>
      </c>
    </row>
    <row r="337">
      <c r="A337" t="inlineStr">
        <is>
          <t>Materials</t>
        </is>
      </c>
      <c r="B337" s="13" t="n">
        <v>-810</v>
      </c>
    </row>
    <row r="338">
      <c r="A338" t="inlineStr">
        <is>
          <t>Technician time at cost</t>
        </is>
      </c>
      <c r="B338" s="13" t="n">
        <v>-544</v>
      </c>
    </row>
    <row r="339">
      <c r="A339" t="inlineStr">
        <is>
          <t>Job gross margin</t>
        </is>
      </c>
      <c r="B339" s="13">
        <f>B336+B337+B338</f>
        <v/>
      </c>
    </row>
    <row r="340">
      <c r="A340" s="15" t="inlineStr">
        <is>
          <t>Job gross margin %</t>
        </is>
      </c>
      <c r="B340" s="16">
        <f>B339/B336</f>
        <v/>
      </c>
    </row>
    <row r="341"/>
    <row r="342"/>
    <row r="343">
      <c r="A343" s="5" t="inlineStr">
        <is>
          <t>1.5-hour call-outs (7)</t>
        </is>
      </c>
    </row>
    <row r="344">
      <c r="A344" s="12" t="inlineStr">
        <is>
          <t>Call-outs of this length in August, added together</t>
        </is>
      </c>
    </row>
    <row r="345">
      <c r="A345" s="6" t="inlineStr"/>
      <c r="B345" s="7" t="inlineStr">
        <is>
          <t>Aug 2026</t>
        </is>
      </c>
    </row>
    <row r="346">
      <c r="A346" t="inlineStr">
        <is>
          <t>Call-outs</t>
        </is>
      </c>
      <c r="B346" s="13" t="n">
        <v>7</v>
      </c>
    </row>
    <row r="347">
      <c r="A347" t="inlineStr">
        <is>
          <t>Revenue</t>
        </is>
      </c>
      <c r="B347" s="13" t="n">
        <v>2631</v>
      </c>
    </row>
    <row r="348">
      <c r="A348" t="inlineStr">
        <is>
          <t>Materials</t>
        </is>
      </c>
      <c r="B348" s="13" t="n">
        <v>-850</v>
      </c>
    </row>
    <row r="349">
      <c r="A349" t="inlineStr">
        <is>
          <t>Technician time at cost</t>
        </is>
      </c>
      <c r="B349" s="13" t="n">
        <v>-714</v>
      </c>
    </row>
    <row r="350">
      <c r="A350" t="inlineStr">
        <is>
          <t>Job gross margin</t>
        </is>
      </c>
      <c r="B350" s="13">
        <f>B347+B348+B349</f>
        <v/>
      </c>
    </row>
    <row r="351">
      <c r="A351" s="15" t="inlineStr">
        <is>
          <t>Job gross margin %</t>
        </is>
      </c>
      <c r="B351" s="16">
        <f>B350/B347</f>
        <v/>
      </c>
    </row>
    <row r="352"/>
    <row r="353"/>
    <row r="354">
      <c r="A354" s="5" t="inlineStr">
        <is>
          <t>2-hour call-outs (14)</t>
        </is>
      </c>
    </row>
    <row r="355">
      <c r="A355" s="12" t="inlineStr">
        <is>
          <t>Call-outs of this length in August, added together</t>
        </is>
      </c>
    </row>
    <row r="356">
      <c r="A356" s="6" t="inlineStr"/>
      <c r="B356" s="7" t="inlineStr">
        <is>
          <t>Aug 2026</t>
        </is>
      </c>
    </row>
    <row r="357">
      <c r="A357" t="inlineStr">
        <is>
          <t>Call-outs</t>
        </is>
      </c>
      <c r="B357" s="13" t="n">
        <v>14</v>
      </c>
    </row>
    <row r="358">
      <c r="A358" t="inlineStr">
        <is>
          <t>Revenue</t>
        </is>
      </c>
      <c r="B358" s="13" t="n">
        <v>5880</v>
      </c>
    </row>
    <row r="359">
      <c r="A359" t="inlineStr">
        <is>
          <t>Materials</t>
        </is>
      </c>
      <c r="B359" s="13" t="n">
        <v>-1400</v>
      </c>
    </row>
    <row r="360">
      <c r="A360" t="inlineStr">
        <is>
          <t>Technician time at cost</t>
        </is>
      </c>
      <c r="B360" s="13" t="n">
        <v>-1904</v>
      </c>
    </row>
    <row r="361">
      <c r="A361" t="inlineStr">
        <is>
          <t>Job gross margin</t>
        </is>
      </c>
      <c r="B361" s="13">
        <f>B358+B359+B360</f>
        <v/>
      </c>
    </row>
    <row r="362">
      <c r="A362" s="15" t="inlineStr">
        <is>
          <t>Job gross margin %</t>
        </is>
      </c>
      <c r="B362" s="16">
        <f>B361/B358</f>
        <v/>
      </c>
    </row>
    <row r="363"/>
    <row r="364"/>
    <row r="365">
      <c r="A365" s="5" t="inlineStr">
        <is>
          <t>2.5-hour call-outs (7)</t>
        </is>
      </c>
    </row>
    <row r="366">
      <c r="A366" s="12" t="inlineStr">
        <is>
          <t>Call-outs of this length in August, added together</t>
        </is>
      </c>
    </row>
    <row r="367">
      <c r="A367" s="6" t="inlineStr"/>
      <c r="B367" s="7" t="inlineStr">
        <is>
          <t>Aug 2026</t>
        </is>
      </c>
    </row>
    <row r="368">
      <c r="A368" t="inlineStr">
        <is>
          <t>Call-outs</t>
        </is>
      </c>
      <c r="B368" s="13" t="n">
        <v>7</v>
      </c>
    </row>
    <row r="369">
      <c r="A369" t="inlineStr">
        <is>
          <t>Revenue</t>
        </is>
      </c>
      <c r="B369" s="13" t="n">
        <v>3490</v>
      </c>
    </row>
    <row r="370">
      <c r="A370" t="inlineStr">
        <is>
          <t>Materials</t>
        </is>
      </c>
      <c r="B370" s="13" t="n">
        <v>-730</v>
      </c>
    </row>
    <row r="371">
      <c r="A371" t="inlineStr">
        <is>
          <t>Technician time at cost</t>
        </is>
      </c>
      <c r="B371" s="13" t="n">
        <v>-1190</v>
      </c>
    </row>
    <row r="372">
      <c r="A372" t="inlineStr">
        <is>
          <t>Job gross margin</t>
        </is>
      </c>
      <c r="B372" s="13">
        <f>B369+B370+B371</f>
        <v/>
      </c>
    </row>
    <row r="373">
      <c r="A373" s="15" t="inlineStr">
        <is>
          <t>Job gross margin %</t>
        </is>
      </c>
      <c r="B373" s="16">
        <f>B372/B369</f>
        <v/>
      </c>
    </row>
    <row r="374"/>
    <row r="375"/>
    <row r="376">
      <c r="A376" s="5" t="inlineStr">
        <is>
          <t>3-hour call-outs (15)</t>
        </is>
      </c>
    </row>
    <row r="377">
      <c r="A377" s="12" t="inlineStr">
        <is>
          <t>Call-outs of this length in August, added together</t>
        </is>
      </c>
    </row>
    <row r="378">
      <c r="A378" s="6" t="inlineStr"/>
      <c r="B378" s="7" t="inlineStr">
        <is>
          <t>Aug 2026</t>
        </is>
      </c>
    </row>
    <row r="379">
      <c r="A379" t="inlineStr">
        <is>
          <t>Call-outs</t>
        </is>
      </c>
      <c r="B379" s="13" t="n">
        <v>15</v>
      </c>
    </row>
    <row r="380">
      <c r="A380" t="inlineStr">
        <is>
          <t>Revenue</t>
        </is>
      </c>
      <c r="B380" s="13" t="n">
        <v>9320</v>
      </c>
    </row>
    <row r="381">
      <c r="A381" t="inlineStr">
        <is>
          <t>Materials</t>
        </is>
      </c>
      <c r="B381" s="13" t="n">
        <v>-2150</v>
      </c>
    </row>
    <row r="382">
      <c r="A382" t="inlineStr">
        <is>
          <t>Technician time at cost</t>
        </is>
      </c>
      <c r="B382" s="13" t="n">
        <v>-3060</v>
      </c>
    </row>
    <row r="383">
      <c r="A383" t="inlineStr">
        <is>
          <t>Job gross margin</t>
        </is>
      </c>
      <c r="B383" s="13">
        <f>B380+B381+B382</f>
        <v/>
      </c>
    </row>
    <row r="384">
      <c r="A384" s="15" t="inlineStr">
        <is>
          <t>Job gross margin %</t>
        </is>
      </c>
      <c r="B384" s="16">
        <f>B383/B380</f>
        <v/>
      </c>
    </row>
    <row r="385"/>
    <row r="386"/>
    <row r="387">
      <c r="A387" s="5" t="inlineStr">
        <is>
          <t>4-hour call-outs (7)</t>
        </is>
      </c>
    </row>
    <row r="388">
      <c r="A388" s="12" t="inlineStr">
        <is>
          <t>Call-outs of this length in August, added together</t>
        </is>
      </c>
    </row>
    <row r="389">
      <c r="A389" s="6" t="inlineStr"/>
      <c r="B389" s="7" t="inlineStr">
        <is>
          <t>Aug 2026</t>
        </is>
      </c>
    </row>
    <row r="390">
      <c r="A390" t="inlineStr">
        <is>
          <t>Call-outs</t>
        </is>
      </c>
      <c r="B390" s="13" t="n">
        <v>7</v>
      </c>
    </row>
    <row r="391">
      <c r="A391" t="inlineStr">
        <is>
          <t>Revenue</t>
        </is>
      </c>
      <c r="B391" s="13" t="n">
        <v>5373</v>
      </c>
    </row>
    <row r="392">
      <c r="A392" t="inlineStr">
        <is>
          <t>Materials</t>
        </is>
      </c>
      <c r="B392" s="13" t="n">
        <v>-1010</v>
      </c>
    </row>
    <row r="393">
      <c r="A393" t="inlineStr">
        <is>
          <t>Technician time at cost</t>
        </is>
      </c>
      <c r="B393" s="13" t="n">
        <v>-1904</v>
      </c>
    </row>
    <row r="394">
      <c r="A394" t="inlineStr">
        <is>
          <t>Job gross margin</t>
        </is>
      </c>
      <c r="B394" s="13">
        <f>B391+B392+B393</f>
        <v/>
      </c>
    </row>
    <row r="395">
      <c r="A395" s="15" t="inlineStr">
        <is>
          <t>Job gross margin %</t>
        </is>
      </c>
      <c r="B395" s="16">
        <f>B394/B391</f>
        <v/>
      </c>
    </row>
    <row r="396"/>
    <row r="397"/>
    <row r="398"/>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15" manualBreakCount="15">
    <brk id="30" min="0" max="16383" man="1"/>
    <brk id="57" min="0" max="16383" man="1"/>
    <brk id="79" min="0" max="16383" man="1"/>
    <brk id="105" min="0" max="16383" man="1"/>
    <brk id="131" min="0" max="16383" man="1"/>
    <brk id="157" min="0" max="16383" man="1"/>
    <brk id="183" min="0" max="16383" man="1"/>
    <brk id="209" min="0" max="16383" man="1"/>
    <brk id="235" min="0" max="16383" man="1"/>
    <brk id="257" min="0" max="16383" man="1"/>
    <brk id="283" min="0" max="16383" man="1"/>
    <brk id="309" min="0" max="16383" man="1"/>
    <brk id="331" min="0" max="16383" man="1"/>
    <brk id="353" min="0" max="16383" man="1"/>
    <brk id="375" min="0" max="16383" man="1"/>
  </rowBreaks>
</worksheet>
</file>

<file path=xl/worksheets/sheet3.xml><?xml version="1.0" encoding="utf-8"?>
<worksheet xmlns="http://schemas.openxmlformats.org/spreadsheetml/2006/main">
  <sheetPr>
    <outlinePr summaryBelow="1" summaryRight="1"/>
    <pageSetUpPr fitToPage="1"/>
  </sheetPr>
  <dimension ref="A1:G9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August 2026 · Data status: Jul 2026 locked · Aug 2026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All</t>
        </is>
      </c>
      <c r="B20" s="18" t="inlineStr">
        <is>
          <t>Dec 25</t>
        </is>
      </c>
      <c r="C20" s="18" t="inlineStr">
        <is>
          <t>Locked</t>
        </is>
      </c>
      <c r="D20" s="13" t="n">
        <v>135079</v>
      </c>
      <c r="E20" s="13" t="n">
        <v>84626</v>
      </c>
      <c r="F20" s="13">
        <f>D20-E20</f>
        <v/>
      </c>
      <c r="G20" s="14">
        <f>IF(D20=0,"",F20/D20)</f>
        <v/>
      </c>
    </row>
    <row r="21">
      <c r="A21" s="18" t="inlineStr">
        <is>
          <t>All</t>
        </is>
      </c>
      <c r="B21" s="18" t="inlineStr">
        <is>
          <t>Jan 26</t>
        </is>
      </c>
      <c r="C21" s="18" t="inlineStr">
        <is>
          <t>Locked</t>
        </is>
      </c>
      <c r="D21" s="13" t="n">
        <v>164780</v>
      </c>
      <c r="E21" s="13" t="n">
        <v>106590</v>
      </c>
      <c r="F21" s="13">
        <f>D21-E21</f>
        <v/>
      </c>
      <c r="G21" s="14">
        <f>IF(D21=0,"",F21/D21)</f>
        <v/>
      </c>
    </row>
    <row r="22">
      <c r="A22" s="18" t="inlineStr">
        <is>
          <t>All</t>
        </is>
      </c>
      <c r="B22" s="18" t="inlineStr">
        <is>
          <t>Feb 26</t>
        </is>
      </c>
      <c r="C22" s="18" t="inlineStr">
        <is>
          <t>Locked</t>
        </is>
      </c>
      <c r="D22" s="13" t="n">
        <v>196372</v>
      </c>
      <c r="E22" s="13" t="n">
        <v>120662</v>
      </c>
      <c r="F22" s="13">
        <f>D22-E22</f>
        <v/>
      </c>
      <c r="G22" s="14">
        <f>IF(D22=0,"",F22/D22)</f>
        <v/>
      </c>
    </row>
    <row r="23">
      <c r="A23" s="18" t="inlineStr">
        <is>
          <t>All</t>
        </is>
      </c>
      <c r="B23" s="18" t="inlineStr">
        <is>
          <t>Mar 26</t>
        </is>
      </c>
      <c r="C23" s="18" t="inlineStr">
        <is>
          <t>Locked</t>
        </is>
      </c>
      <c r="D23" s="13" t="n">
        <v>191500</v>
      </c>
      <c r="E23" s="13" t="n">
        <v>123342</v>
      </c>
      <c r="F23" s="13">
        <f>D23-E23</f>
        <v/>
      </c>
      <c r="G23" s="14">
        <f>IF(D23=0,"",F23/D23)</f>
        <v/>
      </c>
    </row>
    <row r="24">
      <c r="A24" s="18" t="inlineStr">
        <is>
          <t>All</t>
        </is>
      </c>
      <c r="B24" s="18" t="inlineStr">
        <is>
          <t>Apr 26</t>
        </is>
      </c>
      <c r="C24" s="18" t="inlineStr">
        <is>
          <t>Locked</t>
        </is>
      </c>
      <c r="D24" s="13" t="n">
        <v>164987</v>
      </c>
      <c r="E24" s="13" t="n">
        <v>96144</v>
      </c>
      <c r="F24" s="13">
        <f>D24-E24</f>
        <v/>
      </c>
      <c r="G24" s="14">
        <f>IF(D24=0,"",F24/D24)</f>
        <v/>
      </c>
    </row>
    <row r="25">
      <c r="A25" s="18" t="inlineStr">
        <is>
          <t>All</t>
        </is>
      </c>
      <c r="B25" s="18" t="inlineStr">
        <is>
          <t>May 26</t>
        </is>
      </c>
      <c r="C25" s="18" t="inlineStr">
        <is>
          <t>Locked</t>
        </is>
      </c>
      <c r="D25" s="13" t="n">
        <v>161963</v>
      </c>
      <c r="E25" s="13" t="n">
        <v>98858</v>
      </c>
      <c r="F25" s="13">
        <f>D25-E25</f>
        <v/>
      </c>
      <c r="G25" s="14">
        <f>IF(D25=0,"",F25/D25)</f>
        <v/>
      </c>
    </row>
    <row r="26">
      <c r="A26" s="18" t="inlineStr">
        <is>
          <t>All</t>
        </is>
      </c>
      <c r="B26" s="18" t="inlineStr">
        <is>
          <t>Jun 26</t>
        </is>
      </c>
      <c r="C26" s="18" t="inlineStr">
        <is>
          <t>Locked</t>
        </is>
      </c>
      <c r="D26" s="13" t="n">
        <v>173163</v>
      </c>
      <c r="E26" s="13" t="n">
        <v>106500</v>
      </c>
      <c r="F26" s="13">
        <f>D26-E26</f>
        <v/>
      </c>
      <c r="G26" s="14">
        <f>IF(D26=0,"",F26/D26)</f>
        <v/>
      </c>
    </row>
    <row r="27">
      <c r="A27" s="18" t="inlineStr">
        <is>
          <t>All</t>
        </is>
      </c>
      <c r="B27" s="18" t="inlineStr">
        <is>
          <t>Jul 26</t>
        </is>
      </c>
      <c r="C27" s="18" t="inlineStr">
        <is>
          <t>Locked</t>
        </is>
      </c>
      <c r="D27" s="13" t="n">
        <v>193245</v>
      </c>
      <c r="E27" s="13" t="n">
        <v>122124</v>
      </c>
      <c r="F27" s="13">
        <f>D27-E27</f>
        <v/>
      </c>
      <c r="G27" s="14">
        <f>IF(D27=0,"",F27/D27)</f>
        <v/>
      </c>
    </row>
    <row r="28">
      <c r="A28" s="18" t="inlineStr">
        <is>
          <t>All</t>
        </is>
      </c>
      <c r="B28" s="18" t="inlineStr">
        <is>
          <t>Aug 26</t>
        </is>
      </c>
      <c r="C28" s="18" t="inlineStr">
        <is>
          <t>Locked</t>
        </is>
      </c>
      <c r="D28" s="13" t="n">
        <v>179007</v>
      </c>
      <c r="E28" s="13" t="n">
        <v>105370</v>
      </c>
      <c r="F28" s="13">
        <f>D28-E28</f>
        <v/>
      </c>
      <c r="G28" s="14">
        <f>IF(D28=0,"",F28/D28)</f>
        <v/>
      </c>
    </row>
    <row r="29">
      <c r="A29" s="18" t="inlineStr">
        <is>
          <t>Maintenance contracts</t>
        </is>
      </c>
      <c r="B29" s="18" t="inlineStr">
        <is>
          <t>Oct 24</t>
        </is>
      </c>
      <c r="C29" s="18" t="inlineStr">
        <is>
          <t>Locked</t>
        </is>
      </c>
      <c r="D29" s="13" t="n">
        <v>24670</v>
      </c>
      <c r="E29" s="13" t="n">
        <v>10420</v>
      </c>
      <c r="F29" s="13">
        <f>D29-E29</f>
        <v/>
      </c>
      <c r="G29" s="14">
        <f>IF(D29=0,"",F29/D29)</f>
        <v/>
      </c>
    </row>
    <row r="30">
      <c r="A30" s="18" t="inlineStr">
        <is>
          <t>Maintenance contracts</t>
        </is>
      </c>
      <c r="B30" s="18" t="inlineStr">
        <is>
          <t>Nov 24</t>
        </is>
      </c>
      <c r="C30" s="18" t="inlineStr">
        <is>
          <t>Locked</t>
        </is>
      </c>
      <c r="D30" s="13" t="n">
        <v>24670</v>
      </c>
      <c r="E30" s="13" t="n">
        <v>10420</v>
      </c>
      <c r="F30" s="13">
        <f>D30-E30</f>
        <v/>
      </c>
      <c r="G30" s="14">
        <f>IF(D30=0,"",F30/D30)</f>
        <v/>
      </c>
    </row>
    <row r="31">
      <c r="A31" s="18" t="inlineStr">
        <is>
          <t>Maintenance contracts</t>
        </is>
      </c>
      <c r="B31" s="18" t="inlineStr">
        <is>
          <t>Dec 24</t>
        </is>
      </c>
      <c r="C31" s="18" t="inlineStr">
        <is>
          <t>Locked</t>
        </is>
      </c>
      <c r="D31" s="13" t="n">
        <v>24670</v>
      </c>
      <c r="E31" s="13" t="n">
        <v>10420</v>
      </c>
      <c r="F31" s="13">
        <f>D31-E31</f>
        <v/>
      </c>
      <c r="G31" s="14">
        <f>IF(D31=0,"",F31/D31)</f>
        <v/>
      </c>
    </row>
    <row r="32">
      <c r="A32" s="18" t="inlineStr">
        <is>
          <t>Maintenance contracts</t>
        </is>
      </c>
      <c r="B32" s="18" t="inlineStr">
        <is>
          <t>Jan 25</t>
        </is>
      </c>
      <c r="C32" s="18" t="inlineStr">
        <is>
          <t>Locked</t>
        </is>
      </c>
      <c r="D32" s="13" t="n">
        <v>24670</v>
      </c>
      <c r="E32" s="13" t="n">
        <v>10420</v>
      </c>
      <c r="F32" s="13">
        <f>D32-E32</f>
        <v/>
      </c>
      <c r="G32" s="14">
        <f>IF(D32=0,"",F32/D32)</f>
        <v/>
      </c>
    </row>
    <row r="33">
      <c r="A33" s="18" t="inlineStr">
        <is>
          <t>Maintenance contracts</t>
        </is>
      </c>
      <c r="B33" s="18" t="inlineStr">
        <is>
          <t>Feb 25</t>
        </is>
      </c>
      <c r="C33" s="18" t="inlineStr">
        <is>
          <t>Locked</t>
        </is>
      </c>
      <c r="D33" s="13" t="n">
        <v>27930</v>
      </c>
      <c r="E33" s="13" t="n">
        <v>11782</v>
      </c>
      <c r="F33" s="13">
        <f>D33-E33</f>
        <v/>
      </c>
      <c r="G33" s="14">
        <f>IF(D33=0,"",F33/D33)</f>
        <v/>
      </c>
    </row>
    <row r="34">
      <c r="A34" s="18" t="inlineStr">
        <is>
          <t>Maintenance contracts</t>
        </is>
      </c>
      <c r="B34" s="18" t="inlineStr">
        <is>
          <t>Mar 25</t>
        </is>
      </c>
      <c r="C34" s="18" t="inlineStr">
        <is>
          <t>Locked</t>
        </is>
      </c>
      <c r="D34" s="13" t="n">
        <v>27930</v>
      </c>
      <c r="E34" s="13" t="n">
        <v>11782</v>
      </c>
      <c r="F34" s="13">
        <f>D34-E34</f>
        <v/>
      </c>
      <c r="G34" s="14">
        <f>IF(D34=0,"",F34/D34)</f>
        <v/>
      </c>
    </row>
    <row r="35">
      <c r="A35" s="18" t="inlineStr">
        <is>
          <t>Maintenance contracts</t>
        </is>
      </c>
      <c r="B35" s="18" t="inlineStr">
        <is>
          <t>Apr 25</t>
        </is>
      </c>
      <c r="C35" s="18" t="inlineStr">
        <is>
          <t>Locked</t>
        </is>
      </c>
      <c r="D35" s="13" t="n">
        <v>27930</v>
      </c>
      <c r="E35" s="13" t="n">
        <v>11782</v>
      </c>
      <c r="F35" s="13">
        <f>D35-E35</f>
        <v/>
      </c>
      <c r="G35" s="14">
        <f>IF(D35=0,"",F35/D35)</f>
        <v/>
      </c>
    </row>
    <row r="36">
      <c r="A36" s="18" t="inlineStr">
        <is>
          <t>Maintenance contracts</t>
        </is>
      </c>
      <c r="B36" s="18" t="inlineStr">
        <is>
          <t>May 25</t>
        </is>
      </c>
      <c r="C36" s="18" t="inlineStr">
        <is>
          <t>Locked</t>
        </is>
      </c>
      <c r="D36" s="13" t="n">
        <v>27930</v>
      </c>
      <c r="E36" s="13" t="n">
        <v>11782</v>
      </c>
      <c r="F36" s="13">
        <f>D36-E36</f>
        <v/>
      </c>
      <c r="G36" s="14">
        <f>IF(D36=0,"",F36/D36)</f>
        <v/>
      </c>
    </row>
    <row r="37">
      <c r="A37" s="18" t="inlineStr">
        <is>
          <t>Maintenance contracts</t>
        </is>
      </c>
      <c r="B37" s="18" t="inlineStr">
        <is>
          <t>Jun 25</t>
        </is>
      </c>
      <c r="C37" s="18" t="inlineStr">
        <is>
          <t>Locked</t>
        </is>
      </c>
      <c r="D37" s="13" t="n">
        <v>31870</v>
      </c>
      <c r="E37" s="13" t="n">
        <v>13446</v>
      </c>
      <c r="F37" s="13">
        <f>D37-E37</f>
        <v/>
      </c>
      <c r="G37" s="14">
        <f>IF(D37=0,"",F37/D37)</f>
        <v/>
      </c>
    </row>
    <row r="38">
      <c r="A38" s="18" t="inlineStr">
        <is>
          <t>Maintenance contracts</t>
        </is>
      </c>
      <c r="B38" s="18" t="inlineStr">
        <is>
          <t>Jul 25</t>
        </is>
      </c>
      <c r="C38" s="18" t="inlineStr">
        <is>
          <t>Locked</t>
        </is>
      </c>
      <c r="D38" s="13" t="n">
        <v>33200</v>
      </c>
      <c r="E38" s="13" t="n">
        <v>13446</v>
      </c>
      <c r="F38" s="13">
        <f>D38-E38</f>
        <v/>
      </c>
      <c r="G38" s="14">
        <f>IF(D38=0,"",F38/D38)</f>
        <v/>
      </c>
    </row>
    <row r="39">
      <c r="A39" s="18" t="inlineStr">
        <is>
          <t>Maintenance contracts</t>
        </is>
      </c>
      <c r="B39" s="18" t="inlineStr">
        <is>
          <t>Aug 25</t>
        </is>
      </c>
      <c r="C39" s="18" t="inlineStr">
        <is>
          <t>Locked</t>
        </is>
      </c>
      <c r="D39" s="13" t="n">
        <v>33200</v>
      </c>
      <c r="E39" s="13" t="n">
        <v>13446</v>
      </c>
      <c r="F39" s="13">
        <f>D39-E39</f>
        <v/>
      </c>
      <c r="G39" s="14">
        <f>IF(D39=0,"",F39/D39)</f>
        <v/>
      </c>
    </row>
    <row r="40">
      <c r="A40" s="18" t="inlineStr">
        <is>
          <t>Maintenance contracts</t>
        </is>
      </c>
      <c r="B40" s="18" t="inlineStr">
        <is>
          <t>Sep 25</t>
        </is>
      </c>
      <c r="C40" s="18" t="inlineStr">
        <is>
          <t>Locked</t>
        </is>
      </c>
      <c r="D40" s="13" t="n">
        <v>33200</v>
      </c>
      <c r="E40" s="13" t="n">
        <v>13446</v>
      </c>
      <c r="F40" s="13">
        <f>D40-E40</f>
        <v/>
      </c>
      <c r="G40" s="14">
        <f>IF(D40=0,"",F40/D40)</f>
        <v/>
      </c>
    </row>
    <row r="41">
      <c r="A41" s="18" t="inlineStr">
        <is>
          <t>Maintenance contracts</t>
        </is>
      </c>
      <c r="B41" s="18" t="inlineStr">
        <is>
          <t>Oct 25</t>
        </is>
      </c>
      <c r="C41" s="18" t="inlineStr">
        <is>
          <t>Locked</t>
        </is>
      </c>
      <c r="D41" s="13" t="n">
        <v>35800</v>
      </c>
      <c r="E41" s="13" t="n">
        <v>14516</v>
      </c>
      <c r="F41" s="13">
        <f>D41-E41</f>
        <v/>
      </c>
      <c r="G41" s="14">
        <f>IF(D41=0,"",F41/D41)</f>
        <v/>
      </c>
    </row>
    <row r="42">
      <c r="A42" s="18" t="inlineStr">
        <is>
          <t>Maintenance contracts</t>
        </is>
      </c>
      <c r="B42" s="18" t="inlineStr">
        <is>
          <t>Nov 25</t>
        </is>
      </c>
      <c r="C42" s="18" t="inlineStr">
        <is>
          <t>Locked</t>
        </is>
      </c>
      <c r="D42" s="13" t="n">
        <v>35800</v>
      </c>
      <c r="E42" s="13" t="n">
        <v>14516</v>
      </c>
      <c r="F42" s="13">
        <f>D42-E42</f>
        <v/>
      </c>
      <c r="G42" s="14">
        <f>IF(D42=0,"",F42/D42)</f>
        <v/>
      </c>
    </row>
    <row r="43">
      <c r="A43" s="18" t="inlineStr">
        <is>
          <t>Maintenance contracts</t>
        </is>
      </c>
      <c r="B43" s="18" t="inlineStr">
        <is>
          <t>Dec 25</t>
        </is>
      </c>
      <c r="C43" s="18" t="inlineStr">
        <is>
          <t>Locked</t>
        </is>
      </c>
      <c r="D43" s="13" t="n">
        <v>35800</v>
      </c>
      <c r="E43" s="13" t="n">
        <v>14516</v>
      </c>
      <c r="F43" s="13">
        <f>D43-E43</f>
        <v/>
      </c>
      <c r="G43" s="14">
        <f>IF(D43=0,"",F43/D43)</f>
        <v/>
      </c>
    </row>
    <row r="44">
      <c r="A44" s="18" t="inlineStr">
        <is>
          <t>Maintenance contracts</t>
        </is>
      </c>
      <c r="B44" s="18" t="inlineStr">
        <is>
          <t>Jan 26</t>
        </is>
      </c>
      <c r="C44" s="18" t="inlineStr">
        <is>
          <t>Locked</t>
        </is>
      </c>
      <c r="D44" s="13" t="n">
        <v>35800</v>
      </c>
      <c r="E44" s="13" t="n">
        <v>14516</v>
      </c>
      <c r="F44" s="13">
        <f>D44-E44</f>
        <v/>
      </c>
      <c r="G44" s="14">
        <f>IF(D44=0,"",F44/D44)</f>
        <v/>
      </c>
    </row>
    <row r="45">
      <c r="A45" s="18" t="inlineStr">
        <is>
          <t>Maintenance contracts</t>
        </is>
      </c>
      <c r="B45" s="18" t="inlineStr">
        <is>
          <t>Feb 26</t>
        </is>
      </c>
      <c r="C45" s="18" t="inlineStr">
        <is>
          <t>Locked</t>
        </is>
      </c>
      <c r="D45" s="13" t="n">
        <v>37500</v>
      </c>
      <c r="E45" s="13" t="n">
        <v>15158</v>
      </c>
      <c r="F45" s="13">
        <f>D45-E45</f>
        <v/>
      </c>
      <c r="G45" s="14">
        <f>IF(D45=0,"",F45/D45)</f>
        <v/>
      </c>
    </row>
    <row r="46">
      <c r="A46" s="18" t="inlineStr">
        <is>
          <t>Maintenance contracts</t>
        </is>
      </c>
      <c r="B46" s="18" t="inlineStr">
        <is>
          <t>Mar 26</t>
        </is>
      </c>
      <c r="C46" s="18" t="inlineStr">
        <is>
          <t>Locked</t>
        </is>
      </c>
      <c r="D46" s="13" t="n">
        <v>37500</v>
      </c>
      <c r="E46" s="13" t="n">
        <v>15158</v>
      </c>
      <c r="F46" s="13">
        <f>D46-E46</f>
        <v/>
      </c>
      <c r="G46" s="14">
        <f>IF(D46=0,"",F46/D46)</f>
        <v/>
      </c>
    </row>
    <row r="47">
      <c r="A47" s="18" t="inlineStr">
        <is>
          <t>Maintenance contracts</t>
        </is>
      </c>
      <c r="B47" s="18" t="inlineStr">
        <is>
          <t>Apr 26</t>
        </is>
      </c>
      <c r="C47" s="18" t="inlineStr">
        <is>
          <t>Locked</t>
        </is>
      </c>
      <c r="D47" s="13" t="n">
        <v>37500</v>
      </c>
      <c r="E47" s="13" t="n">
        <v>15158</v>
      </c>
      <c r="F47" s="13">
        <f>D47-E47</f>
        <v/>
      </c>
      <c r="G47" s="14">
        <f>IF(D47=0,"",F47/D47)</f>
        <v/>
      </c>
    </row>
    <row r="48">
      <c r="A48" s="18" t="inlineStr">
        <is>
          <t>Maintenance contracts</t>
        </is>
      </c>
      <c r="B48" s="18" t="inlineStr">
        <is>
          <t>May 26</t>
        </is>
      </c>
      <c r="C48" s="18" t="inlineStr">
        <is>
          <t>Locked</t>
        </is>
      </c>
      <c r="D48" s="13" t="n">
        <v>40500</v>
      </c>
      <c r="E48" s="13" t="n">
        <v>16384</v>
      </c>
      <c r="F48" s="13">
        <f>D48-E48</f>
        <v/>
      </c>
      <c r="G48" s="14">
        <f>IF(D48=0,"",F48/D48)</f>
        <v/>
      </c>
    </row>
    <row r="49">
      <c r="A49" s="18" t="inlineStr">
        <is>
          <t>Maintenance contracts</t>
        </is>
      </c>
      <c r="B49" s="18" t="inlineStr">
        <is>
          <t>Jun 26</t>
        </is>
      </c>
      <c r="C49" s="18" t="inlineStr">
        <is>
          <t>Locked</t>
        </is>
      </c>
      <c r="D49" s="13" t="n">
        <v>40500</v>
      </c>
      <c r="E49" s="13" t="n">
        <v>16384</v>
      </c>
      <c r="F49" s="13">
        <f>D49-E49</f>
        <v/>
      </c>
      <c r="G49" s="14">
        <f>IF(D49=0,"",F49/D49)</f>
        <v/>
      </c>
    </row>
    <row r="50">
      <c r="A50" s="18" t="inlineStr">
        <is>
          <t>Maintenance contracts</t>
        </is>
      </c>
      <c r="B50" s="18" t="inlineStr">
        <is>
          <t>Jul 26</t>
        </is>
      </c>
      <c r="C50" s="18" t="inlineStr">
        <is>
          <t>Locked</t>
        </is>
      </c>
      <c r="D50" s="13" t="n">
        <v>40500</v>
      </c>
      <c r="E50" s="13" t="n">
        <v>16384</v>
      </c>
      <c r="F50" s="13">
        <f>D50-E50</f>
        <v/>
      </c>
      <c r="G50" s="14">
        <f>IF(D50=0,"",F50/D50)</f>
        <v/>
      </c>
    </row>
    <row r="51">
      <c r="A51" s="18" t="inlineStr">
        <is>
          <t>Maintenance contracts</t>
        </is>
      </c>
      <c r="B51" s="18" t="inlineStr">
        <is>
          <t>Aug 26</t>
        </is>
      </c>
      <c r="C51" s="18" t="inlineStr">
        <is>
          <t>Locked</t>
        </is>
      </c>
      <c r="D51" s="13" t="n">
        <v>40500</v>
      </c>
      <c r="E51" s="13" t="n">
        <v>16384</v>
      </c>
      <c r="F51" s="13">
        <f>D51-E51</f>
        <v/>
      </c>
      <c r="G51" s="14">
        <f>IF(D51=0,"",F51/D51)</f>
        <v/>
      </c>
    </row>
    <row r="52">
      <c r="A52" s="18" t="inlineStr">
        <is>
          <t>Installations</t>
        </is>
      </c>
      <c r="B52" s="18" t="inlineStr">
        <is>
          <t>Oct 24</t>
        </is>
      </c>
      <c r="C52" s="18" t="inlineStr">
        <is>
          <t>Locked</t>
        </is>
      </c>
      <c r="D52" s="13" t="n">
        <v>126300</v>
      </c>
      <c r="E52" s="13" t="n">
        <v>92430</v>
      </c>
      <c r="F52" s="13">
        <f>D52-E52</f>
        <v/>
      </c>
      <c r="G52" s="14">
        <f>IF(D52=0,"",F52/D52)</f>
        <v/>
      </c>
    </row>
    <row r="53">
      <c r="A53" s="18" t="inlineStr">
        <is>
          <t>Installations</t>
        </is>
      </c>
      <c r="B53" s="18" t="inlineStr">
        <is>
          <t>Nov 24</t>
        </is>
      </c>
      <c r="C53" s="18" t="inlineStr">
        <is>
          <t>Locked</t>
        </is>
      </c>
      <c r="D53" s="13" t="n">
        <v>131400</v>
      </c>
      <c r="E53" s="13" t="n">
        <v>89070</v>
      </c>
      <c r="F53" s="13">
        <f>D53-E53</f>
        <v/>
      </c>
      <c r="G53" s="14">
        <f>IF(D53=0,"",F53/D53)</f>
        <v/>
      </c>
    </row>
    <row r="54">
      <c r="A54" s="18" t="inlineStr">
        <is>
          <t>Installations</t>
        </is>
      </c>
      <c r="B54" s="18" t="inlineStr">
        <is>
          <t>Dec 24</t>
        </is>
      </c>
      <c r="C54" s="18" t="inlineStr">
        <is>
          <t>Locked</t>
        </is>
      </c>
      <c r="D54" s="13" t="n">
        <v>92600</v>
      </c>
      <c r="E54" s="13" t="n">
        <v>59908</v>
      </c>
      <c r="F54" s="13">
        <f>D54-E54</f>
        <v/>
      </c>
      <c r="G54" s="14">
        <f>IF(D54=0,"",F54/D54)</f>
        <v/>
      </c>
    </row>
    <row r="55">
      <c r="A55" s="18" t="inlineStr">
        <is>
          <t>Installations</t>
        </is>
      </c>
      <c r="B55" s="18" t="inlineStr">
        <is>
          <t>Jan 25</t>
        </is>
      </c>
      <c r="C55" s="18" t="inlineStr">
        <is>
          <t>Locked</t>
        </is>
      </c>
      <c r="D55" s="13" t="n">
        <v>89400</v>
      </c>
      <c r="E55" s="13" t="n">
        <v>54678</v>
      </c>
      <c r="F55" s="13">
        <f>D55-E55</f>
        <v/>
      </c>
      <c r="G55" s="14">
        <f>IF(D55=0,"",F55/D55)</f>
        <v/>
      </c>
    </row>
    <row r="56">
      <c r="A56" s="18" t="inlineStr">
        <is>
          <t>Installations</t>
        </is>
      </c>
      <c r="B56" s="18" t="inlineStr">
        <is>
          <t>Feb 25</t>
        </is>
      </c>
      <c r="C56" s="18" t="inlineStr">
        <is>
          <t>Locked</t>
        </is>
      </c>
      <c r="D56" s="13" t="n">
        <v>106000</v>
      </c>
      <c r="E56" s="13" t="n">
        <v>74966</v>
      </c>
      <c r="F56" s="13">
        <f>D56-E56</f>
        <v/>
      </c>
      <c r="G56" s="14">
        <f>IF(D56=0,"",F56/D56)</f>
        <v/>
      </c>
    </row>
    <row r="57">
      <c r="A57" s="18" t="inlineStr">
        <is>
          <t>Installations</t>
        </is>
      </c>
      <c r="B57" s="18" t="inlineStr">
        <is>
          <t>Mar 25</t>
        </is>
      </c>
      <c r="C57" s="18" t="inlineStr">
        <is>
          <t>Locked</t>
        </is>
      </c>
      <c r="D57" s="13" t="n">
        <v>86100</v>
      </c>
      <c r="E57" s="13" t="n">
        <v>61664</v>
      </c>
      <c r="F57" s="13">
        <f>D57-E57</f>
        <v/>
      </c>
      <c r="G57" s="14">
        <f>IF(D57=0,"",F57/D57)</f>
        <v/>
      </c>
    </row>
    <row r="58">
      <c r="A58" s="18" t="inlineStr">
        <is>
          <t>Installations</t>
        </is>
      </c>
      <c r="B58" s="18" t="inlineStr">
        <is>
          <t>Apr 25</t>
        </is>
      </c>
      <c r="C58" s="18" t="inlineStr">
        <is>
          <t>Locked</t>
        </is>
      </c>
      <c r="D58" s="13" t="n">
        <v>74900</v>
      </c>
      <c r="E58" s="13" t="n">
        <v>52264</v>
      </c>
      <c r="F58" s="13">
        <f>D58-E58</f>
        <v/>
      </c>
      <c r="G58" s="14">
        <f>IF(D58=0,"",F58/D58)</f>
        <v/>
      </c>
    </row>
    <row r="59">
      <c r="A59" s="18" t="inlineStr">
        <is>
          <t>Installations</t>
        </is>
      </c>
      <c r="B59" s="18" t="inlineStr">
        <is>
          <t>May 25</t>
        </is>
      </c>
      <c r="C59" s="18" t="inlineStr">
        <is>
          <t>Locked</t>
        </is>
      </c>
      <c r="D59" s="13" t="n">
        <v>80300</v>
      </c>
      <c r="E59" s="13" t="n">
        <v>59534</v>
      </c>
      <c r="F59" s="13">
        <f>D59-E59</f>
        <v/>
      </c>
      <c r="G59" s="14">
        <f>IF(D59=0,"",F59/D59)</f>
        <v/>
      </c>
    </row>
    <row r="60">
      <c r="A60" s="18" t="inlineStr">
        <is>
          <t>Installations</t>
        </is>
      </c>
      <c r="B60" s="18" t="inlineStr">
        <is>
          <t>Jun 25</t>
        </is>
      </c>
      <c r="C60" s="18" t="inlineStr">
        <is>
          <t>Locked</t>
        </is>
      </c>
      <c r="D60" s="13" t="n">
        <v>112700</v>
      </c>
      <c r="E60" s="13" t="n">
        <v>72976</v>
      </c>
      <c r="F60" s="13">
        <f>D60-E60</f>
        <v/>
      </c>
      <c r="G60" s="14">
        <f>IF(D60=0,"",F60/D60)</f>
        <v/>
      </c>
    </row>
    <row r="61">
      <c r="A61" s="18" t="inlineStr">
        <is>
          <t>Installations</t>
        </is>
      </c>
      <c r="B61" s="18" t="inlineStr">
        <is>
          <t>Jul 25</t>
        </is>
      </c>
      <c r="C61" s="18" t="inlineStr">
        <is>
          <t>Locked</t>
        </is>
      </c>
      <c r="D61" s="13" t="n">
        <v>135800</v>
      </c>
      <c r="E61" s="13" t="n">
        <v>96920</v>
      </c>
      <c r="F61" s="13">
        <f>D61-E61</f>
        <v/>
      </c>
      <c r="G61" s="14">
        <f>IF(D61=0,"",F61/D61)</f>
        <v/>
      </c>
    </row>
    <row r="62">
      <c r="A62" s="18" t="inlineStr">
        <is>
          <t>Installations</t>
        </is>
      </c>
      <c r="B62" s="18" t="inlineStr">
        <is>
          <t>Aug 25</t>
        </is>
      </c>
      <c r="C62" s="18" t="inlineStr">
        <is>
          <t>Locked</t>
        </is>
      </c>
      <c r="D62" s="13" t="n">
        <v>86200</v>
      </c>
      <c r="E62" s="13" t="n">
        <v>53590</v>
      </c>
      <c r="F62" s="13">
        <f>D62-E62</f>
        <v/>
      </c>
      <c r="G62" s="14">
        <f>IF(D62=0,"",F62/D62)</f>
        <v/>
      </c>
    </row>
    <row r="63">
      <c r="A63" s="18" t="inlineStr">
        <is>
          <t>Installations</t>
        </is>
      </c>
      <c r="B63" s="18" t="inlineStr">
        <is>
          <t>Sep 25</t>
        </is>
      </c>
      <c r="C63" s="18" t="inlineStr">
        <is>
          <t>Locked</t>
        </is>
      </c>
      <c r="D63" s="13" t="n">
        <v>75100</v>
      </c>
      <c r="E63" s="13" t="n">
        <v>55440</v>
      </c>
      <c r="F63" s="13">
        <f>D63-E63</f>
        <v/>
      </c>
      <c r="G63" s="14">
        <f>IF(D63=0,"",F63/D63)</f>
        <v/>
      </c>
    </row>
    <row r="64">
      <c r="A64" s="18" t="inlineStr">
        <is>
          <t>Installations</t>
        </is>
      </c>
      <c r="B64" s="18" t="inlineStr">
        <is>
          <t>Oct 25</t>
        </is>
      </c>
      <c r="C64" s="18" t="inlineStr">
        <is>
          <t>Locked</t>
        </is>
      </c>
      <c r="D64" s="13" t="n">
        <v>70800</v>
      </c>
      <c r="E64" s="13" t="n">
        <v>52288</v>
      </c>
      <c r="F64" s="13">
        <f>D64-E64</f>
        <v/>
      </c>
      <c r="G64" s="14">
        <f>IF(D64=0,"",F64/D64)</f>
        <v/>
      </c>
    </row>
    <row r="65">
      <c r="A65" s="18" t="inlineStr">
        <is>
          <t>Installations</t>
        </is>
      </c>
      <c r="B65" s="18" t="inlineStr">
        <is>
          <t>Nov 25</t>
        </is>
      </c>
      <c r="C65" s="18" t="inlineStr">
        <is>
          <t>Locked</t>
        </is>
      </c>
      <c r="D65" s="13" t="n">
        <v>113300</v>
      </c>
      <c r="E65" s="13" t="n">
        <v>87174</v>
      </c>
      <c r="F65" s="13">
        <f>D65-E65</f>
        <v/>
      </c>
      <c r="G65" s="14">
        <f>IF(D65=0,"",F65/D65)</f>
        <v/>
      </c>
    </row>
    <row r="66">
      <c r="A66" s="18" t="inlineStr">
        <is>
          <t>Installations</t>
        </is>
      </c>
      <c r="B66" s="18" t="inlineStr">
        <is>
          <t>Dec 25</t>
        </is>
      </c>
      <c r="C66" s="18" t="inlineStr">
        <is>
          <t>Locked</t>
        </is>
      </c>
      <c r="D66" s="13" t="n">
        <v>69700</v>
      </c>
      <c r="E66" s="13" t="n">
        <v>53408</v>
      </c>
      <c r="F66" s="13">
        <f>D66-E66</f>
        <v/>
      </c>
      <c r="G66" s="14">
        <f>IF(D66=0,"",F66/D66)</f>
        <v/>
      </c>
    </row>
    <row r="67">
      <c r="A67" s="18" t="inlineStr">
        <is>
          <t>Installations</t>
        </is>
      </c>
      <c r="B67" s="18" t="inlineStr">
        <is>
          <t>Jan 26</t>
        </is>
      </c>
      <c r="C67" s="18" t="inlineStr">
        <is>
          <t>Locked</t>
        </is>
      </c>
      <c r="D67" s="13" t="n">
        <v>97500</v>
      </c>
      <c r="E67" s="13" t="n">
        <v>74216</v>
      </c>
      <c r="F67" s="13">
        <f>D67-E67</f>
        <v/>
      </c>
      <c r="G67" s="14">
        <f>IF(D67=0,"",F67/D67)</f>
        <v/>
      </c>
    </row>
    <row r="68">
      <c r="A68" s="18" t="inlineStr">
        <is>
          <t>Installations</t>
        </is>
      </c>
      <c r="B68" s="18" t="inlineStr">
        <is>
          <t>Feb 26</t>
        </is>
      </c>
      <c r="C68" s="18" t="inlineStr">
        <is>
          <t>Locked</t>
        </is>
      </c>
      <c r="D68" s="13" t="n">
        <v>129300</v>
      </c>
      <c r="E68" s="13" t="n">
        <v>88896</v>
      </c>
      <c r="F68" s="13">
        <f>D68-E68</f>
        <v/>
      </c>
      <c r="G68" s="14">
        <f>IF(D68=0,"",F68/D68)</f>
        <v/>
      </c>
    </row>
    <row r="69">
      <c r="A69" s="18" t="inlineStr">
        <is>
          <t>Installations</t>
        </is>
      </c>
      <c r="B69" s="18" t="inlineStr">
        <is>
          <t>Mar 26</t>
        </is>
      </c>
      <c r="C69" s="18" t="inlineStr">
        <is>
          <t>Locked</t>
        </is>
      </c>
      <c r="D69" s="13" t="n">
        <v>129400</v>
      </c>
      <c r="E69" s="13" t="n">
        <v>94290</v>
      </c>
      <c r="F69" s="13">
        <f>D69-E69</f>
        <v/>
      </c>
      <c r="G69" s="14">
        <f>IF(D69=0,"",F69/D69)</f>
        <v/>
      </c>
    </row>
    <row r="70">
      <c r="A70" s="18" t="inlineStr">
        <is>
          <t>Installations</t>
        </is>
      </c>
      <c r="B70" s="18" t="inlineStr">
        <is>
          <t>Apr 26</t>
        </is>
      </c>
      <c r="C70" s="18" t="inlineStr">
        <is>
          <t>Locked</t>
        </is>
      </c>
      <c r="D70" s="13" t="n">
        <v>104400</v>
      </c>
      <c r="E70" s="13" t="n">
        <v>68016</v>
      </c>
      <c r="F70" s="13">
        <f>D70-E70</f>
        <v/>
      </c>
      <c r="G70" s="14">
        <f>IF(D70=0,"",F70/D70)</f>
        <v/>
      </c>
    </row>
    <row r="71">
      <c r="A71" s="18" t="inlineStr">
        <is>
          <t>Installations</t>
        </is>
      </c>
      <c r="B71" s="18" t="inlineStr">
        <is>
          <t>May 26</t>
        </is>
      </c>
      <c r="C71" s="18" t="inlineStr">
        <is>
          <t>Locked</t>
        </is>
      </c>
      <c r="D71" s="13" t="n">
        <v>92400</v>
      </c>
      <c r="E71" s="13" t="n">
        <v>66240</v>
      </c>
      <c r="F71" s="13">
        <f>D71-E71</f>
        <v/>
      </c>
      <c r="G71" s="14">
        <f>IF(D71=0,"",F71/D71)</f>
        <v/>
      </c>
    </row>
    <row r="72">
      <c r="A72" s="18" t="inlineStr">
        <is>
          <t>Installations</t>
        </is>
      </c>
      <c r="B72" s="18" t="inlineStr">
        <is>
          <t>Jun 26</t>
        </is>
      </c>
      <c r="C72" s="18" t="inlineStr">
        <is>
          <t>Locked</t>
        </is>
      </c>
      <c r="D72" s="13" t="n">
        <v>103200</v>
      </c>
      <c r="E72" s="13" t="n">
        <v>73792</v>
      </c>
      <c r="F72" s="13">
        <f>D72-E72</f>
        <v/>
      </c>
      <c r="G72" s="14">
        <f>IF(D72=0,"",F72/D72)</f>
        <v/>
      </c>
    </row>
    <row r="73">
      <c r="A73" s="18" t="inlineStr">
        <is>
          <t>Installations</t>
        </is>
      </c>
      <c r="B73" s="18" t="inlineStr">
        <is>
          <t>Jul 26</t>
        </is>
      </c>
      <c r="C73" s="18" t="inlineStr">
        <is>
          <t>Locked</t>
        </is>
      </c>
      <c r="D73" s="13" t="n">
        <v>127600</v>
      </c>
      <c r="E73" s="13" t="n">
        <v>91520</v>
      </c>
      <c r="F73" s="13">
        <f>D73-E73</f>
        <v/>
      </c>
      <c r="G73" s="14">
        <f>IF(D73=0,"",F73/D73)</f>
        <v/>
      </c>
    </row>
    <row r="74">
      <c r="A74" s="18" t="inlineStr">
        <is>
          <t>Installations</t>
        </is>
      </c>
      <c r="B74" s="18" t="inlineStr">
        <is>
          <t>Aug 26</t>
        </is>
      </c>
      <c r="C74" s="18" t="inlineStr">
        <is>
          <t>Locked</t>
        </is>
      </c>
      <c r="D74" s="13" t="n">
        <v>109600</v>
      </c>
      <c r="E74" s="13" t="n">
        <v>72720</v>
      </c>
      <c r="F74" s="13">
        <f>D74-E74</f>
        <v/>
      </c>
      <c r="G74" s="14">
        <f>IF(D74=0,"",F74/D74)</f>
        <v/>
      </c>
    </row>
    <row r="75">
      <c r="A75" s="18" t="inlineStr">
        <is>
          <t>Call-outs and repairs</t>
        </is>
      </c>
      <c r="B75" s="18" t="inlineStr">
        <is>
          <t>Oct 24</t>
        </is>
      </c>
      <c r="C75" s="18" t="inlineStr">
        <is>
          <t>Locked</t>
        </is>
      </c>
      <c r="D75" s="13" t="n">
        <v>20039</v>
      </c>
      <c r="E75" s="13" t="n">
        <v>11484</v>
      </c>
      <c r="F75" s="13">
        <f>D75-E75</f>
        <v/>
      </c>
      <c r="G75" s="14">
        <f>IF(D75=0,"",F75/D75)</f>
        <v/>
      </c>
    </row>
    <row r="76">
      <c r="A76" s="18" t="inlineStr">
        <is>
          <t>Call-outs and repairs</t>
        </is>
      </c>
      <c r="B76" s="18" t="inlineStr">
        <is>
          <t>Nov 24</t>
        </is>
      </c>
      <c r="C76" s="18" t="inlineStr">
        <is>
          <t>Locked</t>
        </is>
      </c>
      <c r="D76" s="13" t="n">
        <v>23404</v>
      </c>
      <c r="E76" s="13" t="n">
        <v>13526</v>
      </c>
      <c r="F76" s="13">
        <f>D76-E76</f>
        <v/>
      </c>
      <c r="G76" s="14">
        <f>IF(D76=0,"",F76/D76)</f>
        <v/>
      </c>
    </row>
    <row r="77">
      <c r="A77" s="18" t="inlineStr">
        <is>
          <t>Call-outs and repairs</t>
        </is>
      </c>
      <c r="B77" s="18" t="inlineStr">
        <is>
          <t>Dec 24</t>
        </is>
      </c>
      <c r="C77" s="18" t="inlineStr">
        <is>
          <t>Locked</t>
        </is>
      </c>
      <c r="D77" s="13" t="n">
        <v>25886</v>
      </c>
      <c r="E77" s="13" t="n">
        <v>14988</v>
      </c>
      <c r="F77" s="13">
        <f>D77-E77</f>
        <v/>
      </c>
      <c r="G77" s="14">
        <f>IF(D77=0,"",F77/D77)</f>
        <v/>
      </c>
    </row>
    <row r="78">
      <c r="A78" s="18" t="inlineStr">
        <is>
          <t>Call-outs and repairs</t>
        </is>
      </c>
      <c r="B78" s="18" t="inlineStr">
        <is>
          <t>Jan 25</t>
        </is>
      </c>
      <c r="C78" s="18" t="inlineStr">
        <is>
          <t>Locked</t>
        </is>
      </c>
      <c r="D78" s="13" t="n">
        <v>26839</v>
      </c>
      <c r="E78" s="13" t="n">
        <v>15644</v>
      </c>
      <c r="F78" s="13">
        <f>D78-E78</f>
        <v/>
      </c>
      <c r="G78" s="14">
        <f>IF(D78=0,"",F78/D78)</f>
        <v/>
      </c>
    </row>
    <row r="79">
      <c r="A79" s="18" t="inlineStr">
        <is>
          <t>Call-outs and repairs</t>
        </is>
      </c>
      <c r="B79" s="18" t="inlineStr">
        <is>
          <t>Feb 25</t>
        </is>
      </c>
      <c r="C79" s="18" t="inlineStr">
        <is>
          <t>Locked</t>
        </is>
      </c>
      <c r="D79" s="13" t="n">
        <v>27013</v>
      </c>
      <c r="E79" s="13" t="n">
        <v>15600</v>
      </c>
      <c r="F79" s="13">
        <f>D79-E79</f>
        <v/>
      </c>
      <c r="G79" s="14">
        <f>IF(D79=0,"",F79/D79)</f>
        <v/>
      </c>
    </row>
    <row r="80">
      <c r="A80" s="18" t="inlineStr">
        <is>
          <t>Call-outs and repairs</t>
        </is>
      </c>
      <c r="B80" s="18" t="inlineStr">
        <is>
          <t>Mar 25</t>
        </is>
      </c>
      <c r="C80" s="18" t="inlineStr">
        <is>
          <t>Locked</t>
        </is>
      </c>
      <c r="D80" s="13" t="n">
        <v>21052</v>
      </c>
      <c r="E80" s="13" t="n">
        <v>12306</v>
      </c>
      <c r="F80" s="13">
        <f>D80-E80</f>
        <v/>
      </c>
      <c r="G80" s="14">
        <f>IF(D80=0,"",F80/D80)</f>
        <v/>
      </c>
    </row>
    <row r="81">
      <c r="A81" s="18" t="inlineStr">
        <is>
          <t>Call-outs and repairs</t>
        </is>
      </c>
      <c r="B81" s="18" t="inlineStr">
        <is>
          <t>Apr 25</t>
        </is>
      </c>
      <c r="C81" s="18" t="inlineStr">
        <is>
          <t>Locked</t>
        </is>
      </c>
      <c r="D81" s="13" t="n">
        <v>21875</v>
      </c>
      <c r="E81" s="13" t="n">
        <v>12762</v>
      </c>
      <c r="F81" s="13">
        <f>D81-E81</f>
        <v/>
      </c>
      <c r="G81" s="14">
        <f>IF(D81=0,"",F81/D81)</f>
        <v/>
      </c>
    </row>
    <row r="82">
      <c r="A82" s="18" t="inlineStr">
        <is>
          <t>Call-outs and repairs</t>
        </is>
      </c>
      <c r="B82" s="18" t="inlineStr">
        <is>
          <t>May 25</t>
        </is>
      </c>
      <c r="C82" s="18" t="inlineStr">
        <is>
          <t>Locked</t>
        </is>
      </c>
      <c r="D82" s="13" t="n">
        <v>21586</v>
      </c>
      <c r="E82" s="13" t="n">
        <v>12384</v>
      </c>
      <c r="F82" s="13">
        <f>D82-E82</f>
        <v/>
      </c>
      <c r="G82" s="14">
        <f>IF(D82=0,"",F82/D82)</f>
        <v/>
      </c>
    </row>
    <row r="83">
      <c r="A83" s="18" t="inlineStr">
        <is>
          <t>Call-outs and repairs</t>
        </is>
      </c>
      <c r="B83" s="18" t="inlineStr">
        <is>
          <t>Jun 25</t>
        </is>
      </c>
      <c r="C83" s="18" t="inlineStr">
        <is>
          <t>Locked</t>
        </is>
      </c>
      <c r="D83" s="13" t="n">
        <v>19543</v>
      </c>
      <c r="E83" s="13" t="n">
        <v>11162</v>
      </c>
      <c r="F83" s="13">
        <f>D83-E83</f>
        <v/>
      </c>
      <c r="G83" s="14">
        <f>IF(D83=0,"",F83/D83)</f>
        <v/>
      </c>
    </row>
    <row r="84">
      <c r="A84" s="18" t="inlineStr">
        <is>
          <t>Call-outs and repairs</t>
        </is>
      </c>
      <c r="B84" s="18" t="inlineStr">
        <is>
          <t>Jul 25</t>
        </is>
      </c>
      <c r="C84" s="18" t="inlineStr">
        <is>
          <t>Locked</t>
        </is>
      </c>
      <c r="D84" s="13" t="n">
        <v>17760</v>
      </c>
      <c r="E84" s="13" t="n">
        <v>9960</v>
      </c>
      <c r="F84" s="13">
        <f>D84-E84</f>
        <v/>
      </c>
      <c r="G84" s="14">
        <f>IF(D84=0,"",F84/D84)</f>
        <v/>
      </c>
    </row>
    <row r="85">
      <c r="A85" s="18" t="inlineStr">
        <is>
          <t>Call-outs and repairs</t>
        </is>
      </c>
      <c r="B85" s="18" t="inlineStr">
        <is>
          <t>Aug 25</t>
        </is>
      </c>
      <c r="C85" s="18" t="inlineStr">
        <is>
          <t>Locked</t>
        </is>
      </c>
      <c r="D85" s="13" t="n">
        <v>19764</v>
      </c>
      <c r="E85" s="13" t="n">
        <v>11222</v>
      </c>
      <c r="F85" s="13">
        <f>D85-E85</f>
        <v/>
      </c>
      <c r="G85" s="14">
        <f>IF(D85=0,"",F85/D85)</f>
        <v/>
      </c>
    </row>
    <row r="86">
      <c r="A86" s="18" t="inlineStr">
        <is>
          <t>Call-outs and repairs</t>
        </is>
      </c>
      <c r="B86" s="18" t="inlineStr">
        <is>
          <t>Sep 25</t>
        </is>
      </c>
      <c r="C86" s="18" t="inlineStr">
        <is>
          <t>Locked</t>
        </is>
      </c>
      <c r="D86" s="13" t="n">
        <v>19955</v>
      </c>
      <c r="E86" s="13" t="n">
        <v>11168</v>
      </c>
      <c r="F86" s="13">
        <f>D86-E86</f>
        <v/>
      </c>
      <c r="G86" s="14">
        <f>IF(D86=0,"",F86/D86)</f>
        <v/>
      </c>
    </row>
    <row r="87">
      <c r="A87" s="18" t="inlineStr">
        <is>
          <t>Call-outs and repairs</t>
        </is>
      </c>
      <c r="B87" s="18" t="inlineStr">
        <is>
          <t>Oct 25</t>
        </is>
      </c>
      <c r="C87" s="18" t="inlineStr">
        <is>
          <t>Locked</t>
        </is>
      </c>
      <c r="D87" s="13" t="n">
        <v>22298</v>
      </c>
      <c r="E87" s="13" t="n">
        <v>12648</v>
      </c>
      <c r="F87" s="13">
        <f>D87-E87</f>
        <v/>
      </c>
      <c r="G87" s="14">
        <f>IF(D87=0,"",F87/D87)</f>
        <v/>
      </c>
    </row>
    <row r="88">
      <c r="A88" s="18" t="inlineStr">
        <is>
          <t>Call-outs and repairs</t>
        </is>
      </c>
      <c r="B88" s="18" t="inlineStr">
        <is>
          <t>Nov 25</t>
        </is>
      </c>
      <c r="C88" s="18" t="inlineStr">
        <is>
          <t>Locked</t>
        </is>
      </c>
      <c r="D88" s="13" t="n">
        <v>25686</v>
      </c>
      <c r="E88" s="13" t="n">
        <v>14252</v>
      </c>
      <c r="F88" s="13">
        <f>D88-E88</f>
        <v/>
      </c>
      <c r="G88" s="14">
        <f>IF(D88=0,"",F88/D88)</f>
        <v/>
      </c>
    </row>
    <row r="89">
      <c r="A89" s="18" t="inlineStr">
        <is>
          <t>Call-outs and repairs</t>
        </is>
      </c>
      <c r="B89" s="18" t="inlineStr">
        <is>
          <t>Dec 25</t>
        </is>
      </c>
      <c r="C89" s="18" t="inlineStr">
        <is>
          <t>Locked</t>
        </is>
      </c>
      <c r="D89" s="13" t="n">
        <v>29579</v>
      </c>
      <c r="E89" s="13" t="n">
        <v>16702</v>
      </c>
      <c r="F89" s="13">
        <f>D89-E89</f>
        <v/>
      </c>
      <c r="G89" s="14">
        <f>IF(D89=0,"",F89/D89)</f>
        <v/>
      </c>
    </row>
    <row r="90">
      <c r="A90" s="18" t="inlineStr">
        <is>
          <t>Call-outs and repairs</t>
        </is>
      </c>
      <c r="B90" s="18" t="inlineStr">
        <is>
          <t>Jan 26</t>
        </is>
      </c>
      <c r="C90" s="18" t="inlineStr">
        <is>
          <t>Locked</t>
        </is>
      </c>
      <c r="D90" s="13" t="n">
        <v>31480</v>
      </c>
      <c r="E90" s="13" t="n">
        <v>17858</v>
      </c>
      <c r="F90" s="13">
        <f>D90-E90</f>
        <v/>
      </c>
      <c r="G90" s="14">
        <f>IF(D90=0,"",F90/D90)</f>
        <v/>
      </c>
    </row>
    <row r="91">
      <c r="A91" s="18" t="inlineStr">
        <is>
          <t>Call-outs and repairs</t>
        </is>
      </c>
      <c r="B91" s="18" t="inlineStr">
        <is>
          <t>Feb 26</t>
        </is>
      </c>
      <c r="C91" s="18" t="inlineStr">
        <is>
          <t>Locked</t>
        </is>
      </c>
      <c r="D91" s="13" t="n">
        <v>29572</v>
      </c>
      <c r="E91" s="13" t="n">
        <v>16608</v>
      </c>
      <c r="F91" s="13">
        <f>D91-E91</f>
        <v/>
      </c>
      <c r="G91" s="14">
        <f>IF(D91=0,"",F91/D91)</f>
        <v/>
      </c>
    </row>
    <row r="92">
      <c r="A92" s="18" t="inlineStr">
        <is>
          <t>Call-outs and repairs</t>
        </is>
      </c>
      <c r="B92" s="18" t="inlineStr">
        <is>
          <t>Mar 26</t>
        </is>
      </c>
      <c r="C92" s="18" t="inlineStr">
        <is>
          <t>Locked</t>
        </is>
      </c>
      <c r="D92" s="13" t="n">
        <v>24600</v>
      </c>
      <c r="E92" s="13" t="n">
        <v>13894</v>
      </c>
      <c r="F92" s="13">
        <f>D92-E92</f>
        <v/>
      </c>
      <c r="G92" s="14">
        <f>IF(D92=0,"",F92/D92)</f>
        <v/>
      </c>
    </row>
    <row r="93">
      <c r="A93" s="18" t="inlineStr">
        <is>
          <t>Call-outs and repairs</t>
        </is>
      </c>
      <c r="B93" s="18" t="inlineStr">
        <is>
          <t>Apr 26</t>
        </is>
      </c>
      <c r="C93" s="18" t="inlineStr">
        <is>
          <t>Locked</t>
        </is>
      </c>
      <c r="D93" s="13" t="n">
        <v>23087</v>
      </c>
      <c r="E93" s="13" t="n">
        <v>12970</v>
      </c>
      <c r="F93" s="13">
        <f>D93-E93</f>
        <v/>
      </c>
      <c r="G93" s="14">
        <f>IF(D93=0,"",F93/D93)</f>
        <v/>
      </c>
    </row>
    <row r="94">
      <c r="A94" s="18" t="inlineStr">
        <is>
          <t>Call-outs and repairs</t>
        </is>
      </c>
      <c r="B94" s="18" t="inlineStr">
        <is>
          <t>May 26</t>
        </is>
      </c>
      <c r="C94" s="18" t="inlineStr">
        <is>
          <t>Locked</t>
        </is>
      </c>
      <c r="D94" s="13" t="n">
        <v>29063</v>
      </c>
      <c r="E94" s="13" t="n">
        <v>16234</v>
      </c>
      <c r="F94" s="13">
        <f>D94-E94</f>
        <v/>
      </c>
      <c r="G94" s="14">
        <f>IF(D94=0,"",F94/D94)</f>
        <v/>
      </c>
    </row>
    <row r="95">
      <c r="A95" s="18" t="inlineStr">
        <is>
          <t>Call-outs and repairs</t>
        </is>
      </c>
      <c r="B95" s="18" t="inlineStr">
        <is>
          <t>Jun 26</t>
        </is>
      </c>
      <c r="C95" s="18" t="inlineStr">
        <is>
          <t>Locked</t>
        </is>
      </c>
      <c r="D95" s="13" t="n">
        <v>29463</v>
      </c>
      <c r="E95" s="13" t="n">
        <v>16324</v>
      </c>
      <c r="F95" s="13">
        <f>D95-E95</f>
        <v/>
      </c>
      <c r="G95" s="14">
        <f>IF(D95=0,"",F95/D95)</f>
        <v/>
      </c>
    </row>
    <row r="96">
      <c r="A96" s="18" t="inlineStr">
        <is>
          <t>Call-outs and repairs</t>
        </is>
      </c>
      <c r="B96" s="18" t="inlineStr">
        <is>
          <t>Jul 26</t>
        </is>
      </c>
      <c r="C96" s="18" t="inlineStr">
        <is>
          <t>Locked</t>
        </is>
      </c>
      <c r="D96" s="13" t="n">
        <v>25145</v>
      </c>
      <c r="E96" s="13" t="n">
        <v>14220</v>
      </c>
      <c r="F96" s="13">
        <f>D96-E96</f>
        <v/>
      </c>
      <c r="G96" s="14">
        <f>IF(D96=0,"",F96/D96)</f>
        <v/>
      </c>
    </row>
    <row r="97">
      <c r="A97" s="18" t="inlineStr">
        <is>
          <t>Call-outs and repairs</t>
        </is>
      </c>
      <c r="B97" s="18" t="inlineStr">
        <is>
          <t>Aug 26</t>
        </is>
      </c>
      <c r="C97" s="18" t="inlineStr">
        <is>
          <t>Locked</t>
        </is>
      </c>
      <c r="D97" s="13" t="n">
        <v>28907</v>
      </c>
      <c r="E97" s="13" t="n">
        <v>16266</v>
      </c>
      <c r="F97" s="13">
        <f>D97-E97</f>
        <v/>
      </c>
      <c r="G97" s="14">
        <f>IF(D97=0,"",F97/D97)</f>
        <v/>
      </c>
    </row>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3" manualBreakCount="3">
    <brk id="28" min="0" max="16383" man="1"/>
    <brk id="51" min="0" max="16383" man="1"/>
    <brk id="7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2026-10-06T07:09:28Z</dcterms:created>
  <dcterms:modified xmlns:dcterms="http://purl.org/dc/terms/" xmlns:xsi="http://www.w3.org/2001/XMLSchema-instance" xsi:type="dcterms:W3CDTF">2026-10-06T07:09:29Z</dcterms:modified>
</cp:coreProperties>
</file>