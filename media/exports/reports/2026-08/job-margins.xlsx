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July 36.8%</t>
        </is>
      </c>
    </row>
    <row r="16"/>
    <row r="17">
      <c r="A17" s="10" t="inlineStr">
        <is>
          <t>Job gross margin by type of job, August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August maintenance contracts made a 59.5% job gross margin, installations made a 33.6% job gross margin, call-outs and repairs made a 43.7% job gross margin (technician time at $68 an hour, wages and all on-costs). Jobs need 38.9% just to cover overheads.</t>
        </is>
      </c>
    </row>
    <row r="25"/>
    <row r="26">
      <c r="A26" s="4" t="inlineStr">
        <is>
          <t>What you'd do about it</t>
        </is>
      </c>
    </row>
    <row r="27" ht="30" customHeight="1">
      <c r="A27" s="3" t="inlineStr">
        <is>
          <t>Maintenance contracts: 59.5% gross margin, the most profitable work you do. Installations: 33.6% gross margin, below the 38.9%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August · Maintenance contracts</t>
        </is>
      </c>
      <c r="B31" s="8">
        <f>Workings!B64</f>
        <v/>
      </c>
      <c r="C31" s="9" t="inlineStr">
        <is>
          <t>July 59.5%</t>
        </is>
      </c>
    </row>
    <row r="32"/>
    <row r="33">
      <c r="A33" s="10" t="inlineStr">
        <is>
          <t>Job gross margin on each maintenance contract, August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19.4 points clear of the 38.9%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August · Installations</t>
        </is>
      </c>
      <c r="B58" s="8">
        <f>Workings!B255</f>
        <v/>
      </c>
      <c r="C58" s="9" t="inlineStr">
        <is>
          <t>July 28.3%</t>
        </is>
      </c>
    </row>
    <row r="59"/>
    <row r="60">
      <c r="A60" s="10" t="inlineStr">
        <is>
          <t>Job gross margin on each installation invoiced in August 2026</t>
        </is>
      </c>
    </row>
    <row r="61">
      <c r="A61" s="6" t="inlineStr"/>
      <c r="B61" s="7" t="inlineStr">
        <is>
          <t>Gross margin %</t>
        </is>
      </c>
      <c r="C61" s="7" t="inlineStr">
        <is>
          <t>Gross margin $</t>
        </is>
      </c>
    </row>
    <row r="62">
      <c r="A62" t="inlineStr">
        <is>
          <t>Ashgrove hall LED lighting</t>
        </is>
      </c>
      <c r="B62" s="8">
        <f>Workings!B268</f>
        <v/>
      </c>
      <c r="C62" s="11">
        <f>Workings!B267</f>
        <v/>
      </c>
    </row>
    <row r="63">
      <c r="A63" t="inlineStr">
        <is>
          <t>Valley office cabling</t>
        </is>
      </c>
      <c r="B63" s="8">
        <f>Workings!B281</f>
        <v/>
      </c>
      <c r="C63" s="11">
        <f>Workings!B280</f>
        <v/>
      </c>
    </row>
    <row r="64">
      <c r="A64" t="inlineStr">
        <is>
          <t>Newstead gym air-con</t>
        </is>
      </c>
      <c r="B64" s="8">
        <f>Workings!B294</f>
        <v/>
      </c>
      <c r="C64" s="11">
        <f>Workings!B293</f>
        <v/>
      </c>
    </row>
    <row r="65">
      <c r="A65" t="inlineStr">
        <is>
          <t>Rocklea factory switchboard</t>
        </is>
      </c>
      <c r="B65" s="8">
        <f>Workings!B307</f>
        <v/>
      </c>
      <c r="C65" s="11">
        <f>Workings!B306</f>
        <v/>
      </c>
    </row>
    <row r="66">
      <c r="A66" t="inlineStr">
        <is>
          <t>Wynnum house solar</t>
        </is>
      </c>
      <c r="B66" s="8">
        <f>Workings!B320</f>
        <v/>
      </c>
      <c r="C66" s="11">
        <f>Workings!B319</f>
        <v/>
      </c>
    </row>
    <row r="67"/>
    <row r="68">
      <c r="A68" s="4" t="inlineStr">
        <is>
          <t>What it shows</t>
        </is>
      </c>
    </row>
    <row r="69" ht="60" customHeight="1">
      <c r="A69" s="3" t="inlineStr">
        <is>
          <t>2 of the 5 installation jobs invoiced in August made less than the 35.0% job gross margin target. The Wynnum house solar made a 28.3% job gross margin: 36.0 h of technician time ($2,448) and $2,200 of subcontractors on a $19,600 job. Jobs need 38.9% gross margin just to cover overheads.</t>
        </is>
      </c>
    </row>
    <row r="70"/>
    <row r="71">
      <c r="A71" s="4" t="inlineStr">
        <is>
          <t>What you'd do about it</t>
        </is>
      </c>
    </row>
    <row r="72" ht="45" customHeight="1">
      <c r="A72" s="3" t="inlineStr">
        <is>
          <t>Below the 38.9% overheads need: Valley office cabling (38.3%), Newstead gym air-con (35.2%), Rocklea factory switchboard (30.8%), Wynnum house solar (28.3%). Most profitable: Ashgrove hall LED lighting (39.6%).</t>
        </is>
      </c>
    </row>
    <row r="73"/>
    <row r="74">
      <c r="A74" s="5" t="inlineStr">
        <is>
          <t>Type of job: Call-outs and repairs</t>
        </is>
      </c>
    </row>
    <row r="75">
      <c r="A75" s="6" t="inlineStr">
        <is>
          <t>Headline number</t>
        </is>
      </c>
      <c r="B75" s="7" t="inlineStr">
        <is>
          <t>Value</t>
        </is>
      </c>
      <c r="C75" s="7" t="inlineStr">
        <is>
          <t>Compared with</t>
        </is>
      </c>
    </row>
    <row r="76">
      <c r="A76" t="inlineStr">
        <is>
          <t>Job gross margin, August · Call-outs and repairs</t>
        </is>
      </c>
      <c r="B76" s="8">
        <f>Workings!B329</f>
        <v/>
      </c>
      <c r="C76" s="9" t="inlineStr">
        <is>
          <t>July 43.4%</t>
        </is>
      </c>
    </row>
    <row r="77">
      <c r="A77" t="inlineStr">
        <is>
          <t>Technician time charged, August</t>
        </is>
      </c>
      <c r="B77" s="8">
        <f>Workings!B341</f>
        <v/>
      </c>
      <c r="C77" s="9" t="inlineStr">
        <is>
          <t>68.7% of call-out revenue</t>
        </is>
      </c>
    </row>
    <row r="78">
      <c r="A78" t="inlineStr">
        <is>
          <t>Materials charged, August</t>
        </is>
      </c>
      <c r="B78" s="8">
        <f>Workings!B353</f>
        <v/>
      </c>
      <c r="C78" s="9" t="inlineStr">
        <is>
          <t>$6,950 at cost, plus 30%</t>
        </is>
      </c>
    </row>
    <row r="79"/>
    <row r="80">
      <c r="A80" s="10" t="inlineStr">
        <is>
          <t>Job gross margin on call-outs by length, August 2026</t>
        </is>
      </c>
    </row>
    <row r="81">
      <c r="A81" s="6" t="inlineStr"/>
      <c r="B81" s="7" t="inlineStr">
        <is>
          <t>Gross margin %</t>
        </is>
      </c>
      <c r="C81" s="7" t="inlineStr">
        <is>
          <t>Gross margin $</t>
        </is>
      </c>
    </row>
    <row r="82">
      <c r="A82" t="inlineStr">
        <is>
          <t>1-hour call-outs (8)</t>
        </is>
      </c>
      <c r="B82" s="8">
        <f>Workings!B366</f>
        <v/>
      </c>
      <c r="C82" s="11">
        <f>Workings!B365</f>
        <v/>
      </c>
    </row>
    <row r="83">
      <c r="A83" t="inlineStr">
        <is>
          <t>1.5-hour call-outs (7)</t>
        </is>
      </c>
      <c r="B83" s="8">
        <f>Workings!B379</f>
        <v/>
      </c>
      <c r="C83" s="11">
        <f>Workings!B378</f>
        <v/>
      </c>
    </row>
    <row r="84">
      <c r="A84" t="inlineStr">
        <is>
          <t>2-hour call-outs (14)</t>
        </is>
      </c>
      <c r="B84" s="8">
        <f>Workings!B392</f>
        <v/>
      </c>
      <c r="C84" s="11">
        <f>Workings!B391</f>
        <v/>
      </c>
    </row>
    <row r="85">
      <c r="A85" t="inlineStr">
        <is>
          <t>2.5-hour call-outs (7)</t>
        </is>
      </c>
      <c r="B85" s="8">
        <f>Workings!B405</f>
        <v/>
      </c>
      <c r="C85" s="11">
        <f>Workings!B404</f>
        <v/>
      </c>
    </row>
    <row r="86">
      <c r="A86" t="inlineStr">
        <is>
          <t>3-hour call-outs (15)</t>
        </is>
      </c>
      <c r="B86" s="8">
        <f>Workings!B418</f>
        <v/>
      </c>
      <c r="C86" s="11">
        <f>Workings!B417</f>
        <v/>
      </c>
    </row>
    <row r="87">
      <c r="A87" t="inlineStr">
        <is>
          <t>4-hour call-outs (7)</t>
        </is>
      </c>
      <c r="B87" s="8">
        <f>Workings!B431</f>
        <v/>
      </c>
      <c r="C87" s="11">
        <f>Workings!B430</f>
        <v/>
      </c>
    </row>
    <row r="88"/>
    <row r="89">
      <c r="A89" s="4" t="inlineStr">
        <is>
          <t>What it shows</t>
        </is>
      </c>
    </row>
    <row r="90" ht="60" customHeight="1">
      <c r="A90" s="3" t="inlineStr">
        <is>
          <t>58 call-outs in August billed $19,872 of technician time and $9,035 of materials ($6,950 at cost plus 30%), and made a 43.7% job gross margin between them. Gross margins run from 38.8% to 45.8% by length: the hourly rate covers technician time comfortably, so the gross margin mostly moves with how much material goes on the van.</t>
        </is>
      </c>
    </row>
    <row r="91"/>
    <row r="92">
      <c r="A92" s="4" t="inlineStr">
        <is>
          <t>What you'd do about it</t>
        </is>
      </c>
    </row>
    <row r="93" ht="30" customHeight="1">
      <c r="A93" s="3" t="inlineStr">
        <is>
          <t>Call-outs: 43.7% gross margin, 4.9 points clear of the 38.9% overheads need.</t>
        </is>
      </c>
    </row>
    <row r="94"/>
    <row r="95">
      <c r="A95" s="5" t="inlineStr">
        <is>
          <t>Every type of job at once</t>
        </is>
      </c>
    </row>
    <row r="96">
      <c r="A96" s="12" t="inlineStr">
        <is>
          <t>Job gross margin by month: every month is on the Data sheet.</t>
        </is>
      </c>
    </row>
    <row r="97"/>
    <row r="98"/>
  </sheetData>
  <mergeCells count="11">
    <mergeCell ref="A5:D5"/>
    <mergeCell ref="A27:D27"/>
    <mergeCell ref="A8:D8"/>
    <mergeCell ref="A93:D93"/>
    <mergeCell ref="A69:D69"/>
    <mergeCell ref="A54:D54"/>
    <mergeCell ref="A72:D72"/>
    <mergeCell ref="A24:D24"/>
    <mergeCell ref="A51:D51"/>
    <mergeCell ref="A11:D11"/>
    <mergeCell ref="A90:D90"/>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4" min="0" max="16383" man="1"/>
  </rowBreaks>
</worksheet>
</file>

<file path=xl/worksheets/sheet2.xml><?xml version="1.0" encoding="utf-8"?>
<worksheet xmlns="http://schemas.openxmlformats.org/spreadsheetml/2006/main">
  <sheetPr>
    <outlinePr summaryBelow="1" summaryRight="1"/>
    <pageSetUpPr fitToPage="1"/>
  </sheetPr>
  <dimension ref="A1:C4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5" t="inlineStr">
        <is>
          <t>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73637</v>
      </c>
    </row>
    <row r="9">
      <c r="A9" t="inlineStr">
        <is>
          <t>Technician wages and on-costs</t>
        </is>
      </c>
      <c r="B9" s="13" t="n">
        <v>54600</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179007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always include all on-costs: super, payroll tax, workers' compensation insurance and leave.</t>
        </is>
      </c>
    </row>
    <row r="20"/>
    <row r="21"/>
    <row r="22">
      <c r="A22" s="5" t="inlineStr">
        <is>
          <t>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179007</v>
      </c>
      <c r="C25" s="13" t="n">
        <v>193245</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August</t>
        </is>
      </c>
    </row>
    <row r="32">
      <c r="A32" s="12" t="inlineStr">
        <is>
          <t>Revenue less direct cost (materials, subcontractors, technician time at cost)</t>
        </is>
      </c>
    </row>
    <row r="33">
      <c r="A33" s="6" t="inlineStr"/>
      <c r="B33" s="7" t="inlineStr">
        <is>
          <t>Aug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August</t>
        </is>
      </c>
    </row>
    <row r="41">
      <c r="A41" s="12" t="inlineStr">
        <is>
          <t>Revenue less direct cost (materials, subcontractors, technician time at cost)</t>
        </is>
      </c>
    </row>
    <row r="42">
      <c r="A42" s="6" t="inlineStr"/>
      <c r="B42" s="7" t="inlineStr">
        <is>
          <t>Aug 2026</t>
        </is>
      </c>
    </row>
    <row r="43">
      <c r="A43" t="inlineStr">
        <is>
          <t>Revenue</t>
        </is>
      </c>
      <c r="B43" s="13" t="n">
        <v>109600</v>
      </c>
    </row>
    <row r="44">
      <c r="A44" t="inlineStr">
        <is>
          <t>Direct cost</t>
        </is>
      </c>
      <c r="B44" s="13" t="n">
        <v>72720</v>
      </c>
    </row>
    <row r="45">
      <c r="A45" t="inlineStr">
        <is>
          <t>Gross margin</t>
        </is>
      </c>
      <c r="B45" s="13">
        <f>B43-B44</f>
        <v/>
      </c>
    </row>
    <row r="46">
      <c r="A46" s="15" t="inlineStr">
        <is>
          <t>Gross margin %</t>
        </is>
      </c>
      <c r="B46" s="16">
        <f>B45/B43</f>
        <v/>
      </c>
    </row>
    <row r="47"/>
    <row r="48"/>
    <row r="49">
      <c r="A49" s="5" t="inlineStr">
        <is>
          <t>Call-outs and repairs, August</t>
        </is>
      </c>
    </row>
    <row r="50">
      <c r="A50" s="12" t="inlineStr">
        <is>
          <t>Revenue less direct cost (materials, subcontractors, technician time at cost)</t>
        </is>
      </c>
    </row>
    <row r="51">
      <c r="A51" s="6" t="inlineStr"/>
      <c r="B51" s="7" t="inlineStr">
        <is>
          <t>Aug 2026</t>
        </is>
      </c>
    </row>
    <row r="52">
      <c r="A52" t="inlineStr">
        <is>
          <t>Revenue</t>
        </is>
      </c>
      <c r="B52" s="13" t="n">
        <v>28907</v>
      </c>
    </row>
    <row r="53">
      <c r="A53" t="inlineStr">
        <is>
          <t>Direct cost</t>
        </is>
      </c>
      <c r="B53" s="13" t="n">
        <v>16266</v>
      </c>
    </row>
    <row r="54">
      <c r="A54" t="inlineStr">
        <is>
          <t>Gross margin</t>
        </is>
      </c>
      <c r="B54" s="13">
        <f>B52-B53</f>
        <v/>
      </c>
    </row>
    <row r="55">
      <c r="A55" s="15" t="inlineStr">
        <is>
          <t>Gross margin %</t>
        </is>
      </c>
      <c r="B55" s="16">
        <f>B54/B52</f>
        <v/>
      </c>
    </row>
    <row r="56"/>
    <row r="57"/>
    <row r="58">
      <c r="A58" s="5" t="inlineStr">
        <is>
          <t>Maintenance contracts: gross margin, August and July</t>
        </is>
      </c>
    </row>
    <row r="59">
      <c r="A59" s="12" t="inlineStr">
        <is>
          <t>Revenue less direct cost, over revenue. Before overheads.</t>
        </is>
      </c>
    </row>
    <row r="60">
      <c r="A60" s="6" t="inlineStr"/>
      <c r="B60" s="7" t="inlineStr">
        <is>
          <t>Aug 26</t>
        </is>
      </c>
      <c r="C60" s="7" t="inlineStr">
        <is>
          <t>Jul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August and July</t>
        </is>
      </c>
    </row>
    <row r="250">
      <c r="A250" s="12" t="inlineStr">
        <is>
          <t>Revenue less direct cost, over revenue. Before overheads.</t>
        </is>
      </c>
    </row>
    <row r="251">
      <c r="A251" s="6" t="inlineStr"/>
      <c r="B251" s="7" t="inlineStr">
        <is>
          <t>Aug 26</t>
        </is>
      </c>
      <c r="C251" s="7" t="inlineStr">
        <is>
          <t>Jul 26</t>
        </is>
      </c>
    </row>
    <row r="252">
      <c r="A252" t="inlineStr">
        <is>
          <t>Revenue</t>
        </is>
      </c>
      <c r="B252" s="13" t="n">
        <v>109600</v>
      </c>
      <c r="C252" s="13" t="n">
        <v>127600</v>
      </c>
    </row>
    <row r="253">
      <c r="A253" t="inlineStr">
        <is>
          <t>Direct cost</t>
        </is>
      </c>
      <c r="B253" s="13" t="n">
        <v>72720</v>
      </c>
      <c r="C253" s="13" t="n">
        <v>91520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Ashgrove hall LED lighting</t>
        </is>
      </c>
    </row>
    <row r="259">
      <c r="A259" s="12" t="inlineStr">
        <is>
          <t>Job gross margin ÷ revenue for this job (before overheads)</t>
        </is>
      </c>
    </row>
    <row r="260">
      <c r="A260" s="6" t="inlineStr"/>
      <c r="B260" s="7" t="inlineStr">
        <is>
          <t>This job</t>
        </is>
      </c>
    </row>
    <row r="261">
      <c r="A261" t="inlineStr">
        <is>
          <t>Revenue</t>
        </is>
      </c>
      <c r="B261" s="13" t="n">
        <v>21300</v>
      </c>
    </row>
    <row r="262">
      <c r="A262" t="inlineStr">
        <is>
          <t>Materials</t>
        </is>
      </c>
      <c r="B262" s="13" t="n">
        <v>-8100</v>
      </c>
    </row>
    <row r="263">
      <c r="A263" t="inlineStr">
        <is>
          <t>Subcontractors</t>
        </is>
      </c>
      <c r="B263" s="13" t="n">
        <v>0</v>
      </c>
    </row>
    <row r="264">
      <c r="A264" t="inlineStr">
        <is>
          <t>Technician hours</t>
        </is>
      </c>
      <c r="B264" s="17" t="n">
        <v>70</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Valley office cabling</t>
        </is>
      </c>
    </row>
    <row r="272">
      <c r="A272" s="12" t="inlineStr">
        <is>
          <t>Job gross margin ÷ revenue for this job (before overheads)</t>
        </is>
      </c>
    </row>
    <row r="273">
      <c r="A273" s="6" t="inlineStr"/>
      <c r="B273" s="7" t="inlineStr">
        <is>
          <t>This job</t>
        </is>
      </c>
    </row>
    <row r="274">
      <c r="A274" t="inlineStr">
        <is>
          <t>Revenue</t>
        </is>
      </c>
      <c r="B274" s="13" t="n">
        <v>13400</v>
      </c>
    </row>
    <row r="275">
      <c r="A275" t="inlineStr">
        <is>
          <t>Materials</t>
        </is>
      </c>
      <c r="B275" s="13" t="n">
        <v>-3900</v>
      </c>
    </row>
    <row r="276">
      <c r="A276" t="inlineStr">
        <is>
          <t>Subcontractors</t>
        </is>
      </c>
      <c r="B276" s="13" t="n">
        <v>-1100</v>
      </c>
    </row>
    <row r="277">
      <c r="A277" t="inlineStr">
        <is>
          <t>Technician hours</t>
        </is>
      </c>
      <c r="B277" s="17" t="n">
        <v>48</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Newstead gym air-con</t>
        </is>
      </c>
    </row>
    <row r="285">
      <c r="A285" s="12" t="inlineStr">
        <is>
          <t>Job gross margin ÷ revenue for this job (before overheads)</t>
        </is>
      </c>
    </row>
    <row r="286">
      <c r="A286" s="6" t="inlineStr"/>
      <c r="B286" s="7" t="inlineStr">
        <is>
          <t>This job</t>
        </is>
      </c>
    </row>
    <row r="287">
      <c r="A287" t="inlineStr">
        <is>
          <t>Revenue</t>
        </is>
      </c>
      <c r="B287" s="13" t="n">
        <v>16800</v>
      </c>
    </row>
    <row r="288">
      <c r="A288" t="inlineStr">
        <is>
          <t>Materials</t>
        </is>
      </c>
      <c r="B288" s="13" t="n">
        <v>-6700</v>
      </c>
    </row>
    <row r="289">
      <c r="A289" t="inlineStr">
        <is>
          <t>Subcontractors</t>
        </is>
      </c>
      <c r="B289" s="13" t="n">
        <v>-1200</v>
      </c>
    </row>
    <row r="290">
      <c r="A290" t="inlineStr">
        <is>
          <t>Technician hours</t>
        </is>
      </c>
      <c r="B290" s="17" t="n">
        <v>44</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Rocklea factory switchboard</t>
        </is>
      </c>
    </row>
    <row r="298">
      <c r="A298" s="12" t="inlineStr">
        <is>
          <t>Job gross margin ÷ revenue for this job (before overheads)</t>
        </is>
      </c>
    </row>
    <row r="299">
      <c r="A299" s="6" t="inlineStr"/>
      <c r="B299" s="7" t="inlineStr">
        <is>
          <t>This job</t>
        </is>
      </c>
    </row>
    <row r="300">
      <c r="A300" t="inlineStr">
        <is>
          <t>Revenue</t>
        </is>
      </c>
      <c r="B300" s="13" t="n">
        <v>38500</v>
      </c>
    </row>
    <row r="301">
      <c r="A301" t="inlineStr">
        <is>
          <t>Materials</t>
        </is>
      </c>
      <c r="B301" s="13" t="n">
        <v>-15600</v>
      </c>
    </row>
    <row r="302">
      <c r="A302" t="inlineStr">
        <is>
          <t>Subcontractors</t>
        </is>
      </c>
      <c r="B302" s="13" t="n">
        <v>-4800</v>
      </c>
    </row>
    <row r="303">
      <c r="A303" t="inlineStr">
        <is>
          <t>Technician hours</t>
        </is>
      </c>
      <c r="B303" s="17" t="n">
        <v>92</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Wynnum house solar</t>
        </is>
      </c>
    </row>
    <row r="311">
      <c r="A311" s="12" t="inlineStr">
        <is>
          <t>Job gross margin ÷ revenue for this job (before overheads)</t>
        </is>
      </c>
    </row>
    <row r="312">
      <c r="A312" s="6" t="inlineStr"/>
      <c r="B312" s="7" t="inlineStr">
        <is>
          <t>This job</t>
        </is>
      </c>
    </row>
    <row r="313">
      <c r="A313" t="inlineStr">
        <is>
          <t>Revenue</t>
        </is>
      </c>
      <c r="B313" s="13" t="n">
        <v>19600</v>
      </c>
    </row>
    <row r="314">
      <c r="A314" t="inlineStr">
        <is>
          <t>Materials</t>
        </is>
      </c>
      <c r="B314" s="13" t="n">
        <v>-9400</v>
      </c>
    </row>
    <row r="315">
      <c r="A315" t="inlineStr">
        <is>
          <t>Subcontractors</t>
        </is>
      </c>
      <c r="B315" s="13" t="n">
        <v>-2200</v>
      </c>
    </row>
    <row r="316">
      <c r="A316" t="inlineStr">
        <is>
          <t>Technician hours</t>
        </is>
      </c>
      <c r="B316" s="17" t="n">
        <v>36</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Call-outs and repairs: gross margin, August and July</t>
        </is>
      </c>
    </row>
    <row r="324">
      <c r="A324" s="12" t="inlineStr">
        <is>
          <t>Revenue less direct cost, over revenue. Before overheads.</t>
        </is>
      </c>
    </row>
    <row r="325">
      <c r="A325" s="6" t="inlineStr"/>
      <c r="B325" s="7" t="inlineStr">
        <is>
          <t>Aug 26</t>
        </is>
      </c>
      <c r="C325" s="7" t="inlineStr">
        <is>
          <t>Jul 26</t>
        </is>
      </c>
    </row>
    <row r="326">
      <c r="A326" t="inlineStr">
        <is>
          <t>Revenue</t>
        </is>
      </c>
      <c r="B326" s="13" t="n">
        <v>28907</v>
      </c>
      <c r="C326" s="13" t="n">
        <v>25145</v>
      </c>
    </row>
    <row r="327">
      <c r="A327" t="inlineStr">
        <is>
          <t>Direct cost</t>
        </is>
      </c>
      <c r="B327" s="13" t="n">
        <v>16266</v>
      </c>
      <c r="C327" s="13" t="n">
        <v>14220</v>
      </c>
    </row>
    <row r="328">
      <c r="A328" t="inlineStr">
        <is>
          <t>Gross margin</t>
        </is>
      </c>
      <c r="B328" s="13">
        <f>B326-B327</f>
        <v/>
      </c>
      <c r="C328" s="13">
        <f>C326-C327</f>
        <v/>
      </c>
    </row>
    <row r="329">
      <c r="A329" s="15" t="inlineStr">
        <is>
          <t>Gross margin %</t>
        </is>
      </c>
      <c r="B329" s="16">
        <f>B328/B326</f>
        <v/>
      </c>
      <c r="C329" s="16">
        <f>C328/C326</f>
        <v/>
      </c>
    </row>
    <row r="330"/>
    <row r="331"/>
    <row r="332">
      <c r="A332" s="5" t="inlineStr">
        <is>
          <t>Call-out revenue, August</t>
        </is>
      </c>
    </row>
    <row r="333">
      <c r="A333" s="12" t="inlineStr">
        <is>
          <t>Technician time charged at $145/hour + materials charged at cost × 1.3</t>
        </is>
      </c>
    </row>
    <row r="334">
      <c r="A334" s="6" t="inlineStr"/>
      <c r="B334" s="7" t="inlineStr">
        <is>
          <t>Aug 2026</t>
        </is>
      </c>
    </row>
    <row r="335">
      <c r="A335" t="inlineStr">
        <is>
          <t>Technician time charged ($145/hour)</t>
        </is>
      </c>
      <c r="B335" s="13" t="n">
        <v>19872</v>
      </c>
    </row>
    <row r="336">
      <c r="A336" t="inlineStr">
        <is>
          <t>Materials at cost</t>
        </is>
      </c>
      <c r="B336" s="13" t="n">
        <v>6950</v>
      </c>
    </row>
    <row r="337">
      <c r="A337" t="inlineStr">
        <is>
          <t>Mark-up on materials</t>
        </is>
      </c>
      <c r="B337" s="14" t="n">
        <v>0.3</v>
      </c>
    </row>
    <row r="338">
      <c r="A338" t="inlineStr">
        <is>
          <t>Materials charged (cost × 1.3)</t>
        </is>
      </c>
      <c r="B338" s="13">
        <f>B336*(1+B337)</f>
        <v/>
      </c>
    </row>
    <row r="339">
      <c r="A339" t="inlineStr">
        <is>
          <t>Materials charged (as invoiced, rounded per call-out)</t>
        </is>
      </c>
      <c r="B339" s="13" t="n">
        <v>9035</v>
      </c>
    </row>
    <row r="340">
      <c r="A340" t="inlineStr">
        <is>
          <t>Call-out revenue</t>
        </is>
      </c>
      <c r="B340" s="13">
        <f>B335+B339</f>
        <v/>
      </c>
    </row>
    <row r="341">
      <c r="A341" s="15" t="inlineStr">
        <is>
          <t>Technician time, % of call-out revenue</t>
        </is>
      </c>
      <c r="B341" s="16">
        <f>B335/B340</f>
        <v/>
      </c>
    </row>
    <row r="342"/>
    <row r="343"/>
    <row r="344">
      <c r="A344" s="5" t="inlineStr">
        <is>
          <t>Call-out revenue, August</t>
        </is>
      </c>
    </row>
    <row r="345">
      <c r="A345" s="12" t="inlineStr">
        <is>
          <t>Technician time charged at $145/hour + materials charged at cost × 1.3</t>
        </is>
      </c>
    </row>
    <row r="346">
      <c r="A346" s="6" t="inlineStr"/>
      <c r="B346" s="7" t="inlineStr">
        <is>
          <t>Aug 2026</t>
        </is>
      </c>
    </row>
    <row r="347">
      <c r="A347" t="inlineStr">
        <is>
          <t>Technician time charged ($145/hour)</t>
        </is>
      </c>
      <c r="B347" s="13" t="n">
        <v>19872</v>
      </c>
    </row>
    <row r="348">
      <c r="A348" t="inlineStr">
        <is>
          <t>Materials at cost</t>
        </is>
      </c>
      <c r="B348" s="13" t="n">
        <v>6950</v>
      </c>
    </row>
    <row r="349">
      <c r="A349" t="inlineStr">
        <is>
          <t>Mark-up on materials</t>
        </is>
      </c>
      <c r="B349" s="14" t="n">
        <v>0.3</v>
      </c>
    </row>
    <row r="350">
      <c r="A350" t="inlineStr">
        <is>
          <t>Materials charged (cost × 1.3)</t>
        </is>
      </c>
      <c r="B350" s="13">
        <f>B348*(1+B349)</f>
        <v/>
      </c>
    </row>
    <row r="351">
      <c r="A351" t="inlineStr">
        <is>
          <t>Materials charged (as invoiced, rounded per call-out)</t>
        </is>
      </c>
      <c r="B351" s="13" t="n">
        <v>9035</v>
      </c>
    </row>
    <row r="352">
      <c r="A352" t="inlineStr">
        <is>
          <t>Call-out revenue</t>
        </is>
      </c>
      <c r="B352" s="13">
        <f>B347+B351</f>
        <v/>
      </c>
    </row>
    <row r="353">
      <c r="A353" s="15" t="inlineStr">
        <is>
          <t>Technician time, % of call-out revenue</t>
        </is>
      </c>
      <c r="B353" s="16">
        <f>B347/B352</f>
        <v/>
      </c>
    </row>
    <row r="354"/>
    <row r="355"/>
    <row r="356">
      <c r="A356" s="5" t="inlineStr">
        <is>
          <t>1-hour call-outs (8)</t>
        </is>
      </c>
    </row>
    <row r="357">
      <c r="A357" s="12" t="inlineStr">
        <is>
          <t>Call-outs of this length in August, added together</t>
        </is>
      </c>
    </row>
    <row r="358">
      <c r="A358" s="6" t="inlineStr"/>
      <c r="B358" s="7" t="inlineStr">
        <is>
          <t>Aug 2026</t>
        </is>
      </c>
    </row>
    <row r="359">
      <c r="A359" t="inlineStr">
        <is>
          <t>Call-outs</t>
        </is>
      </c>
      <c r="B359" s="13" t="n">
        <v>8</v>
      </c>
    </row>
    <row r="360">
      <c r="A360" t="inlineStr">
        <is>
          <t>Technician time charged ($145/hour)</t>
        </is>
      </c>
      <c r="B360" s="13" t="n">
        <v>1160</v>
      </c>
    </row>
    <row r="361">
      <c r="A361" t="inlineStr">
        <is>
          <t>Materials charged (cost × 1.3)</t>
        </is>
      </c>
      <c r="B361" s="13" t="n">
        <v>1053</v>
      </c>
    </row>
    <row r="362">
      <c r="A362" t="inlineStr">
        <is>
          <t>Revenue</t>
        </is>
      </c>
      <c r="B362" s="13">
        <f>B360+B361</f>
        <v/>
      </c>
    </row>
    <row r="363">
      <c r="A363" t="inlineStr">
        <is>
          <t>Materials at cost</t>
        </is>
      </c>
      <c r="B363" s="13" t="n">
        <v>-810</v>
      </c>
    </row>
    <row r="364">
      <c r="A364" t="inlineStr">
        <is>
          <t>Technician time at cost</t>
        </is>
      </c>
      <c r="B364" s="13" t="n">
        <v>-544</v>
      </c>
    </row>
    <row r="365">
      <c r="A365" t="inlineStr">
        <is>
          <t>Job gross margin</t>
        </is>
      </c>
      <c r="B365" s="13">
        <f>B362+B363+B364</f>
        <v/>
      </c>
    </row>
    <row r="366">
      <c r="A366" s="15" t="inlineStr">
        <is>
          <t>Job gross margin %</t>
        </is>
      </c>
      <c r="B366" s="16">
        <f>B365/B362</f>
        <v/>
      </c>
    </row>
    <row r="367"/>
    <row r="368"/>
    <row r="369">
      <c r="A369" s="5" t="inlineStr">
        <is>
          <t>1.5-hour call-outs (7)</t>
        </is>
      </c>
    </row>
    <row r="370">
      <c r="A370" s="12" t="inlineStr">
        <is>
          <t>Call-outs of this length in August, added together</t>
        </is>
      </c>
    </row>
    <row r="371">
      <c r="A371" s="6" t="inlineStr"/>
      <c r="B371" s="7" t="inlineStr">
        <is>
          <t>Aug 2026</t>
        </is>
      </c>
    </row>
    <row r="372">
      <c r="A372" t="inlineStr">
        <is>
          <t>Call-outs</t>
        </is>
      </c>
      <c r="B372" s="13" t="n">
        <v>7</v>
      </c>
    </row>
    <row r="373">
      <c r="A373" t="inlineStr">
        <is>
          <t>Technician time charged ($145/hour)</t>
        </is>
      </c>
      <c r="B373" s="13" t="n">
        <v>1526</v>
      </c>
    </row>
    <row r="374">
      <c r="A374" t="inlineStr">
        <is>
          <t>Materials charged (cost × 1.3)</t>
        </is>
      </c>
      <c r="B374" s="13" t="n">
        <v>1105</v>
      </c>
    </row>
    <row r="375">
      <c r="A375" t="inlineStr">
        <is>
          <t>Revenue</t>
        </is>
      </c>
      <c r="B375" s="13">
        <f>B373+B374</f>
        <v/>
      </c>
    </row>
    <row r="376">
      <c r="A376" t="inlineStr">
        <is>
          <t>Materials at cost</t>
        </is>
      </c>
      <c r="B376" s="13" t="n">
        <v>-850</v>
      </c>
    </row>
    <row r="377">
      <c r="A377" t="inlineStr">
        <is>
          <t>Technician time at cost</t>
        </is>
      </c>
      <c r="B377" s="13" t="n">
        <v>-714</v>
      </c>
    </row>
    <row r="378">
      <c r="A378" t="inlineStr">
        <is>
          <t>Job gross margin</t>
        </is>
      </c>
      <c r="B378" s="13">
        <f>B375+B376+B377</f>
        <v/>
      </c>
    </row>
    <row r="379">
      <c r="A379" s="15" t="inlineStr">
        <is>
          <t>Job gross margin %</t>
        </is>
      </c>
      <c r="B379" s="16">
        <f>B378/B375</f>
        <v/>
      </c>
    </row>
    <row r="380"/>
    <row r="381"/>
    <row r="382">
      <c r="A382" s="5" t="inlineStr">
        <is>
          <t>2-hour call-outs (14)</t>
        </is>
      </c>
    </row>
    <row r="383">
      <c r="A383" s="12" t="inlineStr">
        <is>
          <t>Call-outs of this length in August, added together</t>
        </is>
      </c>
    </row>
    <row r="384">
      <c r="A384" s="6" t="inlineStr"/>
      <c r="B384" s="7" t="inlineStr">
        <is>
          <t>Aug 2026</t>
        </is>
      </c>
    </row>
    <row r="385">
      <c r="A385" t="inlineStr">
        <is>
          <t>Call-outs</t>
        </is>
      </c>
      <c r="B385" s="13" t="n">
        <v>14</v>
      </c>
    </row>
    <row r="386">
      <c r="A386" t="inlineStr">
        <is>
          <t>Technician time charged ($145/hour)</t>
        </is>
      </c>
      <c r="B386" s="13" t="n">
        <v>4060</v>
      </c>
    </row>
    <row r="387">
      <c r="A387" t="inlineStr">
        <is>
          <t>Materials charged (cost × 1.3)</t>
        </is>
      </c>
      <c r="B387" s="13" t="n">
        <v>1820</v>
      </c>
    </row>
    <row r="388">
      <c r="A388" t="inlineStr">
        <is>
          <t>Revenue</t>
        </is>
      </c>
      <c r="B388" s="13">
        <f>B386+B387</f>
        <v/>
      </c>
    </row>
    <row r="389">
      <c r="A389" t="inlineStr">
        <is>
          <t>Materials at cost</t>
        </is>
      </c>
      <c r="B389" s="13" t="n">
        <v>-1400</v>
      </c>
    </row>
    <row r="390">
      <c r="A390" t="inlineStr">
        <is>
          <t>Technician time at cost</t>
        </is>
      </c>
      <c r="B390" s="13" t="n">
        <v>-1904</v>
      </c>
    </row>
    <row r="391">
      <c r="A391" t="inlineStr">
        <is>
          <t>Job gross margin</t>
        </is>
      </c>
      <c r="B391" s="13">
        <f>B388+B389+B390</f>
        <v/>
      </c>
    </row>
    <row r="392">
      <c r="A392" s="15" t="inlineStr">
        <is>
          <t>Job gross margin %</t>
        </is>
      </c>
      <c r="B392" s="16">
        <f>B391/B388</f>
        <v/>
      </c>
    </row>
    <row r="393"/>
    <row r="394"/>
    <row r="395">
      <c r="A395" s="5" t="inlineStr">
        <is>
          <t>2.5-hour call-outs (7)</t>
        </is>
      </c>
    </row>
    <row r="396">
      <c r="A396" s="12" t="inlineStr">
        <is>
          <t>Call-outs of this length in August, added together</t>
        </is>
      </c>
    </row>
    <row r="397">
      <c r="A397" s="6" t="inlineStr"/>
      <c r="B397" s="7" t="inlineStr">
        <is>
          <t>Aug 2026</t>
        </is>
      </c>
    </row>
    <row r="398">
      <c r="A398" t="inlineStr">
        <is>
          <t>Call-outs</t>
        </is>
      </c>
      <c r="B398" s="13" t="n">
        <v>7</v>
      </c>
    </row>
    <row r="399">
      <c r="A399" t="inlineStr">
        <is>
          <t>Technician time charged ($145/hour)</t>
        </is>
      </c>
      <c r="B399" s="13" t="n">
        <v>2541</v>
      </c>
    </row>
    <row r="400">
      <c r="A400" t="inlineStr">
        <is>
          <t>Materials charged (cost × 1.3)</t>
        </is>
      </c>
      <c r="B400" s="13" t="n">
        <v>949</v>
      </c>
    </row>
    <row r="401">
      <c r="A401" t="inlineStr">
        <is>
          <t>Revenue</t>
        </is>
      </c>
      <c r="B401" s="13">
        <f>B399+B400</f>
        <v/>
      </c>
    </row>
    <row r="402">
      <c r="A402" t="inlineStr">
        <is>
          <t>Materials at cost</t>
        </is>
      </c>
      <c r="B402" s="13" t="n">
        <v>-730</v>
      </c>
    </row>
    <row r="403">
      <c r="A403" t="inlineStr">
        <is>
          <t>Technician time at cost</t>
        </is>
      </c>
      <c r="B403" s="13" t="n">
        <v>-1190</v>
      </c>
    </row>
    <row r="404">
      <c r="A404" t="inlineStr">
        <is>
          <t>Job gross margin</t>
        </is>
      </c>
      <c r="B404" s="13">
        <f>B401+B402+B403</f>
        <v/>
      </c>
    </row>
    <row r="405">
      <c r="A405" s="15" t="inlineStr">
        <is>
          <t>Job gross margin %</t>
        </is>
      </c>
      <c r="B405" s="16">
        <f>B404/B401</f>
        <v/>
      </c>
    </row>
    <row r="406"/>
    <row r="407"/>
    <row r="408">
      <c r="A408" s="5" t="inlineStr">
        <is>
          <t>3-hour call-outs (15)</t>
        </is>
      </c>
    </row>
    <row r="409">
      <c r="A409" s="12" t="inlineStr">
        <is>
          <t>Call-outs of this length in August, added together</t>
        </is>
      </c>
    </row>
    <row r="410">
      <c r="A410" s="6" t="inlineStr"/>
      <c r="B410" s="7" t="inlineStr">
        <is>
          <t>Aug 2026</t>
        </is>
      </c>
    </row>
    <row r="411">
      <c r="A411" t="inlineStr">
        <is>
          <t>Call-outs</t>
        </is>
      </c>
      <c r="B411" s="13" t="n">
        <v>15</v>
      </c>
    </row>
    <row r="412">
      <c r="A412" t="inlineStr">
        <is>
          <t>Technician time charged ($145/hour)</t>
        </is>
      </c>
      <c r="B412" s="13" t="n">
        <v>6525</v>
      </c>
    </row>
    <row r="413">
      <c r="A413" t="inlineStr">
        <is>
          <t>Materials charged (cost × 1.3)</t>
        </is>
      </c>
      <c r="B413" s="13" t="n">
        <v>2795</v>
      </c>
    </row>
    <row r="414">
      <c r="A414" t="inlineStr">
        <is>
          <t>Revenue</t>
        </is>
      </c>
      <c r="B414" s="13">
        <f>B412+B413</f>
        <v/>
      </c>
    </row>
    <row r="415">
      <c r="A415" t="inlineStr">
        <is>
          <t>Materials at cost</t>
        </is>
      </c>
      <c r="B415" s="13" t="n">
        <v>-2150</v>
      </c>
    </row>
    <row r="416">
      <c r="A416" t="inlineStr">
        <is>
          <t>Technician time at cost</t>
        </is>
      </c>
      <c r="B416" s="13" t="n">
        <v>-3060</v>
      </c>
    </row>
    <row r="417">
      <c r="A417" t="inlineStr">
        <is>
          <t>Job gross margin</t>
        </is>
      </c>
      <c r="B417" s="13">
        <f>B414+B415+B416</f>
        <v/>
      </c>
    </row>
    <row r="418">
      <c r="A418" s="15" t="inlineStr">
        <is>
          <t>Job gross margin %</t>
        </is>
      </c>
      <c r="B418" s="16">
        <f>B417/B414</f>
        <v/>
      </c>
    </row>
    <row r="419"/>
    <row r="420"/>
    <row r="421">
      <c r="A421" s="5" t="inlineStr">
        <is>
          <t>4-hour call-outs (7)</t>
        </is>
      </c>
    </row>
    <row r="422">
      <c r="A422" s="12" t="inlineStr">
        <is>
          <t>Call-outs of this length in August, added together</t>
        </is>
      </c>
    </row>
    <row r="423">
      <c r="A423" s="6" t="inlineStr"/>
      <c r="B423" s="7" t="inlineStr">
        <is>
          <t>Aug 2026</t>
        </is>
      </c>
    </row>
    <row r="424">
      <c r="A424" t="inlineStr">
        <is>
          <t>Call-outs</t>
        </is>
      </c>
      <c r="B424" s="13" t="n">
        <v>7</v>
      </c>
    </row>
    <row r="425">
      <c r="A425" t="inlineStr">
        <is>
          <t>Technician time charged ($145/hour)</t>
        </is>
      </c>
      <c r="B425" s="13" t="n">
        <v>4060</v>
      </c>
    </row>
    <row r="426">
      <c r="A426" t="inlineStr">
        <is>
          <t>Materials charged (cost × 1.3)</t>
        </is>
      </c>
      <c r="B426" s="13" t="n">
        <v>1313</v>
      </c>
    </row>
    <row r="427">
      <c r="A427" t="inlineStr">
        <is>
          <t>Revenue</t>
        </is>
      </c>
      <c r="B427" s="13">
        <f>B425+B426</f>
        <v/>
      </c>
    </row>
    <row r="428">
      <c r="A428" t="inlineStr">
        <is>
          <t>Materials at cost</t>
        </is>
      </c>
      <c r="B428" s="13" t="n">
        <v>-1010</v>
      </c>
    </row>
    <row r="429">
      <c r="A429" t="inlineStr">
        <is>
          <t>Technician time at cost</t>
        </is>
      </c>
      <c r="B429" s="13" t="n">
        <v>-1904</v>
      </c>
    </row>
    <row r="430">
      <c r="A430" t="inlineStr">
        <is>
          <t>Job gross margin</t>
        </is>
      </c>
      <c r="B430" s="13">
        <f>B427+B428+B429</f>
        <v/>
      </c>
    </row>
    <row r="431">
      <c r="A431" s="15" t="inlineStr">
        <is>
          <t>Job gross margin %</t>
        </is>
      </c>
      <c r="B431" s="16">
        <f>B430/B427</f>
        <v/>
      </c>
    </row>
    <row r="432"/>
    <row r="433"/>
    <row r="4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1"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August 2026 · Data status: Jul 2026 locked · Aug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Maintenance contracts</t>
        </is>
      </c>
      <c r="B29" s="18" t="inlineStr">
        <is>
          <t>Oct 24</t>
        </is>
      </c>
      <c r="C29" s="18" t="inlineStr">
        <is>
          <t>Locked</t>
        </is>
      </c>
      <c r="D29" s="13" t="n">
        <v>24670</v>
      </c>
      <c r="E29" s="13" t="n">
        <v>10420</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Installations</t>
        </is>
      </c>
      <c r="B52" s="18" t="inlineStr">
        <is>
          <t>Oct 24</t>
        </is>
      </c>
      <c r="C52" s="18" t="inlineStr">
        <is>
          <t>Locked</t>
        </is>
      </c>
      <c r="D52" s="13" t="n">
        <v>126300</v>
      </c>
      <c r="E52" s="13" t="n">
        <v>92430</v>
      </c>
      <c r="F52" s="13">
        <f>D52-E52</f>
        <v/>
      </c>
      <c r="G52" s="14">
        <f>IF(D52=0,"",F52/D52)</f>
        <v/>
      </c>
    </row>
    <row r="53">
      <c r="A53" s="18" t="inlineStr">
        <is>
          <t>Installations</t>
        </is>
      </c>
      <c r="B53" s="18" t="inlineStr">
        <is>
          <t>Nov 24</t>
        </is>
      </c>
      <c r="C53" s="18" t="inlineStr">
        <is>
          <t>Locked</t>
        </is>
      </c>
      <c r="D53" s="13" t="n">
        <v>131400</v>
      </c>
      <c r="E53" s="13" t="n">
        <v>89070</v>
      </c>
      <c r="F53" s="13">
        <f>D53-E53</f>
        <v/>
      </c>
      <c r="G53" s="14">
        <f>IF(D53=0,"",F53/D53)</f>
        <v/>
      </c>
    </row>
    <row r="54">
      <c r="A54" s="18" t="inlineStr">
        <is>
          <t>Installations</t>
        </is>
      </c>
      <c r="B54" s="18" t="inlineStr">
        <is>
          <t>Dec 24</t>
        </is>
      </c>
      <c r="C54" s="18" t="inlineStr">
        <is>
          <t>Locked</t>
        </is>
      </c>
      <c r="D54" s="13" t="n">
        <v>92600</v>
      </c>
      <c r="E54" s="13" t="n">
        <v>59908</v>
      </c>
      <c r="F54" s="13">
        <f>D54-E54</f>
        <v/>
      </c>
      <c r="G54" s="14">
        <f>IF(D54=0,"",F54/D54)</f>
        <v/>
      </c>
    </row>
    <row r="55">
      <c r="A55" s="18" t="inlineStr">
        <is>
          <t>Installations</t>
        </is>
      </c>
      <c r="B55" s="18" t="inlineStr">
        <is>
          <t>Jan 25</t>
        </is>
      </c>
      <c r="C55" s="18" t="inlineStr">
        <is>
          <t>Locked</t>
        </is>
      </c>
      <c r="D55" s="13" t="n">
        <v>89400</v>
      </c>
      <c r="E55" s="13" t="n">
        <v>54678</v>
      </c>
      <c r="F55" s="13">
        <f>D55-E55</f>
        <v/>
      </c>
      <c r="G55" s="14">
        <f>IF(D55=0,"",F55/D55)</f>
        <v/>
      </c>
    </row>
    <row r="56">
      <c r="A56" s="18" t="inlineStr">
        <is>
          <t>Installations</t>
        </is>
      </c>
      <c r="B56" s="18" t="inlineStr">
        <is>
          <t>Feb 25</t>
        </is>
      </c>
      <c r="C56" s="18" t="inlineStr">
        <is>
          <t>Locked</t>
        </is>
      </c>
      <c r="D56" s="13" t="n">
        <v>106000</v>
      </c>
      <c r="E56" s="13" t="n">
        <v>74966</v>
      </c>
      <c r="F56" s="13">
        <f>D56-E56</f>
        <v/>
      </c>
      <c r="G56" s="14">
        <f>IF(D56=0,"",F56/D56)</f>
        <v/>
      </c>
    </row>
    <row r="57">
      <c r="A57" s="18" t="inlineStr">
        <is>
          <t>Installations</t>
        </is>
      </c>
      <c r="B57" s="18" t="inlineStr">
        <is>
          <t>Mar 25</t>
        </is>
      </c>
      <c r="C57" s="18" t="inlineStr">
        <is>
          <t>Locked</t>
        </is>
      </c>
      <c r="D57" s="13" t="n">
        <v>86100</v>
      </c>
      <c r="E57" s="13" t="n">
        <v>61664</v>
      </c>
      <c r="F57" s="13">
        <f>D57-E57</f>
        <v/>
      </c>
      <c r="G57" s="14">
        <f>IF(D57=0,"",F57/D57)</f>
        <v/>
      </c>
    </row>
    <row r="58">
      <c r="A58" s="18" t="inlineStr">
        <is>
          <t>Installations</t>
        </is>
      </c>
      <c r="B58" s="18" t="inlineStr">
        <is>
          <t>Apr 25</t>
        </is>
      </c>
      <c r="C58" s="18" t="inlineStr">
        <is>
          <t>Locked</t>
        </is>
      </c>
      <c r="D58" s="13" t="n">
        <v>74900</v>
      </c>
      <c r="E58" s="13" t="n">
        <v>52264</v>
      </c>
      <c r="F58" s="13">
        <f>D58-E58</f>
        <v/>
      </c>
      <c r="G58" s="14">
        <f>IF(D58=0,"",F58/D58)</f>
        <v/>
      </c>
    </row>
    <row r="59">
      <c r="A59" s="18" t="inlineStr">
        <is>
          <t>Installations</t>
        </is>
      </c>
      <c r="B59" s="18" t="inlineStr">
        <is>
          <t>May 25</t>
        </is>
      </c>
      <c r="C59" s="18" t="inlineStr">
        <is>
          <t>Locked</t>
        </is>
      </c>
      <c r="D59" s="13" t="n">
        <v>80300</v>
      </c>
      <c r="E59" s="13" t="n">
        <v>59534</v>
      </c>
      <c r="F59" s="13">
        <f>D59-E59</f>
        <v/>
      </c>
      <c r="G59" s="14">
        <f>IF(D59=0,"",F59/D59)</f>
        <v/>
      </c>
    </row>
    <row r="60">
      <c r="A60" s="18" t="inlineStr">
        <is>
          <t>Installations</t>
        </is>
      </c>
      <c r="B60" s="18" t="inlineStr">
        <is>
          <t>Jun 25</t>
        </is>
      </c>
      <c r="C60" s="18" t="inlineStr">
        <is>
          <t>Locked</t>
        </is>
      </c>
      <c r="D60" s="13" t="n">
        <v>112700</v>
      </c>
      <c r="E60" s="13" t="n">
        <v>72976</v>
      </c>
      <c r="F60" s="13">
        <f>D60-E60</f>
        <v/>
      </c>
      <c r="G60" s="14">
        <f>IF(D60=0,"",F60/D60)</f>
        <v/>
      </c>
    </row>
    <row r="61">
      <c r="A61" s="18" t="inlineStr">
        <is>
          <t>Installations</t>
        </is>
      </c>
      <c r="B61" s="18" t="inlineStr">
        <is>
          <t>Jul 25</t>
        </is>
      </c>
      <c r="C61" s="18" t="inlineStr">
        <is>
          <t>Locked</t>
        </is>
      </c>
      <c r="D61" s="13" t="n">
        <v>135800</v>
      </c>
      <c r="E61" s="13" t="n">
        <v>96920</v>
      </c>
      <c r="F61" s="13">
        <f>D61-E61</f>
        <v/>
      </c>
      <c r="G61" s="14">
        <f>IF(D61=0,"",F61/D61)</f>
        <v/>
      </c>
    </row>
    <row r="62">
      <c r="A62" s="18" t="inlineStr">
        <is>
          <t>Installations</t>
        </is>
      </c>
      <c r="B62" s="18" t="inlineStr">
        <is>
          <t>Aug 25</t>
        </is>
      </c>
      <c r="C62" s="18" t="inlineStr">
        <is>
          <t>Locked</t>
        </is>
      </c>
      <c r="D62" s="13" t="n">
        <v>86200</v>
      </c>
      <c r="E62" s="13" t="n">
        <v>53590</v>
      </c>
      <c r="F62" s="13">
        <f>D62-E62</f>
        <v/>
      </c>
      <c r="G62" s="14">
        <f>IF(D62=0,"",F62/D62)</f>
        <v/>
      </c>
    </row>
    <row r="63">
      <c r="A63" s="18" t="inlineStr">
        <is>
          <t>Installations</t>
        </is>
      </c>
      <c r="B63" s="18" t="inlineStr">
        <is>
          <t>Sep 25</t>
        </is>
      </c>
      <c r="C63" s="18" t="inlineStr">
        <is>
          <t>Locked</t>
        </is>
      </c>
      <c r="D63" s="13" t="n">
        <v>75100</v>
      </c>
      <c r="E63" s="13" t="n">
        <v>55440</v>
      </c>
      <c r="F63" s="13">
        <f>D63-E63</f>
        <v/>
      </c>
      <c r="G63" s="14">
        <f>IF(D63=0,"",F63/D63)</f>
        <v/>
      </c>
    </row>
    <row r="64">
      <c r="A64" s="18" t="inlineStr">
        <is>
          <t>Installations</t>
        </is>
      </c>
      <c r="B64" s="18" t="inlineStr">
        <is>
          <t>Oct 25</t>
        </is>
      </c>
      <c r="C64" s="18" t="inlineStr">
        <is>
          <t>Locked</t>
        </is>
      </c>
      <c r="D64" s="13" t="n">
        <v>70800</v>
      </c>
      <c r="E64" s="13" t="n">
        <v>52288</v>
      </c>
      <c r="F64" s="13">
        <f>D64-E64</f>
        <v/>
      </c>
      <c r="G64" s="14">
        <f>IF(D64=0,"",F64/D64)</f>
        <v/>
      </c>
    </row>
    <row r="65">
      <c r="A65" s="18" t="inlineStr">
        <is>
          <t>Installations</t>
        </is>
      </c>
      <c r="B65" s="18" t="inlineStr">
        <is>
          <t>Nov 25</t>
        </is>
      </c>
      <c r="C65" s="18" t="inlineStr">
        <is>
          <t>Locked</t>
        </is>
      </c>
      <c r="D65" s="13" t="n">
        <v>113300</v>
      </c>
      <c r="E65" s="13" t="n">
        <v>87174</v>
      </c>
      <c r="F65" s="13">
        <f>D65-E65</f>
        <v/>
      </c>
      <c r="G65" s="14">
        <f>IF(D65=0,"",F65/D65)</f>
        <v/>
      </c>
    </row>
    <row r="66">
      <c r="A66" s="18" t="inlineStr">
        <is>
          <t>Installations</t>
        </is>
      </c>
      <c r="B66" s="18" t="inlineStr">
        <is>
          <t>Dec 25</t>
        </is>
      </c>
      <c r="C66" s="18" t="inlineStr">
        <is>
          <t>Locked</t>
        </is>
      </c>
      <c r="D66" s="13" t="n">
        <v>69700</v>
      </c>
      <c r="E66" s="13" t="n">
        <v>53408</v>
      </c>
      <c r="F66" s="13">
        <f>D66-E66</f>
        <v/>
      </c>
      <c r="G66" s="14">
        <f>IF(D66=0,"",F66/D66)</f>
        <v/>
      </c>
    </row>
    <row r="67">
      <c r="A67" s="18" t="inlineStr">
        <is>
          <t>Installations</t>
        </is>
      </c>
      <c r="B67" s="18" t="inlineStr">
        <is>
          <t>Jan 26</t>
        </is>
      </c>
      <c r="C67" s="18" t="inlineStr">
        <is>
          <t>Locked</t>
        </is>
      </c>
      <c r="D67" s="13" t="n">
        <v>97500</v>
      </c>
      <c r="E67" s="13" t="n">
        <v>74216</v>
      </c>
      <c r="F67" s="13">
        <f>D67-E67</f>
        <v/>
      </c>
      <c r="G67" s="14">
        <f>IF(D67=0,"",F67/D67)</f>
        <v/>
      </c>
    </row>
    <row r="68">
      <c r="A68" s="18" t="inlineStr">
        <is>
          <t>Installations</t>
        </is>
      </c>
      <c r="B68" s="18" t="inlineStr">
        <is>
          <t>Feb 26</t>
        </is>
      </c>
      <c r="C68" s="18" t="inlineStr">
        <is>
          <t>Locked</t>
        </is>
      </c>
      <c r="D68" s="13" t="n">
        <v>129300</v>
      </c>
      <c r="E68" s="13" t="n">
        <v>88896</v>
      </c>
      <c r="F68" s="13">
        <f>D68-E68</f>
        <v/>
      </c>
      <c r="G68" s="14">
        <f>IF(D68=0,"",F68/D68)</f>
        <v/>
      </c>
    </row>
    <row r="69">
      <c r="A69" s="18" t="inlineStr">
        <is>
          <t>Installations</t>
        </is>
      </c>
      <c r="B69" s="18" t="inlineStr">
        <is>
          <t>Mar 26</t>
        </is>
      </c>
      <c r="C69" s="18" t="inlineStr">
        <is>
          <t>Locked</t>
        </is>
      </c>
      <c r="D69" s="13" t="n">
        <v>129400</v>
      </c>
      <c r="E69" s="13" t="n">
        <v>94290</v>
      </c>
      <c r="F69" s="13">
        <f>D69-E69</f>
        <v/>
      </c>
      <c r="G69" s="14">
        <f>IF(D69=0,"",F69/D69)</f>
        <v/>
      </c>
    </row>
    <row r="70">
      <c r="A70" s="18" t="inlineStr">
        <is>
          <t>Installations</t>
        </is>
      </c>
      <c r="B70" s="18" t="inlineStr">
        <is>
          <t>Apr 26</t>
        </is>
      </c>
      <c r="C70" s="18" t="inlineStr">
        <is>
          <t>Locked</t>
        </is>
      </c>
      <c r="D70" s="13" t="n">
        <v>104400</v>
      </c>
      <c r="E70" s="13" t="n">
        <v>68016</v>
      </c>
      <c r="F70" s="13">
        <f>D70-E70</f>
        <v/>
      </c>
      <c r="G70" s="14">
        <f>IF(D70=0,"",F70/D70)</f>
        <v/>
      </c>
    </row>
    <row r="71">
      <c r="A71" s="18" t="inlineStr">
        <is>
          <t>Installations</t>
        </is>
      </c>
      <c r="B71" s="18" t="inlineStr">
        <is>
          <t>May 26</t>
        </is>
      </c>
      <c r="C71" s="18" t="inlineStr">
        <is>
          <t>Locked</t>
        </is>
      </c>
      <c r="D71" s="13" t="n">
        <v>92400</v>
      </c>
      <c r="E71" s="13" t="n">
        <v>66240</v>
      </c>
      <c r="F71" s="13">
        <f>D71-E71</f>
        <v/>
      </c>
      <c r="G71" s="14">
        <f>IF(D71=0,"",F71/D71)</f>
        <v/>
      </c>
    </row>
    <row r="72">
      <c r="A72" s="18" t="inlineStr">
        <is>
          <t>Installations</t>
        </is>
      </c>
      <c r="B72" s="18" t="inlineStr">
        <is>
          <t>Jun 26</t>
        </is>
      </c>
      <c r="C72" s="18" t="inlineStr">
        <is>
          <t>Locked</t>
        </is>
      </c>
      <c r="D72" s="13" t="n">
        <v>103200</v>
      </c>
      <c r="E72" s="13" t="n">
        <v>73792</v>
      </c>
      <c r="F72" s="13">
        <f>D72-E72</f>
        <v/>
      </c>
      <c r="G72" s="14">
        <f>IF(D72=0,"",F72/D72)</f>
        <v/>
      </c>
    </row>
    <row r="73">
      <c r="A73" s="18" t="inlineStr">
        <is>
          <t>Installations</t>
        </is>
      </c>
      <c r="B73" s="18" t="inlineStr">
        <is>
          <t>Jul 26</t>
        </is>
      </c>
      <c r="C73" s="18" t="inlineStr">
        <is>
          <t>Locked</t>
        </is>
      </c>
      <c r="D73" s="13" t="n">
        <v>127600</v>
      </c>
      <c r="E73" s="13" t="n">
        <v>91520</v>
      </c>
      <c r="F73" s="13">
        <f>D73-E73</f>
        <v/>
      </c>
      <c r="G73" s="14">
        <f>IF(D73=0,"",F73/D73)</f>
        <v/>
      </c>
    </row>
    <row r="74">
      <c r="A74" s="18" t="inlineStr">
        <is>
          <t>Installations</t>
        </is>
      </c>
      <c r="B74" s="18" t="inlineStr">
        <is>
          <t>Aug 26</t>
        </is>
      </c>
      <c r="C74" s="18" t="inlineStr">
        <is>
          <t>Locked</t>
        </is>
      </c>
      <c r="D74" s="13" t="n">
        <v>109600</v>
      </c>
      <c r="E74" s="13" t="n">
        <v>72720</v>
      </c>
      <c r="F74" s="13">
        <f>D74-E74</f>
        <v/>
      </c>
      <c r="G74" s="14">
        <f>IF(D74=0,"",F74/D74)</f>
        <v/>
      </c>
    </row>
    <row r="75">
      <c r="A75" s="18" t="inlineStr">
        <is>
          <t>Call-outs and repairs</t>
        </is>
      </c>
      <c r="B75" s="18" t="inlineStr">
        <is>
          <t>Oct 24</t>
        </is>
      </c>
      <c r="C75" s="18" t="inlineStr">
        <is>
          <t>Locked</t>
        </is>
      </c>
      <c r="D75" s="13" t="n">
        <v>20039</v>
      </c>
      <c r="E75" s="13" t="n">
        <v>11484</v>
      </c>
      <c r="F75" s="13">
        <f>D75-E75</f>
        <v/>
      </c>
      <c r="G75" s="14">
        <f>IF(D75=0,"",F75/D75)</f>
        <v/>
      </c>
    </row>
    <row r="76">
      <c r="A76" s="18" t="inlineStr">
        <is>
          <t>Call-outs and repairs</t>
        </is>
      </c>
      <c r="B76" s="18" t="inlineStr">
        <is>
          <t>Nov 24</t>
        </is>
      </c>
      <c r="C76" s="18" t="inlineStr">
        <is>
          <t>Locked</t>
        </is>
      </c>
      <c r="D76" s="13" t="n">
        <v>23404</v>
      </c>
      <c r="E76" s="13" t="n">
        <v>13526</v>
      </c>
      <c r="F76" s="13">
        <f>D76-E76</f>
        <v/>
      </c>
      <c r="G76" s="14">
        <f>IF(D76=0,"",F76/D76)</f>
        <v/>
      </c>
    </row>
    <row r="77">
      <c r="A77" s="18" t="inlineStr">
        <is>
          <t>Call-outs and repairs</t>
        </is>
      </c>
      <c r="B77" s="18" t="inlineStr">
        <is>
          <t>Dec 24</t>
        </is>
      </c>
      <c r="C77" s="18" t="inlineStr">
        <is>
          <t>Locked</t>
        </is>
      </c>
      <c r="D77" s="13" t="n">
        <v>25886</v>
      </c>
      <c r="E77" s="13" t="n">
        <v>14988</v>
      </c>
      <c r="F77" s="13">
        <f>D77-E77</f>
        <v/>
      </c>
      <c r="G77" s="14">
        <f>IF(D77=0,"",F77/D77)</f>
        <v/>
      </c>
    </row>
    <row r="78">
      <c r="A78" s="18" t="inlineStr">
        <is>
          <t>Call-outs and repairs</t>
        </is>
      </c>
      <c r="B78" s="18" t="inlineStr">
        <is>
          <t>Jan 25</t>
        </is>
      </c>
      <c r="C78" s="18" t="inlineStr">
        <is>
          <t>Locked</t>
        </is>
      </c>
      <c r="D78" s="13" t="n">
        <v>26839</v>
      </c>
      <c r="E78" s="13" t="n">
        <v>15644</v>
      </c>
      <c r="F78" s="13">
        <f>D78-E78</f>
        <v/>
      </c>
      <c r="G78" s="14">
        <f>IF(D78=0,"",F78/D78)</f>
        <v/>
      </c>
    </row>
    <row r="79">
      <c r="A79" s="18" t="inlineStr">
        <is>
          <t>Call-outs and repairs</t>
        </is>
      </c>
      <c r="B79" s="18" t="inlineStr">
        <is>
          <t>Feb 25</t>
        </is>
      </c>
      <c r="C79" s="18" t="inlineStr">
        <is>
          <t>Locked</t>
        </is>
      </c>
      <c r="D79" s="13" t="n">
        <v>27013</v>
      </c>
      <c r="E79" s="13" t="n">
        <v>15600</v>
      </c>
      <c r="F79" s="13">
        <f>D79-E79</f>
        <v/>
      </c>
      <c r="G79" s="14">
        <f>IF(D79=0,"",F79/D79)</f>
        <v/>
      </c>
    </row>
    <row r="80">
      <c r="A80" s="18" t="inlineStr">
        <is>
          <t>Call-outs and repairs</t>
        </is>
      </c>
      <c r="B80" s="18" t="inlineStr">
        <is>
          <t>Mar 25</t>
        </is>
      </c>
      <c r="C80" s="18" t="inlineStr">
        <is>
          <t>Locked</t>
        </is>
      </c>
      <c r="D80" s="13" t="n">
        <v>21052</v>
      </c>
      <c r="E80" s="13" t="n">
        <v>12306</v>
      </c>
      <c r="F80" s="13">
        <f>D80-E80</f>
        <v/>
      </c>
      <c r="G80" s="14">
        <f>IF(D80=0,"",F80/D80)</f>
        <v/>
      </c>
    </row>
    <row r="81">
      <c r="A81" s="18" t="inlineStr">
        <is>
          <t>Call-outs and repairs</t>
        </is>
      </c>
      <c r="B81" s="18" t="inlineStr">
        <is>
          <t>Apr 25</t>
        </is>
      </c>
      <c r="C81" s="18" t="inlineStr">
        <is>
          <t>Locked</t>
        </is>
      </c>
      <c r="D81" s="13" t="n">
        <v>21875</v>
      </c>
      <c r="E81" s="13" t="n">
        <v>12762</v>
      </c>
      <c r="F81" s="13">
        <f>D81-E81</f>
        <v/>
      </c>
      <c r="G81" s="14">
        <f>IF(D81=0,"",F81/D81)</f>
        <v/>
      </c>
    </row>
    <row r="82">
      <c r="A82" s="18" t="inlineStr">
        <is>
          <t>Call-outs and repairs</t>
        </is>
      </c>
      <c r="B82" s="18" t="inlineStr">
        <is>
          <t>May 25</t>
        </is>
      </c>
      <c r="C82" s="18" t="inlineStr">
        <is>
          <t>Locked</t>
        </is>
      </c>
      <c r="D82" s="13" t="n">
        <v>21586</v>
      </c>
      <c r="E82" s="13" t="n">
        <v>12384</v>
      </c>
      <c r="F82" s="13">
        <f>D82-E82</f>
        <v/>
      </c>
      <c r="G82" s="14">
        <f>IF(D82=0,"",F82/D82)</f>
        <v/>
      </c>
    </row>
    <row r="83">
      <c r="A83" s="18" t="inlineStr">
        <is>
          <t>Call-outs and repairs</t>
        </is>
      </c>
      <c r="B83" s="18" t="inlineStr">
        <is>
          <t>Jun 25</t>
        </is>
      </c>
      <c r="C83" s="18" t="inlineStr">
        <is>
          <t>Locked</t>
        </is>
      </c>
      <c r="D83" s="13" t="n">
        <v>19543</v>
      </c>
      <c r="E83" s="13" t="n">
        <v>11162</v>
      </c>
      <c r="F83" s="13">
        <f>D83-E83</f>
        <v/>
      </c>
      <c r="G83" s="14">
        <f>IF(D83=0,"",F83/D83)</f>
        <v/>
      </c>
    </row>
    <row r="84">
      <c r="A84" s="18" t="inlineStr">
        <is>
          <t>Call-outs and repairs</t>
        </is>
      </c>
      <c r="B84" s="18" t="inlineStr">
        <is>
          <t>Jul 25</t>
        </is>
      </c>
      <c r="C84" s="18" t="inlineStr">
        <is>
          <t>Locked</t>
        </is>
      </c>
      <c r="D84" s="13" t="n">
        <v>17760</v>
      </c>
      <c r="E84" s="13" t="n">
        <v>9960</v>
      </c>
      <c r="F84" s="13">
        <f>D84-E84</f>
        <v/>
      </c>
      <c r="G84" s="14">
        <f>IF(D84=0,"",F84/D84)</f>
        <v/>
      </c>
    </row>
    <row r="85">
      <c r="A85" s="18" t="inlineStr">
        <is>
          <t>Call-outs and repairs</t>
        </is>
      </c>
      <c r="B85" s="18" t="inlineStr">
        <is>
          <t>Aug 25</t>
        </is>
      </c>
      <c r="C85" s="18" t="inlineStr">
        <is>
          <t>Locked</t>
        </is>
      </c>
      <c r="D85" s="13" t="n">
        <v>19764</v>
      </c>
      <c r="E85" s="13" t="n">
        <v>11222</v>
      </c>
      <c r="F85" s="13">
        <f>D85-E85</f>
        <v/>
      </c>
      <c r="G85" s="14">
        <f>IF(D85=0,"",F85/D85)</f>
        <v/>
      </c>
    </row>
    <row r="86">
      <c r="A86" s="18" t="inlineStr">
        <is>
          <t>Call-outs and repairs</t>
        </is>
      </c>
      <c r="B86" s="18" t="inlineStr">
        <is>
          <t>Sep 25</t>
        </is>
      </c>
      <c r="C86" s="18" t="inlineStr">
        <is>
          <t>Locked</t>
        </is>
      </c>
      <c r="D86" s="13" t="n">
        <v>19955</v>
      </c>
      <c r="E86" s="13" t="n">
        <v>11168</v>
      </c>
      <c r="F86" s="13">
        <f>D86-E86</f>
        <v/>
      </c>
      <c r="G86" s="14">
        <f>IF(D86=0,"",F86/D86)</f>
        <v/>
      </c>
    </row>
    <row r="87">
      <c r="A87" s="18" t="inlineStr">
        <is>
          <t>Call-outs and repairs</t>
        </is>
      </c>
      <c r="B87" s="18" t="inlineStr">
        <is>
          <t>Oct 25</t>
        </is>
      </c>
      <c r="C87" s="18" t="inlineStr">
        <is>
          <t>Locked</t>
        </is>
      </c>
      <c r="D87" s="13" t="n">
        <v>22298</v>
      </c>
      <c r="E87" s="13" t="n">
        <v>12648</v>
      </c>
      <c r="F87" s="13">
        <f>D87-E87</f>
        <v/>
      </c>
      <c r="G87" s="14">
        <f>IF(D87=0,"",F87/D87)</f>
        <v/>
      </c>
    </row>
    <row r="88">
      <c r="A88" s="18" t="inlineStr">
        <is>
          <t>Call-outs and repairs</t>
        </is>
      </c>
      <c r="B88" s="18" t="inlineStr">
        <is>
          <t>Nov 25</t>
        </is>
      </c>
      <c r="C88" s="18" t="inlineStr">
        <is>
          <t>Locked</t>
        </is>
      </c>
      <c r="D88" s="13" t="n">
        <v>25686</v>
      </c>
      <c r="E88" s="13" t="n">
        <v>14252</v>
      </c>
      <c r="F88" s="13">
        <f>D88-E88</f>
        <v/>
      </c>
      <c r="G88" s="14">
        <f>IF(D88=0,"",F88/D88)</f>
        <v/>
      </c>
    </row>
    <row r="89">
      <c r="A89" s="18" t="inlineStr">
        <is>
          <t>Call-outs and repairs</t>
        </is>
      </c>
      <c r="B89" s="18" t="inlineStr">
        <is>
          <t>Dec 25</t>
        </is>
      </c>
      <c r="C89" s="18" t="inlineStr">
        <is>
          <t>Locked</t>
        </is>
      </c>
      <c r="D89" s="13" t="n">
        <v>29579</v>
      </c>
      <c r="E89" s="13" t="n">
        <v>16702</v>
      </c>
      <c r="F89" s="13">
        <f>D89-E89</f>
        <v/>
      </c>
      <c r="G89" s="14">
        <f>IF(D89=0,"",F89/D89)</f>
        <v/>
      </c>
    </row>
    <row r="90">
      <c r="A90" s="18" t="inlineStr">
        <is>
          <t>Call-outs and repairs</t>
        </is>
      </c>
      <c r="B90" s="18" t="inlineStr">
        <is>
          <t>Jan 26</t>
        </is>
      </c>
      <c r="C90" s="18" t="inlineStr">
        <is>
          <t>Locked</t>
        </is>
      </c>
      <c r="D90" s="13" t="n">
        <v>31480</v>
      </c>
      <c r="E90" s="13" t="n">
        <v>17858</v>
      </c>
      <c r="F90" s="13">
        <f>D90-E90</f>
        <v/>
      </c>
      <c r="G90" s="14">
        <f>IF(D90=0,"",F90/D90)</f>
        <v/>
      </c>
    </row>
    <row r="91">
      <c r="A91" s="18" t="inlineStr">
        <is>
          <t>Call-outs and repairs</t>
        </is>
      </c>
      <c r="B91" s="18" t="inlineStr">
        <is>
          <t>Feb 26</t>
        </is>
      </c>
      <c r="C91" s="18" t="inlineStr">
        <is>
          <t>Locked</t>
        </is>
      </c>
      <c r="D91" s="13" t="n">
        <v>29572</v>
      </c>
      <c r="E91" s="13" t="n">
        <v>16608</v>
      </c>
      <c r="F91" s="13">
        <f>D91-E91</f>
        <v/>
      </c>
      <c r="G91" s="14">
        <f>IF(D91=0,"",F91/D91)</f>
        <v/>
      </c>
    </row>
    <row r="92">
      <c r="A92" s="18" t="inlineStr">
        <is>
          <t>Call-outs and repairs</t>
        </is>
      </c>
      <c r="B92" s="18" t="inlineStr">
        <is>
          <t>Mar 26</t>
        </is>
      </c>
      <c r="C92" s="18" t="inlineStr">
        <is>
          <t>Locked</t>
        </is>
      </c>
      <c r="D92" s="13" t="n">
        <v>24600</v>
      </c>
      <c r="E92" s="13" t="n">
        <v>13894</v>
      </c>
      <c r="F92" s="13">
        <f>D92-E92</f>
        <v/>
      </c>
      <c r="G92" s="14">
        <f>IF(D92=0,"",F92/D92)</f>
        <v/>
      </c>
    </row>
    <row r="93">
      <c r="A93" s="18" t="inlineStr">
        <is>
          <t>Call-outs and repairs</t>
        </is>
      </c>
      <c r="B93" s="18" t="inlineStr">
        <is>
          <t>Apr 26</t>
        </is>
      </c>
      <c r="C93" s="18" t="inlineStr">
        <is>
          <t>Locked</t>
        </is>
      </c>
      <c r="D93" s="13" t="n">
        <v>23087</v>
      </c>
      <c r="E93" s="13" t="n">
        <v>12970</v>
      </c>
      <c r="F93" s="13">
        <f>D93-E93</f>
        <v/>
      </c>
      <c r="G93" s="14">
        <f>IF(D93=0,"",F93/D93)</f>
        <v/>
      </c>
    </row>
    <row r="94">
      <c r="A94" s="18" t="inlineStr">
        <is>
          <t>Call-outs and repairs</t>
        </is>
      </c>
      <c r="B94" s="18" t="inlineStr">
        <is>
          <t>May 26</t>
        </is>
      </c>
      <c r="C94" s="18" t="inlineStr">
        <is>
          <t>Locked</t>
        </is>
      </c>
      <c r="D94" s="13" t="n">
        <v>29063</v>
      </c>
      <c r="E94" s="13" t="n">
        <v>16234</v>
      </c>
      <c r="F94" s="13">
        <f>D94-E94</f>
        <v/>
      </c>
      <c r="G94" s="14">
        <f>IF(D94=0,"",F94/D94)</f>
        <v/>
      </c>
    </row>
    <row r="95">
      <c r="A95" s="18" t="inlineStr">
        <is>
          <t>Call-outs and repairs</t>
        </is>
      </c>
      <c r="B95" s="18" t="inlineStr">
        <is>
          <t>Jun 26</t>
        </is>
      </c>
      <c r="C95" s="18" t="inlineStr">
        <is>
          <t>Locked</t>
        </is>
      </c>
      <c r="D95" s="13" t="n">
        <v>29463</v>
      </c>
      <c r="E95" s="13" t="n">
        <v>16324</v>
      </c>
      <c r="F95" s="13">
        <f>D95-E95</f>
        <v/>
      </c>
      <c r="G95" s="14">
        <f>IF(D95=0,"",F95/D95)</f>
        <v/>
      </c>
    </row>
    <row r="96">
      <c r="A96" s="18" t="inlineStr">
        <is>
          <t>Call-outs and repairs</t>
        </is>
      </c>
      <c r="B96" s="18" t="inlineStr">
        <is>
          <t>Jul 26</t>
        </is>
      </c>
      <c r="C96" s="18" t="inlineStr">
        <is>
          <t>Locked</t>
        </is>
      </c>
      <c r="D96" s="13" t="n">
        <v>25145</v>
      </c>
      <c r="E96" s="13" t="n">
        <v>14220</v>
      </c>
      <c r="F96" s="13">
        <f>D96-E96</f>
        <v/>
      </c>
      <c r="G96" s="14">
        <f>IF(D96=0,"",F96/D96)</f>
        <v/>
      </c>
    </row>
    <row r="97">
      <c r="A97" s="18" t="inlineStr">
        <is>
          <t>Call-outs and repairs</t>
        </is>
      </c>
      <c r="B97" s="18" t="inlineStr">
        <is>
          <t>Aug 26</t>
        </is>
      </c>
      <c r="C97" s="18" t="inlineStr">
        <is>
          <t>Locked</t>
        </is>
      </c>
      <c r="D97" s="13" t="n">
        <v>28907</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2026-10-07T07:37:08Z</dcterms:created>
  <dcterms:modified xmlns:dcterms="http://purl.org/dc/terms/" xmlns:xsi="http://www.w3.org/2001/XMLSchema-instance" xsi:type="dcterms:W3CDTF">2026-10-07T07:37:08Z</dcterms:modified>
</cp:coreProperties>
</file>