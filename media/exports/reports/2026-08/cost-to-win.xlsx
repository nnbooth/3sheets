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August_2026">'Report'!$B$8</definedName>
    <definedName name="August_last_year">'Report'!$B$9</definedName>
    <definedName name="Year_to_date_Jul_to_Aug_2026">'Report'!$B$10</definedName>
    <definedName name="_xlnm.Print_Area" localSheetId="0">'Report'!$A$1:$D$18</definedName>
    <definedName name="_xlnm.Print_Area" localSheetId="1">'Workings'!$A$1:$C$30</definedName>
    <definedName name="_xlnm.Print_Titles" localSheetId="2">'Data'!$5:$5</definedName>
    <definedName name="_xlnm.Print_Area" localSheetId="2">'Data'!$A$1:$E$28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0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8" fillId="0" borderId="0" applyAlignment="1" pivotButton="0" quotePrefix="0" xfId="0">
      <alignment indent="1"/>
    </xf>
    <xf numFmtId="165" fontId="0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5" fillId="0" borderId="0" pivotButton="0" quotePrefix="0" xfId="0"/>
    <xf numFmtId="164" fontId="0" fillId="0" borderId="0" applyAlignment="1" pivotButton="0" quotePrefix="0" xfId="0">
      <alignment horizontal="right"/>
    </xf>
    <xf numFmtId="0" fontId="7" fillId="0" borderId="1" pivotButton="0" quotePrefix="0" xfId="0"/>
    <xf numFmtId="164" fontId="7" fillId="0" borderId="1" applyAlignment="1" pivotButton="0" quotePrefix="0" xfId="0">
      <alignment horizontal="right"/>
    </xf>
    <xf numFmtId="165" fontId="7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Marketing spend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Marketing spend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'Data'!$A$6:$A$28</f>
            </numRef>
          </cat>
          <val>
            <numRef>
              <f>'Data'!$C$6:$C$28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ost_to_win_Data" displayName="cost_to_win_Data" ref="A5:E28" headerRowCount="1">
  <autoFilter ref="A5:E28"/>
  <tableColumns count="5">
    <tableColumn id="1" name="Month"/>
    <tableColumn id="2" name="Status"/>
    <tableColumn id="3" name="Marketing spend"/>
    <tableColumn id="4" name="New customers"/>
    <tableColumn id="5" name="Cost per new customer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it cost to win a customer?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August 2026 · Data status: Jul 2026 locked · Aug 2026 locked · Oct 2026 incomplete (data retrieved 2pm, Tue 6 Oct 2026) · Generated 8 Oct 2026, 9:35am</t>
        </is>
      </c>
    </row>
    <row r="4"/>
    <row r="5" ht="32" customHeight="1">
      <c r="A5" s="3" t="inlineStr">
        <is>
          <t>Marketing spend divided by the customers it actually brought in (a customer's first ever job), month by month.</t>
        </is>
      </c>
    </row>
    <row r="6"/>
    <row r="7">
      <c r="A7" s="4" t="inlineStr">
        <is>
          <t>Headline number</t>
        </is>
      </c>
      <c r="B7" s="5" t="inlineStr">
        <is>
          <t>Value</t>
        </is>
      </c>
      <c r="C7" s="5" t="inlineStr">
        <is>
          <t>Compared with</t>
        </is>
      </c>
    </row>
    <row r="8">
      <c r="A8" t="inlineStr">
        <is>
          <t>August 2026</t>
        </is>
      </c>
      <c r="B8" s="6">
        <f>Workings!B10</f>
        <v/>
      </c>
      <c r="C8" s="7" t="inlineStr">
        <is>
          <t>July $263</t>
        </is>
      </c>
    </row>
    <row r="9">
      <c r="A9" t="inlineStr">
        <is>
          <t>August last year</t>
        </is>
      </c>
      <c r="B9" s="6">
        <f>Workings!B18</f>
        <v/>
      </c>
      <c r="C9" s="7" t="inlineStr">
        <is>
          <t>36 new customers from $8,400</t>
        </is>
      </c>
    </row>
    <row r="10">
      <c r="A10" t="inlineStr">
        <is>
          <t>Year to date (Jul to Aug 2026)</t>
        </is>
      </c>
      <c r="B10" s="8">
        <f>Workings!B30</f>
        <v/>
      </c>
      <c r="C10" s="7" t="inlineStr">
        <is>
          <t>(12.3%) on the same period last year ($263)</t>
        </is>
      </c>
    </row>
    <row r="11"/>
    <row r="12">
      <c r="A12" s="9" t="inlineStr">
        <is>
          <t>Cost to win a customer, by month: every month is on the Data sheet.</t>
        </is>
      </c>
    </row>
    <row r="13"/>
    <row r="14">
      <c r="A14" s="10" t="inlineStr">
        <is>
          <t>What it shows</t>
        </is>
      </c>
    </row>
    <row r="15" ht="30" customHeight="1">
      <c r="A15" s="3" t="inlineStr">
        <is>
          <t>41 new customers came from $8,400 of marketing in August, against 32 from $8,400 in July: $205 each, down from $263.</t>
        </is>
      </c>
    </row>
    <row r="16"/>
    <row r="17">
      <c r="A17" s="10" t="inlineStr">
        <is>
          <t>What you'd do about it</t>
        </is>
      </c>
    </row>
    <row r="18" ht="30" customHeight="1">
      <c r="A18" s="3" t="inlineStr">
        <is>
          <t>A lower cost per customer with steady spend usually means the marketing mix is working. Recording where each new customer came from shows the cost per channel.</t>
        </is>
      </c>
    </row>
    <row r="19"/>
    <row r="20"/>
  </sheetData>
  <mergeCells count="3">
    <mergeCell ref="A5:D5"/>
    <mergeCell ref="A18:D18"/>
    <mergeCell ref="A15:D15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cost-to-win.xlsx&amp;C&amp;"Roboto,Regular"&amp;8 Data retrieved 2pm, Tue 6 Oct 2026 · Generated 8 Oct 2026, 9:35am&amp;R&amp;"Roboto,Regular"&amp;8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33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August 2026 · Data status: Jul 2026 locked · Aug 2026 locked · Oct 2026 incomplete (data retrieved 2pm, Tue 6 Oct 2026) · Generated 8 Oct 2026, 9:35am</t>
        </is>
      </c>
    </row>
    <row r="4"/>
    <row r="5">
      <c r="A5" s="11" t="inlineStr">
        <is>
          <t>Cost to win a customer, August and July</t>
        </is>
      </c>
    </row>
    <row r="6">
      <c r="A6" s="9" t="inlineStr">
        <is>
          <t>Marketing spend ÷ new customers</t>
        </is>
      </c>
    </row>
    <row r="7">
      <c r="A7" s="4" t="inlineStr"/>
      <c r="B7" s="5" t="inlineStr">
        <is>
          <t>Aug 26</t>
        </is>
      </c>
      <c r="C7" s="5" t="inlineStr">
        <is>
          <t>Jul 26</t>
        </is>
      </c>
    </row>
    <row r="8">
      <c r="A8" t="inlineStr">
        <is>
          <t>Marketing spend (ledger)</t>
        </is>
      </c>
      <c r="B8" s="12" t="n">
        <v>8400</v>
      </c>
      <c r="C8" s="12" t="n">
        <v>8400</v>
      </c>
    </row>
    <row r="9">
      <c r="A9" t="inlineStr">
        <is>
          <t>New customers (first job ever)</t>
        </is>
      </c>
      <c r="B9" s="12" t="n">
        <v>41</v>
      </c>
      <c r="C9" s="12" t="n">
        <v>32</v>
      </c>
    </row>
    <row r="10">
      <c r="A10" s="13" t="inlineStr">
        <is>
          <t>Cost per new customer</t>
        </is>
      </c>
      <c r="B10" s="14">
        <f>B8/B9</f>
        <v/>
      </c>
      <c r="C10" s="14">
        <f>C8/C9</f>
        <v/>
      </c>
    </row>
    <row r="11"/>
    <row r="12"/>
    <row r="13">
      <c r="A13" s="11" t="inlineStr">
        <is>
          <t>Cost to win a customer, Aug 25</t>
        </is>
      </c>
    </row>
    <row r="14">
      <c r="A14" s="9" t="inlineStr">
        <is>
          <t>Marketing spend ÷ new customers</t>
        </is>
      </c>
    </row>
    <row r="15">
      <c r="A15" s="4" t="inlineStr"/>
      <c r="B15" s="5" t="inlineStr">
        <is>
          <t>Aug 25</t>
        </is>
      </c>
    </row>
    <row r="16">
      <c r="A16" t="inlineStr">
        <is>
          <t>Marketing spend (ledger)</t>
        </is>
      </c>
      <c r="B16" s="12" t="n">
        <v>8400</v>
      </c>
    </row>
    <row r="17">
      <c r="A17" t="inlineStr">
        <is>
          <t>New customers (first job ever)</t>
        </is>
      </c>
      <c r="B17" s="12" t="n">
        <v>36</v>
      </c>
    </row>
    <row r="18">
      <c r="A18" s="13" t="inlineStr">
        <is>
          <t>Cost per new customer</t>
        </is>
      </c>
      <c r="B18" s="14">
        <f>B16/B17</f>
        <v/>
      </c>
    </row>
    <row r="19"/>
    <row r="20"/>
    <row r="21">
      <c r="A21" s="11" t="inlineStr">
        <is>
          <t>Cost to win a customer, year to date against the same period last year</t>
        </is>
      </c>
    </row>
    <row r="22">
      <c r="A22" s="9" t="inlineStr">
        <is>
          <t>Total marketing ÷ total new customers, for each period</t>
        </is>
      </c>
    </row>
    <row r="23">
      <c r="A23" s="4" t="inlineStr"/>
      <c r="B23" s="5" t="inlineStr">
        <is>
          <t>Year to date</t>
        </is>
      </c>
    </row>
    <row r="24">
      <c r="A24" t="inlineStr">
        <is>
          <t>Marketing, Jul to Aug 2026</t>
        </is>
      </c>
      <c r="B24" s="12" t="n">
        <v>16800</v>
      </c>
    </row>
    <row r="25">
      <c r="A25" t="inlineStr">
        <is>
          <t>New customers, Jul to Aug 2026</t>
        </is>
      </c>
      <c r="B25" s="12" t="n">
        <v>73</v>
      </c>
    </row>
    <row r="26">
      <c r="A26" t="inlineStr">
        <is>
          <t>Cost per customer, year to date</t>
        </is>
      </c>
      <c r="B26" s="12">
        <f>B24/B25</f>
        <v/>
      </c>
    </row>
    <row r="27">
      <c r="A27" t="inlineStr">
        <is>
          <t>Marketing, Jul to Aug 2025</t>
        </is>
      </c>
      <c r="B27" s="12" t="n">
        <v>16800</v>
      </c>
    </row>
    <row r="28">
      <c r="A28" t="inlineStr">
        <is>
          <t>New customers, Jul to Aug 2025</t>
        </is>
      </c>
      <c r="B28" s="12" t="n">
        <v>64</v>
      </c>
    </row>
    <row r="29">
      <c r="A29" t="inlineStr">
        <is>
          <t>Cost per customer, same period last year</t>
        </is>
      </c>
      <c r="B29" s="12">
        <f>B27/B28</f>
        <v/>
      </c>
    </row>
    <row r="30">
      <c r="A30" s="13" t="inlineStr">
        <is>
          <t>Change</t>
        </is>
      </c>
      <c r="B30" s="15">
        <f>B26/B29-1</f>
        <v/>
      </c>
    </row>
    <row r="31"/>
    <row r="32"/>
    <row r="33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cost-to-win.xlsx&amp;C&amp;"Roboto,Regular"&amp;8 Data retrieved 2pm, Tue 6 Oct 2026 · Generated 8 Oct 2026, 9:35am&amp;R&amp;"Roboto,Regular"&amp;8 Page &amp;P of &amp;N</oddFooter>
    <evenHeader/>
    <evenFooter/>
    <firstHeader/>
    <firstFooter/>
  </headerFooter>
  <rowBreaks count="1" manualBreakCount="1">
    <brk id="2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August 2026 · Data status: Jul 2026 locked · Aug 2026 locked · Oct 2026 incomplete (data retrieved 2pm, Tue 6 Oct 2026) · Generated 8 Oct 2026, 9:35am</t>
        </is>
      </c>
    </row>
    <row r="4"/>
    <row r="5">
      <c r="A5" s="4" t="inlineStr">
        <is>
          <t>Month</t>
        </is>
      </c>
      <c r="B5" s="5" t="inlineStr">
        <is>
          <t>Status</t>
        </is>
      </c>
      <c r="C5" s="5" t="inlineStr">
        <is>
          <t>Marketing spend</t>
        </is>
      </c>
      <c r="D5" s="5" t="inlineStr">
        <is>
          <t>New customers</t>
        </is>
      </c>
      <c r="E5" s="5" t="inlineStr">
        <is>
          <t>Cost per new customer</t>
        </is>
      </c>
    </row>
    <row r="6">
      <c r="A6" s="16" t="inlineStr">
        <is>
          <t>Oct 24</t>
        </is>
      </c>
      <c r="B6" s="16" t="inlineStr">
        <is>
          <t>Locked</t>
        </is>
      </c>
      <c r="C6" s="12" t="n">
        <v>8600</v>
      </c>
      <c r="D6" s="12" t="n">
        <v>34</v>
      </c>
      <c r="E6" s="12">
        <f>C6/D6</f>
        <v/>
      </c>
    </row>
    <row r="7">
      <c r="A7" s="16" t="inlineStr">
        <is>
          <t>Nov 24</t>
        </is>
      </c>
      <c r="B7" s="16" t="inlineStr">
        <is>
          <t>Locked</t>
        </is>
      </c>
      <c r="C7" s="12" t="n">
        <v>8400</v>
      </c>
      <c r="D7" s="12" t="n">
        <v>33</v>
      </c>
      <c r="E7" s="12">
        <f>C7/D7</f>
        <v/>
      </c>
    </row>
    <row r="8">
      <c r="A8" s="16" t="inlineStr">
        <is>
          <t>Dec 24</t>
        </is>
      </c>
      <c r="B8" s="16" t="inlineStr">
        <is>
          <t>Locked</t>
        </is>
      </c>
      <c r="C8" s="12" t="n">
        <v>7800</v>
      </c>
      <c r="D8" s="12" t="n">
        <v>37</v>
      </c>
      <c r="E8" s="12">
        <f>C8/D8</f>
        <v/>
      </c>
    </row>
    <row r="9">
      <c r="A9" s="16" t="inlineStr">
        <is>
          <t>Jan 25</t>
        </is>
      </c>
      <c r="B9" s="16" t="inlineStr">
        <is>
          <t>Locked</t>
        </is>
      </c>
      <c r="C9" s="12" t="n">
        <v>8000</v>
      </c>
      <c r="D9" s="12" t="n">
        <v>40</v>
      </c>
      <c r="E9" s="12">
        <f>C9/D9</f>
        <v/>
      </c>
    </row>
    <row r="10">
      <c r="A10" s="16" t="inlineStr">
        <is>
          <t>Feb 25</t>
        </is>
      </c>
      <c r="B10" s="16" t="inlineStr">
        <is>
          <t>Locked</t>
        </is>
      </c>
      <c r="C10" s="12" t="n">
        <v>8600</v>
      </c>
      <c r="D10" s="12" t="n">
        <v>35</v>
      </c>
      <c r="E10" s="12">
        <f>C10/D10</f>
        <v/>
      </c>
    </row>
    <row r="11">
      <c r="A11" s="16" t="inlineStr">
        <is>
          <t>Mar 25</t>
        </is>
      </c>
      <c r="B11" s="16" t="inlineStr">
        <is>
          <t>Locked</t>
        </is>
      </c>
      <c r="C11" s="12" t="n">
        <v>8400</v>
      </c>
      <c r="D11" s="12" t="n">
        <v>34</v>
      </c>
      <c r="E11" s="12">
        <f>C11/D11</f>
        <v/>
      </c>
    </row>
    <row r="12">
      <c r="A12" s="16" t="inlineStr">
        <is>
          <t>Apr 25</t>
        </is>
      </c>
      <c r="B12" s="16" t="inlineStr">
        <is>
          <t>Locked</t>
        </is>
      </c>
      <c r="C12" s="12" t="n">
        <v>8400</v>
      </c>
      <c r="D12" s="12" t="n">
        <v>30</v>
      </c>
      <c r="E12" s="12">
        <f>C12/D12</f>
        <v/>
      </c>
    </row>
    <row r="13">
      <c r="A13" s="16" t="inlineStr">
        <is>
          <t>May 25</t>
        </is>
      </c>
      <c r="B13" s="16" t="inlineStr">
        <is>
          <t>Locked</t>
        </is>
      </c>
      <c r="C13" s="12" t="n">
        <v>8400</v>
      </c>
      <c r="D13" s="12" t="n">
        <v>31</v>
      </c>
      <c r="E13" s="12">
        <f>C13/D13</f>
        <v/>
      </c>
    </row>
    <row r="14">
      <c r="A14" s="16" t="inlineStr">
        <is>
          <t>Jun 25</t>
        </is>
      </c>
      <c r="B14" s="16" t="inlineStr">
        <is>
          <t>Locked</t>
        </is>
      </c>
      <c r="C14" s="12" t="n">
        <v>8400</v>
      </c>
      <c r="D14" s="12" t="n">
        <v>32</v>
      </c>
      <c r="E14" s="12">
        <f>C14/D14</f>
        <v/>
      </c>
    </row>
    <row r="15">
      <c r="A15" s="16" t="inlineStr">
        <is>
          <t>Jul 25</t>
        </is>
      </c>
      <c r="B15" s="16" t="inlineStr">
        <is>
          <t>Locked</t>
        </is>
      </c>
      <c r="C15" s="12" t="n">
        <v>8400</v>
      </c>
      <c r="D15" s="12" t="n">
        <v>28</v>
      </c>
      <c r="E15" s="12">
        <f>C15/D15</f>
        <v/>
      </c>
    </row>
    <row r="16">
      <c r="A16" s="16" t="inlineStr">
        <is>
          <t>Aug 25</t>
        </is>
      </c>
      <c r="B16" s="16" t="inlineStr">
        <is>
          <t>Locked</t>
        </is>
      </c>
      <c r="C16" s="12" t="n">
        <v>8400</v>
      </c>
      <c r="D16" s="12" t="n">
        <v>36</v>
      </c>
      <c r="E16" s="12">
        <f>C16/D16</f>
        <v/>
      </c>
    </row>
    <row r="17">
      <c r="A17" s="16" t="inlineStr">
        <is>
          <t>Sep 25</t>
        </is>
      </c>
      <c r="B17" s="16" t="inlineStr">
        <is>
          <t>Locked</t>
        </is>
      </c>
      <c r="C17" s="12" t="n">
        <v>8600</v>
      </c>
      <c r="D17" s="12" t="n">
        <v>32</v>
      </c>
      <c r="E17" s="12">
        <f>C17/D17</f>
        <v/>
      </c>
    </row>
    <row r="18">
      <c r="A18" s="16" t="inlineStr">
        <is>
          <t>Oct 25</t>
        </is>
      </c>
      <c r="B18" s="16" t="inlineStr">
        <is>
          <t>Locked</t>
        </is>
      </c>
      <c r="C18" s="12" t="n">
        <v>8600</v>
      </c>
      <c r="D18" s="12" t="n">
        <v>33</v>
      </c>
      <c r="E18" s="12">
        <f>C18/D18</f>
        <v/>
      </c>
    </row>
    <row r="19">
      <c r="A19" s="16" t="inlineStr">
        <is>
          <t>Nov 25</t>
        </is>
      </c>
      <c r="B19" s="16" t="inlineStr">
        <is>
          <t>Locked</t>
        </is>
      </c>
      <c r="C19" s="12" t="n">
        <v>8400</v>
      </c>
      <c r="D19" s="12" t="n">
        <v>37</v>
      </c>
      <c r="E19" s="12">
        <f>C19/D19</f>
        <v/>
      </c>
    </row>
    <row r="20">
      <c r="A20" s="16" t="inlineStr">
        <is>
          <t>Dec 25</t>
        </is>
      </c>
      <c r="B20" s="16" t="inlineStr">
        <is>
          <t>Locked</t>
        </is>
      </c>
      <c r="C20" s="12" t="n">
        <v>7800</v>
      </c>
      <c r="D20" s="12" t="n">
        <v>45</v>
      </c>
      <c r="E20" s="12">
        <f>C20/D20</f>
        <v/>
      </c>
    </row>
    <row r="21">
      <c r="A21" s="16" t="inlineStr">
        <is>
          <t>Jan 26</t>
        </is>
      </c>
      <c r="B21" s="16" t="inlineStr">
        <is>
          <t>Locked</t>
        </is>
      </c>
      <c r="C21" s="12" t="n">
        <v>8000</v>
      </c>
      <c r="D21" s="12" t="n">
        <v>44</v>
      </c>
      <c r="E21" s="12">
        <f>C21/D21</f>
        <v/>
      </c>
    </row>
    <row r="22">
      <c r="A22" s="16" t="inlineStr">
        <is>
          <t>Feb 26</t>
        </is>
      </c>
      <c r="B22" s="16" t="inlineStr">
        <is>
          <t>Locked</t>
        </is>
      </c>
      <c r="C22" s="12" t="n">
        <v>8600</v>
      </c>
      <c r="D22" s="12" t="n">
        <v>39</v>
      </c>
      <c r="E22" s="12">
        <f>C22/D22</f>
        <v/>
      </c>
    </row>
    <row r="23">
      <c r="A23" s="16" t="inlineStr">
        <is>
          <t>Mar 26</t>
        </is>
      </c>
      <c r="B23" s="16" t="inlineStr">
        <is>
          <t>Locked</t>
        </is>
      </c>
      <c r="C23" s="12" t="n">
        <v>8400</v>
      </c>
      <c r="D23" s="12" t="n">
        <v>37</v>
      </c>
      <c r="E23" s="12">
        <f>C23/D23</f>
        <v/>
      </c>
    </row>
    <row r="24">
      <c r="A24" s="16" t="inlineStr">
        <is>
          <t>Apr 26</t>
        </is>
      </c>
      <c r="B24" s="16" t="inlineStr">
        <is>
          <t>Locked</t>
        </is>
      </c>
      <c r="C24" s="12" t="n">
        <v>8400</v>
      </c>
      <c r="D24" s="12" t="n">
        <v>35</v>
      </c>
      <c r="E24" s="12">
        <f>C24/D24</f>
        <v/>
      </c>
    </row>
    <row r="25">
      <c r="A25" s="16" t="inlineStr">
        <is>
          <t>May 26</t>
        </is>
      </c>
      <c r="B25" s="16" t="inlineStr">
        <is>
          <t>Locked</t>
        </is>
      </c>
      <c r="C25" s="12" t="n">
        <v>8400</v>
      </c>
      <c r="D25" s="12" t="n">
        <v>36</v>
      </c>
      <c r="E25" s="12">
        <f>C25/D25</f>
        <v/>
      </c>
    </row>
    <row r="26">
      <c r="A26" s="16" t="inlineStr">
        <is>
          <t>Jun 26</t>
        </is>
      </c>
      <c r="B26" s="16" t="inlineStr">
        <is>
          <t>Locked</t>
        </is>
      </c>
      <c r="C26" s="12" t="n">
        <v>8400</v>
      </c>
      <c r="D26" s="12" t="n">
        <v>39</v>
      </c>
      <c r="E26" s="12">
        <f>C26/D26</f>
        <v/>
      </c>
    </row>
    <row r="27">
      <c r="A27" s="16" t="inlineStr">
        <is>
          <t>Jul 26</t>
        </is>
      </c>
      <c r="B27" s="16" t="inlineStr">
        <is>
          <t>Locked</t>
        </is>
      </c>
      <c r="C27" s="12" t="n">
        <v>8400</v>
      </c>
      <c r="D27" s="12" t="n">
        <v>32</v>
      </c>
      <c r="E27" s="12">
        <f>C27/D27</f>
        <v/>
      </c>
    </row>
    <row r="28">
      <c r="A28" s="16" t="inlineStr">
        <is>
          <t>Aug 26</t>
        </is>
      </c>
      <c r="B28" s="16" t="inlineStr">
        <is>
          <t>Locked</t>
        </is>
      </c>
      <c r="C28" s="12" t="n">
        <v>8400</v>
      </c>
      <c r="D28" s="12" t="n">
        <v>41</v>
      </c>
      <c r="E28" s="12">
        <f>C28/D28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cost-to-win.xlsx&amp;C&amp;"Roboto,Regular"&amp;8 Data retrieved 2pm, Tue 6 Oct 2026 · Generated 8 Oct 2026, 9:35am&amp;R&amp;"Roboto,Regular"&amp;8 Page &amp;P of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2026-10-07T23:35:51Z</dcterms:created>
  <dcterms:modified xmlns:dcterms="http://purl.org/dc/terms/" xmlns:xsi="http://www.w3.org/2001/XMLSchema-instance" xsi:type="dcterms:W3CDTF">2026-10-07T23:35:51Z</dcterms:modified>
</cp:coreProperties>
</file>