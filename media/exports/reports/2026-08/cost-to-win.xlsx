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ugust_2026">'Report'!$B$9</definedName>
    <definedName name="August_last_year">'Report'!$B$10</definedName>
    <definedName name="Year_to_date_Jul_to_Aug_2026">'Report'!$B$11</definedName>
    <definedName name="_xlnm.Print_Area" localSheetId="0">'Report'!$A$1:$D$19</definedName>
    <definedName name="_xlnm.Print_Area" localSheetId="1">'Workings'!$A$1:$C$30</definedName>
    <definedName name="_xlnm.Print_Titles" localSheetId="2">'Data'!$5:$5</definedName>
    <definedName name="_xlnm.Print_Area" localSheetId="2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'Data'!$A$6:$A$28</f>
            </numRef>
          </cat>
          <val>
            <numRef>
              <f>'Data'!$C$6:$C$28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8" headerRowCount="1">
  <autoFilter ref="A5:E28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$205 per new customer in August: 41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August 2026</t>
        </is>
      </c>
      <c r="B9" s="7">
        <f>Workings!B10</f>
        <v/>
      </c>
      <c r="C9" s="8" t="inlineStr">
        <is>
          <t>July $263</t>
        </is>
      </c>
    </row>
    <row r="10">
      <c r="A10" t="inlineStr">
        <is>
          <t>August last year</t>
        </is>
      </c>
      <c r="B10" s="7">
        <f>Workings!B18</f>
        <v/>
      </c>
      <c r="C10" s="8" t="inlineStr">
        <is>
          <t>36 new customers from $8,400</t>
        </is>
      </c>
    </row>
    <row r="11">
      <c r="A11" t="inlineStr">
        <is>
          <t>Year to date (Jul to Aug 2026)</t>
        </is>
      </c>
      <c r="B11" s="7">
        <f>Workings!B26</f>
        <v/>
      </c>
      <c r="C11" s="8" t="inlineStr">
        <is>
          <t>(12.3%) on the same period last year ($263)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41 new customers came from $8,400 of marketing in August, against 32 from $8,400 in July: $205 each, down from $263.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A lower cost per customer with steady spend usually means the marketing mix is working. Recording where each new customer came from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11" t="inlineStr">
        <is>
          <t>Cost to win a customer, August and July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41</v>
      </c>
      <c r="C9" s="12" t="n">
        <v>32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Aug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Aug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36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Aug 2026</t>
        </is>
      </c>
      <c r="B24" s="12" t="n">
        <v>16800</v>
      </c>
    </row>
    <row r="25">
      <c r="A25" t="inlineStr">
        <is>
          <t>New customers, Jul to Aug 2026</t>
        </is>
      </c>
      <c r="B25" s="12" t="n">
        <v>73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Aug 2025</t>
        </is>
      </c>
      <c r="B27" s="12" t="n">
        <v>16800</v>
      </c>
    </row>
    <row r="28">
      <c r="A28" t="inlineStr">
        <is>
          <t>New customers, Jul to Aug 2025</t>
        </is>
      </c>
      <c r="B28" s="12" t="n">
        <v>64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