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urplus_August">'Report'!$B$8</definedName>
    <definedName name="Surplus_deficit_year_to_date">'Report'!$B$9</definedName>
    <definedName name="Unrestricted_cash_runway">'Report'!$B$10</definedName>
    <definedName name="Cost_to_raise_a_dollar_August">'Report'!$B$11</definedName>
    <definedName name="_xlnm.Print_Area" localSheetId="0">'Report'!$A$1:$F$26</definedName>
    <definedName name="_xlnm.Print_Area" localSheetId="1">'Workings'!$A$1:$C$42</definedName>
    <definedName name="_xlnm.Print_Titles" localSheetId="2">'Data'!$5:$5</definedName>
    <definedName name="_xlnm.Print_Area" localSheetId="2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165" fontId="0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ard_Data" displayName="board_Data" ref="A5:F11" headerRowCount="1">
  <autoFilter ref="A5:F11"/>
  <tableColumns count="6">
    <tableColumn id="1" name="Program"/>
    <tableColumn id="2" name="Spent to date"/>
    <tableColumn id="3" name="Budget to date"/>
    <tableColumn id="4" name="Against budget"/>
    <tableColumn id="5" name="Still to spend"/>
    <tableColumn id="6" name="Months lef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 ht="32" customHeight="1">
      <c r="A5" s="3" t="inlineStr">
        <is>
          <t>A one-page board summary for August 2026: the result, the money, the risks, and the decisions to make. The full statements are in the downloads.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Surplus, August</t>
        </is>
      </c>
      <c r="B8" s="6">
        <f>Workings!B10</f>
        <v/>
      </c>
      <c r="C8" s="7" t="inlineStr">
        <is>
          <t>July ($25,420)</t>
        </is>
      </c>
    </row>
    <row r="9">
      <c r="A9" t="inlineStr">
        <is>
          <t>Surplus (deficit), year to date</t>
        </is>
      </c>
      <c r="B9" s="6">
        <f>Workings!B22</f>
        <v/>
      </c>
      <c r="C9" s="7" t="inlineStr">
        <is>
          <t>Jul to Aug 2026</t>
        </is>
      </c>
    </row>
    <row r="10">
      <c r="A10" t="inlineStr">
        <is>
          <t>Unrestricted cash runway</t>
        </is>
      </c>
      <c r="B10" s="8">
        <f>Workings!B33</f>
        <v/>
      </c>
      <c r="C10" s="7" t="inlineStr">
        <is>
          <t>reserves target 3.0 months</t>
        </is>
      </c>
    </row>
    <row r="11">
      <c r="A11" t="inlineStr">
        <is>
          <t>Cost to raise a dollar, August</t>
        </is>
      </c>
      <c r="B11" s="9">
        <f>Workings!B42</f>
        <v/>
      </c>
      <c r="C11" s="7" t="inlineStr">
        <is>
          <t>July 11¢</t>
        </is>
      </c>
    </row>
    <row r="12"/>
    <row r="13">
      <c r="A13" s="10" t="inlineStr">
        <is>
          <t>Grants</t>
        </is>
      </c>
    </row>
    <row r="14">
      <c r="A14" s="4" t="inlineStr">
        <is>
          <t>Program</t>
        </is>
      </c>
      <c r="B14" s="5" t="inlineStr">
        <is>
          <t>Spent to date</t>
        </is>
      </c>
      <c r="C14" s="5" t="inlineStr">
        <is>
          <t>Budget to date</t>
        </is>
      </c>
      <c r="D14" s="5" t="inlineStr">
        <is>
          <t>Against budget</t>
        </is>
      </c>
      <c r="E14" s="5" t="inlineStr">
        <is>
          <t>Still to spend</t>
        </is>
      </c>
      <c r="F14" s="5" t="inlineStr">
        <is>
          <t>Months left</t>
        </is>
      </c>
    </row>
    <row r="15">
      <c r="A15" s="11" t="inlineStr">
        <is>
          <t>Housing support</t>
        </is>
      </c>
      <c r="B15" s="12" t="inlineStr">
        <is>
          <t>$226,500</t>
        </is>
      </c>
      <c r="C15" s="12" t="inlineStr">
        <is>
          <t>$240,000</t>
        </is>
      </c>
      <c r="D15" s="12" t="inlineStr">
        <is>
          <t>94.4%</t>
        </is>
      </c>
      <c r="E15" s="12" t="inlineStr">
        <is>
          <t>$133,500</t>
        </is>
      </c>
      <c r="F15" s="12" t="inlineStr">
        <is>
          <t>4</t>
        </is>
      </c>
    </row>
    <row r="16">
      <c r="A16" s="11" t="inlineStr">
        <is>
          <t>Volunteer coordinator</t>
        </is>
      </c>
      <c r="B16" s="12" t="inlineStr">
        <is>
          <t>$18,000</t>
        </is>
      </c>
      <c r="C16" s="12" t="inlineStr">
        <is>
          <t>$18,000</t>
        </is>
      </c>
      <c r="D16" s="12" t="inlineStr">
        <is>
          <t>100.0%</t>
        </is>
      </c>
      <c r="E16" s="12" t="inlineStr">
        <is>
          <t>$18,000</t>
        </is>
      </c>
      <c r="F16" s="12" t="inlineStr">
        <is>
          <t>6</t>
        </is>
      </c>
    </row>
    <row r="17">
      <c r="A17" s="11" t="inlineStr">
        <is>
          <t>Digital literacy</t>
        </is>
      </c>
      <c r="B17" s="12" t="inlineStr">
        <is>
          <t>$54,700</t>
        </is>
      </c>
      <c r="C17" s="12" t="inlineStr">
        <is>
          <t>$55,000</t>
        </is>
      </c>
      <c r="D17" s="12" t="inlineStr">
        <is>
          <t>99.5%</t>
        </is>
      </c>
      <c r="E17" s="12" t="inlineStr">
        <is>
          <t>$35,300</t>
        </is>
      </c>
      <c r="F17" s="12" t="inlineStr">
        <is>
          <t>7</t>
        </is>
      </c>
    </row>
    <row r="18">
      <c r="A18" s="11" t="inlineStr">
        <is>
          <t>Mental health first aid</t>
        </is>
      </c>
      <c r="B18" s="12" t="inlineStr">
        <is>
          <t>$46,400</t>
        </is>
      </c>
      <c r="C18" s="12" t="inlineStr">
        <is>
          <t>$50,000</t>
        </is>
      </c>
      <c r="D18" s="12" t="inlineStr">
        <is>
          <t>92.8%</t>
        </is>
      </c>
      <c r="E18" s="12" t="inlineStr">
        <is>
          <t>$73,600</t>
        </is>
      </c>
      <c r="F18" s="12" t="inlineStr">
        <is>
          <t>7</t>
        </is>
      </c>
    </row>
    <row r="19">
      <c r="A19" s="11" t="inlineStr">
        <is>
          <t>Youth outreach</t>
        </is>
      </c>
      <c r="B19" s="12" t="inlineStr">
        <is>
          <t>$283,500</t>
        </is>
      </c>
      <c r="C19" s="12" t="inlineStr">
        <is>
          <t>$280,000</t>
        </is>
      </c>
      <c r="D19" s="12" t="inlineStr">
        <is>
          <t>101.2%</t>
        </is>
      </c>
      <c r="E19" s="12" t="inlineStr">
        <is>
          <t>$196,500</t>
        </is>
      </c>
      <c r="F19" s="12" t="inlineStr">
        <is>
          <t>10</t>
        </is>
      </c>
    </row>
    <row r="20">
      <c r="A20" s="11" t="inlineStr">
        <is>
          <t>Community meals</t>
        </is>
      </c>
      <c r="B20" s="12" t="inlineStr">
        <is>
          <t>$7,700</t>
        </is>
      </c>
      <c r="C20" s="12" t="inlineStr">
        <is>
          <t>$8,000</t>
        </is>
      </c>
      <c r="D20" s="12" t="inlineStr">
        <is>
          <t>96.2%</t>
        </is>
      </c>
      <c r="E20" s="12" t="inlineStr">
        <is>
          <t>$40,300</t>
        </is>
      </c>
      <c r="F20" s="12" t="inlineStr">
        <is>
          <t>10</t>
        </is>
      </c>
    </row>
    <row r="21"/>
    <row r="22">
      <c r="A22" s="13" t="inlineStr">
        <is>
          <t>What the board should note</t>
        </is>
      </c>
    </row>
    <row r="23" ht="90" customHeight="1">
      <c r="A23" s="3" t="inlineStr">
        <is>
          <t>• Unrestricted cash covers 2.2 months of spending, against a 3.0 months reserves target.
• 1 grant ends within 6 months with $133,500 still to spend. Housing support: $133,500 left in 4 months ($33,375 a month needed, against $30,500 spent in August).
• Fundraising cost 13¢ per dollar in August: grants the cheapest (10¢), donations the dearest (12¢).</t>
        </is>
      </c>
    </row>
    <row r="24"/>
    <row r="25">
      <c r="A25" s="13" t="inlineStr">
        <is>
          <t>Decisions to make</t>
        </is>
      </c>
    </row>
    <row r="26" ht="90" customHeight="1">
      <c r="A26" s="3" t="inlineStr">
        <is>
          <t>• Housing support: lift spending to $33,375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7"/>
    <row r="28"/>
  </sheetData>
  <mergeCells count="3">
    <mergeCell ref="A5:D5"/>
    <mergeCell ref="A23:D23"/>
    <mergeCell ref="A26:D2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14" t="inlineStr">
        <is>
          <t>Surplus, August and July</t>
        </is>
      </c>
    </row>
    <row r="6">
      <c r="A6" s="15" t="inlineStr">
        <is>
          <t>Income less expenses</t>
        </is>
      </c>
    </row>
    <row r="7">
      <c r="A7" s="4" t="inlineStr"/>
      <c r="B7" s="5" t="inlineStr">
        <is>
          <t>Aug 26</t>
        </is>
      </c>
      <c r="C7" s="5" t="inlineStr">
        <is>
          <t>Jul 26</t>
        </is>
      </c>
    </row>
    <row r="8">
      <c r="A8" t="inlineStr">
        <is>
          <t>Income</t>
        </is>
      </c>
      <c r="B8" s="16" t="n">
        <v>120350</v>
      </c>
      <c r="C8" s="16" t="n">
        <v>112398</v>
      </c>
    </row>
    <row r="9">
      <c r="A9" t="inlineStr">
        <is>
          <t>Expenses</t>
        </is>
      </c>
      <c r="B9" s="16" t="n">
        <v>144100</v>
      </c>
      <c r="C9" s="16" t="n">
        <v>137818</v>
      </c>
    </row>
    <row r="10">
      <c r="A10" s="17" t="inlineStr">
        <is>
          <t>Surplus</t>
        </is>
      </c>
      <c r="B10" s="18">
        <f>B8-B9</f>
        <v/>
      </c>
      <c r="C10" s="18">
        <f>C8-C9</f>
        <v/>
      </c>
    </row>
    <row r="11"/>
    <row r="12"/>
    <row r="13">
      <c r="A13" s="14" t="inlineStr">
        <is>
          <t>Year to date (Jul to Aug 2026)</t>
        </is>
      </c>
    </row>
    <row r="14">
      <c r="A14" s="15" t="inlineStr">
        <is>
          <t>Income less expenses, financial year to date</t>
        </is>
      </c>
    </row>
    <row r="15">
      <c r="A15" s="4" t="inlineStr"/>
      <c r="B15" s="5" t="inlineStr">
        <is>
          <t>FY2027 to date</t>
        </is>
      </c>
    </row>
    <row r="16">
      <c r="A16" t="inlineStr">
        <is>
          <t>Income, July</t>
        </is>
      </c>
      <c r="B16" s="16" t="n">
        <v>112398</v>
      </c>
    </row>
    <row r="17">
      <c r="A17" t="inlineStr">
        <is>
          <t>Income, August</t>
        </is>
      </c>
      <c r="B17" s="16" t="n">
        <v>120350</v>
      </c>
    </row>
    <row r="18">
      <c r="A18" t="inlineStr">
        <is>
          <t>Income, year to date</t>
        </is>
      </c>
      <c r="B18" s="16">
        <f>B16+B17</f>
        <v/>
      </c>
    </row>
    <row r="19">
      <c r="A19" t="inlineStr">
        <is>
          <t>Expenses, July</t>
        </is>
      </c>
      <c r="B19" s="16" t="n">
        <v>137818</v>
      </c>
    </row>
    <row r="20">
      <c r="A20" t="inlineStr">
        <is>
          <t>Expenses, August</t>
        </is>
      </c>
      <c r="B20" s="16" t="n">
        <v>144100</v>
      </c>
    </row>
    <row r="21">
      <c r="A21" t="inlineStr">
        <is>
          <t>Expenses, year to date</t>
        </is>
      </c>
      <c r="B21" s="16">
        <f>B19+B20</f>
        <v/>
      </c>
    </row>
    <row r="22">
      <c r="A22" s="17" t="inlineStr">
        <is>
          <t>Surplus (deficit), year to date</t>
        </is>
      </c>
      <c r="B22" s="18">
        <f>B18-B21</f>
        <v/>
      </c>
    </row>
    <row r="23">
      <c r="A23" s="2" t="inlineStr">
        <is>
          <t>July locked; August locked.</t>
        </is>
      </c>
    </row>
    <row r="24"/>
    <row r="25"/>
    <row r="26">
      <c r="A26" s="14" t="inlineStr">
        <is>
          <t>Unrestricted cash runway, August 2026</t>
        </is>
      </c>
    </row>
    <row r="27">
      <c r="A27" s="15" t="inlineStr">
        <is>
          <t>(Cash at bank − unspent grant money) ÷ a month's cash spending</t>
        </is>
      </c>
    </row>
    <row r="28">
      <c r="A28" s="4" t="inlineStr"/>
      <c r="B28" s="5" t="inlineStr">
        <is>
          <t>Aug 2026</t>
        </is>
      </c>
    </row>
    <row r="29">
      <c r="A29" t="inlineStr">
        <is>
          <t>Cash at bank</t>
        </is>
      </c>
      <c r="B29" s="16" t="n">
        <v>525675</v>
      </c>
    </row>
    <row r="30">
      <c r="A30" t="inlineStr">
        <is>
          <t>Less unspent grant money (belongs to funders' programs)</t>
        </is>
      </c>
      <c r="B30" s="16" t="n">
        <v>-221900</v>
      </c>
    </row>
    <row r="31">
      <c r="A31" t="inlineStr">
        <is>
          <t>Unrestricted cash</t>
        </is>
      </c>
      <c r="B31" s="16">
        <f>B29+B30</f>
        <v/>
      </c>
    </row>
    <row r="32">
      <c r="A32" t="inlineStr">
        <is>
          <t>Cash spending in August (expenses less depreciation)</t>
        </is>
      </c>
      <c r="B32" s="16" t="n">
        <v>141200</v>
      </c>
    </row>
    <row r="33">
      <c r="A33" s="17" t="inlineStr">
        <is>
          <t>Runway</t>
        </is>
      </c>
      <c r="B33" s="19">
        <f>B31/B32</f>
        <v/>
      </c>
    </row>
    <row r="34">
      <c r="A34" s="2" t="inlineStr">
        <is>
          <t>Reserves target: 3.0 months.</t>
        </is>
      </c>
    </row>
    <row r="35"/>
    <row r="36"/>
    <row r="37">
      <c r="A37" s="14" t="inlineStr">
        <is>
          <t>Cost to raise a dollar, August and July</t>
        </is>
      </c>
    </row>
    <row r="38">
      <c r="A38" s="15" t="inlineStr">
        <is>
          <t>Fundraising costs ÷ money raised, in cents</t>
        </is>
      </c>
    </row>
    <row r="39">
      <c r="A39" s="4" t="inlineStr"/>
      <c r="B39" s="5" t="inlineStr">
        <is>
          <t>Aug 26</t>
        </is>
      </c>
      <c r="C39" s="5" t="inlineStr">
        <is>
          <t>Jul 26</t>
        </is>
      </c>
    </row>
    <row r="40">
      <c r="A40" t="inlineStr">
        <is>
          <t>Fundraising costs</t>
        </is>
      </c>
      <c r="B40" s="16" t="n">
        <v>11700</v>
      </c>
      <c r="C40" s="16" t="n">
        <v>9300</v>
      </c>
    </row>
    <row r="41">
      <c r="A41" t="inlineStr">
        <is>
          <t>Money raised</t>
        </is>
      </c>
      <c r="B41" s="16" t="n">
        <v>92100</v>
      </c>
      <c r="C41" s="16" t="n">
        <v>86918</v>
      </c>
    </row>
    <row r="42">
      <c r="A42" s="17" t="inlineStr">
        <is>
          <t>Cents per dollar</t>
        </is>
      </c>
      <c r="B42" s="20">
        <f>B40/B41*100</f>
        <v/>
      </c>
      <c r="C42" s="20">
        <f>C40/C41*100</f>
        <v/>
      </c>
    </row>
    <row r="43"/>
    <row r="44"/>
    <row r="4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4" t="inlineStr">
        <is>
          <t>Program</t>
        </is>
      </c>
      <c r="B5" s="5" t="inlineStr">
        <is>
          <t>Spent to date</t>
        </is>
      </c>
      <c r="C5" s="5" t="inlineStr">
        <is>
          <t>Budget to date</t>
        </is>
      </c>
      <c r="D5" s="5" t="inlineStr">
        <is>
          <t>Against budget</t>
        </is>
      </c>
      <c r="E5" s="5" t="inlineStr">
        <is>
          <t>Still to spend</t>
        </is>
      </c>
      <c r="F5" s="5" t="inlineStr">
        <is>
          <t>Months left</t>
        </is>
      </c>
    </row>
    <row r="6">
      <c r="A6" s="21" t="inlineStr">
        <is>
          <t>Housing support</t>
        </is>
      </c>
      <c r="B6" s="16" t="n">
        <v>226500</v>
      </c>
      <c r="C6" s="16" t="n">
        <v>240000</v>
      </c>
      <c r="D6" s="22">
        <f>B6/C6</f>
        <v/>
      </c>
      <c r="E6" s="16" t="n">
        <v>133500</v>
      </c>
      <c r="F6" s="16" t="n">
        <v>4</v>
      </c>
    </row>
    <row r="7">
      <c r="A7" s="21" t="inlineStr">
        <is>
          <t>Volunteer coordinator</t>
        </is>
      </c>
      <c r="B7" s="16" t="n">
        <v>18000</v>
      </c>
      <c r="C7" s="16" t="n">
        <v>18000</v>
      </c>
      <c r="D7" s="22">
        <f>B7/C7</f>
        <v/>
      </c>
      <c r="E7" s="16" t="n">
        <v>18000</v>
      </c>
      <c r="F7" s="16" t="n">
        <v>6</v>
      </c>
    </row>
    <row r="8">
      <c r="A8" s="21" t="inlineStr">
        <is>
          <t>Digital literacy</t>
        </is>
      </c>
      <c r="B8" s="16" t="n">
        <v>54700</v>
      </c>
      <c r="C8" s="16" t="n">
        <v>55000</v>
      </c>
      <c r="D8" s="22">
        <f>B8/C8</f>
        <v/>
      </c>
      <c r="E8" s="16" t="n">
        <v>35300</v>
      </c>
      <c r="F8" s="16" t="n">
        <v>7</v>
      </c>
    </row>
    <row r="9">
      <c r="A9" s="21" t="inlineStr">
        <is>
          <t>Mental health first aid</t>
        </is>
      </c>
      <c r="B9" s="16" t="n">
        <v>46400</v>
      </c>
      <c r="C9" s="16" t="n">
        <v>50000</v>
      </c>
      <c r="D9" s="22">
        <f>B9/C9</f>
        <v/>
      </c>
      <c r="E9" s="16" t="n">
        <v>73600</v>
      </c>
      <c r="F9" s="16" t="n">
        <v>7</v>
      </c>
    </row>
    <row r="10">
      <c r="A10" s="21" t="inlineStr">
        <is>
          <t>Youth outreach</t>
        </is>
      </c>
      <c r="B10" s="16" t="n">
        <v>283500</v>
      </c>
      <c r="C10" s="16" t="n">
        <v>280000</v>
      </c>
      <c r="D10" s="22">
        <f>B10/C10</f>
        <v/>
      </c>
      <c r="E10" s="16" t="n">
        <v>196500</v>
      </c>
      <c r="F10" s="16" t="n">
        <v>10</v>
      </c>
    </row>
    <row r="11">
      <c r="A11" s="21" t="inlineStr">
        <is>
          <t>Community meals</t>
        </is>
      </c>
      <c r="B11" s="16" t="n">
        <v>7700</v>
      </c>
      <c r="C11" s="16" t="n">
        <v>8000</v>
      </c>
      <c r="D11" s="22">
        <f>B11/C11</f>
        <v/>
      </c>
      <c r="E11" s="16" t="n">
        <v>40300</v>
      </c>
      <c r="F11" s="16" t="n">
        <v>10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2026-10-07T23:36:05Z</dcterms:created>
  <dcterms:modified xmlns:dcterms="http://purl.org/dc/terms/" xmlns:xsi="http://www.w3.org/2001/XMLSchema-instance" xsi:type="dcterms:W3CDTF">2026-10-07T23:36:05Z</dcterms:modified>
</cp:coreProperties>
</file>