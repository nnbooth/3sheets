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August">'Report'!$B$8</definedName>
    <definedName name="Median_wait_August">'Report'!$B$9</definedName>
    <definedName name="Enquiries_August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8" headerRowCount="1">
  <autoFilter ref="A5:G28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6:28pm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August</t>
        </is>
      </c>
      <c r="B8" s="6">
        <f>Workings!B10</f>
        <v/>
      </c>
      <c r="C8" s="7" t="inlineStr">
        <is>
          <t>target 80.0% · July 57.4%</t>
        </is>
      </c>
    </row>
    <row r="9">
      <c r="A9" t="inlineStr">
        <is>
          <t>Median wait, August</t>
        </is>
      </c>
      <c r="B9" s="8">
        <f>Workings!B17</f>
        <v/>
      </c>
      <c r="C9" s="7" t="inlineStr">
        <is>
          <t>July 92 min (working minutes)</t>
        </is>
      </c>
    </row>
    <row r="10">
      <c r="A10" t="inlineStr">
        <is>
          <t>Enquiries, August</t>
        </is>
      </c>
      <c r="B10" s="8">
        <f>Workings!B28</f>
        <v/>
      </c>
      <c r="C10" s="7" t="inlineStr">
        <is>
          <t>July 122</t>
        </is>
      </c>
    </row>
    <row r="11"/>
    <row r="12">
      <c r="A12" s="9" t="inlineStr">
        <is>
          <t>Called back within 2 working hours, by channel, August 2026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57.1% of the 112 enquiries called back in August heard back within 2 working hours (target 80.0%), down from 57.4% in July. The median wait was 113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26 more enquiries would have needed a faster callback to reach the 80.0% target. Web form enquiries are the slowest: 51.9%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6:28pm</t>
        </is>
      </c>
    </row>
    <row r="4"/>
    <row r="5">
      <c r="A5" s="12" t="inlineStr">
        <is>
          <t>Callbacks within 2 working hours, August and July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Aug 26</t>
        </is>
      </c>
      <c r="C7" s="5" t="inlineStr">
        <is>
          <t>Jul 26</t>
        </is>
      </c>
    </row>
    <row r="8">
      <c r="A8" t="inlineStr">
        <is>
          <t>Called back</t>
        </is>
      </c>
      <c r="B8" s="13" t="n">
        <v>112</v>
      </c>
      <c r="C8" s="13" t="n">
        <v>122</v>
      </c>
    </row>
    <row r="9">
      <c r="A9" t="inlineStr">
        <is>
          <t>Within 2 working hours</t>
        </is>
      </c>
      <c r="B9" s="13" t="n">
        <v>64</v>
      </c>
      <c r="C9" s="13" t="n">
        <v>70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August and July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Aug 26</t>
        </is>
      </c>
      <c r="C15" s="5" t="inlineStr">
        <is>
          <t>Jul 26</t>
        </is>
      </c>
    </row>
    <row r="16">
      <c r="A16" t="inlineStr">
        <is>
          <t>Median wait (working minutes)</t>
        </is>
      </c>
      <c r="B16" s="13" t="n">
        <v>112.5</v>
      </c>
      <c r="C16" s="13" t="n">
        <v>92</v>
      </c>
    </row>
    <row r="17">
      <c r="A17" s="14" t="inlineStr">
        <is>
          <t>Enquiries called back</t>
        </is>
      </c>
      <c r="B17" s="16" t="n">
        <v>112</v>
      </c>
      <c r="C17" s="16" t="n">
        <v>122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Aug 26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Aug 26</t>
        </is>
      </c>
    </row>
    <row r="24">
      <c r="A24" t="inlineStr">
        <is>
          <t>Enquiries</t>
        </is>
      </c>
      <c r="B24" s="13" t="n">
        <v>112</v>
      </c>
    </row>
    <row r="25">
      <c r="A25" t="inlineStr">
        <is>
          <t>Called back</t>
        </is>
      </c>
      <c r="B25" s="13" t="n">
        <v>112</v>
      </c>
    </row>
    <row r="26">
      <c r="A26" t="inlineStr">
        <is>
          <t>Called back within 2 working hours</t>
        </is>
      </c>
      <c r="B26" s="13" t="n">
        <v>64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112.5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August 2026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Aug 2026</t>
        </is>
      </c>
    </row>
    <row r="35">
      <c r="A35" t="inlineStr">
        <is>
          <t>Called back</t>
        </is>
      </c>
      <c r="B35" s="13" t="n">
        <v>59</v>
      </c>
    </row>
    <row r="36">
      <c r="A36" t="inlineStr">
        <is>
          <t>Within 2 working hours</t>
        </is>
      </c>
      <c r="B36" s="13" t="n">
        <v>33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August 2026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Aug 2026</t>
        </is>
      </c>
    </row>
    <row r="43">
      <c r="A43" t="inlineStr">
        <is>
          <t>Called back</t>
        </is>
      </c>
      <c r="B43" s="13" t="n">
        <v>27</v>
      </c>
    </row>
    <row r="44">
      <c r="A44" t="inlineStr">
        <is>
          <t>Within 2 working hours</t>
        </is>
      </c>
      <c r="B44" s="13" t="n">
        <v>14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August 2026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Aug 2026</t>
        </is>
      </c>
    </row>
    <row r="51">
      <c r="A51" t="inlineStr">
        <is>
          <t>Called back</t>
        </is>
      </c>
      <c r="B51" s="13" t="n">
        <v>26</v>
      </c>
    </row>
    <row r="52">
      <c r="A52" t="inlineStr">
        <is>
          <t>Within 2 working hours</t>
        </is>
      </c>
      <c r="B52" s="13" t="n">
        <v>17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August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6:28pm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119</v>
      </c>
      <c r="D20" s="13" t="n">
        <v>119</v>
      </c>
      <c r="E20" s="13" t="n">
        <v>84</v>
      </c>
      <c r="F20" s="17">
        <f>IF(D20=0,"",E20/D20)</f>
        <v/>
      </c>
      <c r="G20" s="13" t="n">
        <v>69</v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109</v>
      </c>
      <c r="D21" s="13" t="n">
        <v>109</v>
      </c>
      <c r="E21" s="13" t="n">
        <v>73</v>
      </c>
      <c r="F21" s="17">
        <f>IF(D21=0,"",E21/D21)</f>
        <v/>
      </c>
      <c r="G21" s="13" t="n">
        <v>72</v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112</v>
      </c>
      <c r="D22" s="13" t="n">
        <v>112</v>
      </c>
      <c r="E22" s="13" t="n">
        <v>69</v>
      </c>
      <c r="F22" s="17">
        <f>IF(D22=0,"",E22/D22)</f>
        <v/>
      </c>
      <c r="G22" s="13" t="n">
        <v>72</v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98</v>
      </c>
      <c r="D23" s="13" t="n">
        <v>98</v>
      </c>
      <c r="E23" s="13" t="n">
        <v>64</v>
      </c>
      <c r="F23" s="17">
        <f>IF(D23=0,"",E23/D23)</f>
        <v/>
      </c>
      <c r="G23" s="13" t="n">
        <v>68</v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95</v>
      </c>
      <c r="D24" s="13" t="n">
        <v>95</v>
      </c>
      <c r="E24" s="13" t="n">
        <v>56</v>
      </c>
      <c r="F24" s="17">
        <f>IF(D24=0,"",E24/D24)</f>
        <v/>
      </c>
      <c r="G24" s="13" t="n">
        <v>90</v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110</v>
      </c>
      <c r="D25" s="13" t="n">
        <v>110</v>
      </c>
      <c r="E25" s="13" t="n">
        <v>64</v>
      </c>
      <c r="F25" s="17">
        <f>IF(D25=0,"",E25/D25)</f>
        <v/>
      </c>
      <c r="G25" s="13" t="n">
        <v>91</v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114</v>
      </c>
      <c r="D26" s="13" t="n">
        <v>114</v>
      </c>
      <c r="E26" s="13" t="n">
        <v>64</v>
      </c>
      <c r="F26" s="17">
        <f>IF(D26=0,"",E26/D26)</f>
        <v/>
      </c>
      <c r="G26" s="13" t="n">
        <v>99</v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122</v>
      </c>
      <c r="D27" s="13" t="n">
        <v>122</v>
      </c>
      <c r="E27" s="13" t="n">
        <v>70</v>
      </c>
      <c r="F27" s="17">
        <f>IF(D27=0,"",E27/D27)</f>
        <v/>
      </c>
      <c r="G27" s="13" t="n">
        <v>92</v>
      </c>
    </row>
    <row r="28">
      <c r="A28" s="18" t="inlineStr">
        <is>
          <t>Aug 26</t>
        </is>
      </c>
      <c r="B28" s="18" t="inlineStr">
        <is>
          <t>Locked</t>
        </is>
      </c>
      <c r="C28" s="13" t="n">
        <v>112</v>
      </c>
      <c r="D28" s="13" t="n">
        <v>112</v>
      </c>
      <c r="E28" s="13" t="n">
        <v>64</v>
      </c>
      <c r="F28" s="17">
        <f>IF(D28=0,"",E28/D28)</f>
        <v/>
      </c>
      <c r="G28" s="13" t="n">
        <v>113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2026-10-08T08:29:22Z</dcterms:created>
  <dcterms:modified xmlns:dcterms="http://purl.org/dc/terms/" xmlns:xsi="http://www.w3.org/2001/XMLSchema-instance" xsi:type="dcterms:W3CDTF">2026-10-08T08:29:22Z</dcterms:modified>
</cp:coreProperties>
</file>