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August">'Report'!$B$9</definedName>
    <definedName name="Couldn_t_reach_August">'Report'!$B$10</definedName>
    <definedName name="Share_reached_August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73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73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8" headerRowCount="1">
  <autoFilter ref="A5:E28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 ht="32" customHeight="1">
      <c r="A5" s="3" t="inlineStr">
        <is>
          <t>In short: 522 people helped in August; 93 couldn't be reached (84.9%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August</t>
        </is>
      </c>
      <c r="B9" s="7">
        <f>Workings!B8</f>
        <v/>
      </c>
      <c r="C9" s="8" t="inlineStr">
        <is>
          <t>July 497</t>
        </is>
      </c>
    </row>
    <row r="10">
      <c r="A10" t="inlineStr">
        <is>
          <t>Couldn't reach, August</t>
        </is>
      </c>
      <c r="B10" s="7">
        <f>Workings!B17</f>
        <v/>
      </c>
      <c r="C10" s="8" t="inlineStr">
        <is>
          <t>July 94</t>
        </is>
      </c>
    </row>
    <row r="11">
      <c r="A11" t="inlineStr">
        <is>
          <t>Share reached, August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August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August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29</t>
        </is>
      </c>
    </row>
    <row r="32">
      <c r="A32" s="12" t="inlineStr">
        <is>
          <t>Waitlist</t>
        </is>
      </c>
      <c r="B32" s="13" t="inlineStr">
        <is>
          <t>27</t>
        </is>
      </c>
    </row>
    <row r="33">
      <c r="A33" s="12" t="inlineStr">
        <is>
          <t>Couldn't make contact</t>
        </is>
      </c>
      <c r="B33" s="13" t="inlineStr">
        <is>
          <t>14</t>
        </is>
      </c>
    </row>
    <row r="34">
      <c r="A34" s="12" t="inlineStr">
        <is>
          <t>Outside the service area</t>
        </is>
      </c>
      <c r="B34" s="13" t="inlineStr">
        <is>
          <t>14</t>
        </is>
      </c>
    </row>
    <row r="35">
      <c r="A35" s="12" t="inlineStr">
        <is>
          <t>Not eligible</t>
        </is>
      </c>
      <c r="B35" s="13" t="inlineStr">
        <is>
          <t>9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522 people were helped in August, and 93 came to a program but couldn't be helped: 84.9% reached (target 90.0%), against 84.1% in July.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Mental health first aid reached the smallest share: 78.8% (18 couldn't be helped). The main reason: program at capacity (29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15" t="inlineStr">
        <is>
          <t>People helped, August and July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People helped</t>
        </is>
      </c>
      <c r="B8" s="16" t="n">
        <v>522</v>
      </c>
      <c r="C8" s="16" t="n">
        <v>497</v>
      </c>
    </row>
    <row r="9">
      <c r="A9" t="inlineStr">
        <is>
          <t>People we couldn't reach</t>
        </is>
      </c>
      <c r="B9" s="16" t="n">
        <v>93</v>
      </c>
      <c r="C9" s="16" t="n">
        <v>94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August and July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Aug 26</t>
        </is>
      </c>
      <c r="C15" s="6" t="inlineStr">
        <is>
          <t>Jul 26</t>
        </is>
      </c>
    </row>
    <row r="16">
      <c r="A16" t="inlineStr">
        <is>
          <t>People helped</t>
        </is>
      </c>
      <c r="B16" s="16" t="n">
        <v>522</v>
      </c>
      <c r="C16" s="16" t="n">
        <v>497</v>
      </c>
    </row>
    <row r="17">
      <c r="A17" t="inlineStr">
        <is>
          <t>People we couldn't reach</t>
        </is>
      </c>
      <c r="B17" s="16" t="n">
        <v>93</v>
      </c>
      <c r="C17" s="16" t="n">
        <v>94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August and July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Aug 26</t>
        </is>
      </c>
      <c r="C23" s="6" t="inlineStr">
        <is>
          <t>Jul 26</t>
        </is>
      </c>
    </row>
    <row r="24">
      <c r="A24" t="inlineStr">
        <is>
          <t>People helped</t>
        </is>
      </c>
      <c r="B24" s="16" t="n">
        <v>522</v>
      </c>
      <c r="C24" s="16" t="n">
        <v>497</v>
      </c>
    </row>
    <row r="25">
      <c r="A25" t="inlineStr">
        <is>
          <t>People we couldn't reach</t>
        </is>
      </c>
      <c r="B25" s="16" t="n">
        <v>93</v>
      </c>
      <c r="C25" s="16" t="n">
        <v>94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August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Aug 2026</t>
        </is>
      </c>
    </row>
    <row r="32">
      <c r="A32" t="inlineStr">
        <is>
          <t>People helped</t>
        </is>
      </c>
      <c r="B32" s="16" t="n">
        <v>186</v>
      </c>
    </row>
    <row r="33">
      <c r="A33" t="inlineStr">
        <is>
          <t>Couldn't reach</t>
        </is>
      </c>
      <c r="B33" s="16" t="n">
        <v>31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August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Aug 2026</t>
        </is>
      </c>
    </row>
    <row r="40">
      <c r="A40" t="inlineStr">
        <is>
          <t>People helped</t>
        </is>
      </c>
      <c r="B40" s="16" t="n">
        <v>116</v>
      </c>
    </row>
    <row r="41">
      <c r="A41" t="inlineStr">
        <is>
          <t>Couldn't reach</t>
        </is>
      </c>
      <c r="B41" s="16" t="n">
        <v>23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August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Aug 2026</t>
        </is>
      </c>
    </row>
    <row r="48">
      <c r="A48" t="inlineStr">
        <is>
          <t>People helped</t>
        </is>
      </c>
      <c r="B48" s="16" t="n">
        <v>98</v>
      </c>
    </row>
    <row r="49">
      <c r="A49" t="inlineStr">
        <is>
          <t>Couldn't reach</t>
        </is>
      </c>
      <c r="B49" s="16" t="n">
        <v>15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August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Aug 2026</t>
        </is>
      </c>
    </row>
    <row r="56">
      <c r="A56" t="inlineStr">
        <is>
          <t>People helped</t>
        </is>
      </c>
      <c r="B56" s="16" t="n">
        <v>67</v>
      </c>
    </row>
    <row r="57">
      <c r="A57" t="inlineStr">
        <is>
          <t>Couldn't reach</t>
        </is>
      </c>
      <c r="B57" s="16" t="n">
        <v>18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August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Aug 2026</t>
        </is>
      </c>
    </row>
    <row r="64">
      <c r="A64" t="inlineStr">
        <is>
          <t>People helped</t>
        </is>
      </c>
      <c r="B64" s="16" t="n">
        <v>55</v>
      </c>
    </row>
    <row r="65">
      <c r="A65" t="inlineStr">
        <is>
          <t>Couldn't reach</t>
        </is>
      </c>
      <c r="B65" s="16" t="n">
        <v>6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August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6" t="n">
        <v>497</v>
      </c>
      <c r="D27" s="16" t="n">
        <v>94</v>
      </c>
      <c r="E27" s="20">
        <f>IF(C27+D27=0,"",C27/(C27+D27))</f>
        <v/>
      </c>
    </row>
    <row r="28">
      <c r="A28" s="19" t="inlineStr">
        <is>
          <t>Aug 26</t>
        </is>
      </c>
      <c r="B28" s="19" t="inlineStr">
        <is>
          <t>Locked</t>
        </is>
      </c>
      <c r="C28" s="16" t="n">
        <v>522</v>
      </c>
      <c r="D28" s="16" t="n">
        <v>93</v>
      </c>
      <c r="E28" s="20">
        <f>IF(C28+D28=0,"",C28/(C28+D28))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