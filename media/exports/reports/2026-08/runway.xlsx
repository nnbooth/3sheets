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Runway_now">'Report'!$B$8</definedName>
    <definedName name="Target">'Report'!$B$9</definedName>
    <definedName name="Gap">'Report'!$B$10</definedName>
    <definedName name="Runway_in_July">'Report'!$B$11</definedName>
    <definedName name="_xlnm.Print_Area" localSheetId="0">'Report'!$A$1:$D$19</definedName>
    <definedName name="_xlnm.Print_Area" localSheetId="1">'Workings'!$A$1:$B$48</definedName>
    <definedName name="_xlnm.Print_Titles" localSheetId="2">'Data'!$5:$5</definedName>
    <definedName name="_xlnm.Print_Area" localSheetId="2">'Data'!$A$1:$C$36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&quot; months&quot;;[Red](0.0&quot; months&quot;)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Cash at bank by date</a:t>
            </a:r>
          </a:p>
        </rich>
      </tx>
      <overlay val="0"/>
    </title>
    <plotArea>
      <lineChart>
        <grouping val="standard"/>
        <ser>
          <idx val="0"/>
          <order val="0"/>
          <tx>
            <v>Cash at bank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'Data'!$A$6:$A$36</f>
            </numRef>
          </cat>
          <val>
            <numRef>
              <f>'Data'!$C$6:$C$36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unway_Data" displayName="runway_Data" ref="A5:C36" headerRowCount="1">
  <autoFilter ref="A5:C36"/>
  <tableColumns count="3">
    <tableColumn id="1" name="Date"/>
    <tableColumn id="2" name="Status"/>
    <tableColumn id="3" name="Cash at ba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months of runway do we have?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8:56am</t>
        </is>
      </c>
    </row>
    <row r="4"/>
    <row r="5" ht="32" customHeight="1">
      <c r="A5" s="3" t="inlineStr">
        <is>
          <t>How long the organisation could keep going on its own money: cash at bank, less unspent grant money (which belongs to the funders' programs) and GST and PAYG owed to the ATO, divided by a month's spending.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Runway now</t>
        </is>
      </c>
      <c r="B8" s="6">
        <f>Workings!B13</f>
        <v/>
      </c>
      <c r="C8" s="7" t="inlineStr">
        <is>
          <t>target 3.0 months</t>
        </is>
      </c>
    </row>
    <row r="9">
      <c r="A9" t="inlineStr">
        <is>
          <t>Target</t>
        </is>
      </c>
      <c r="B9" s="8">
        <f>Workings!B25</f>
        <v/>
      </c>
      <c r="C9" s="7" t="inlineStr">
        <is>
          <t>reserves target</t>
        </is>
      </c>
    </row>
    <row r="10">
      <c r="A10" t="inlineStr">
        <is>
          <t>Gap</t>
        </is>
      </c>
      <c r="B10" s="8">
        <f>Workings!B36</f>
        <v/>
      </c>
      <c r="C10" s="7" t="inlineStr">
        <is>
          <t>to reach the target</t>
        </is>
      </c>
    </row>
    <row r="11">
      <c r="A11" t="inlineStr">
        <is>
          <t>Runway in July</t>
        </is>
      </c>
      <c r="B11" s="6">
        <f>Workings!B47</f>
        <v/>
      </c>
      <c r="C11" s="7" t="inlineStr">
        <is>
          <t>at July's rate of spending</t>
        </is>
      </c>
    </row>
    <row r="12"/>
    <row r="13">
      <c r="A13" s="9" t="inlineStr">
        <is>
          <t>Cash at bank, every day (1 Aug to 31 Aug): every month is on the Data sheet.</t>
        </is>
      </c>
    </row>
    <row r="14"/>
    <row r="15">
      <c r="A15" s="10" t="inlineStr">
        <is>
          <t>What it shows</t>
        </is>
      </c>
    </row>
    <row r="16" ht="30" customHeight="1">
      <c r="A16" s="3" t="inlineStr">
        <is>
          <t>Unrestricted cash ($273,798, after setting aside unspent grant money) would cover 1.9 months of spending at August's rate of spending, short of the 3.0 months target by $149,802.</t>
        </is>
      </c>
    </row>
    <row r="17"/>
    <row r="18">
      <c r="A18" s="10" t="inlineStr">
        <is>
          <t>What you'd do about it</t>
        </is>
      </c>
    </row>
    <row r="19" ht="30" customHeight="1">
      <c r="A19" s="3" t="inlineStr">
        <is>
          <t>A reserves plan is the usual next step: how much of each month's surplus goes to reserves, and by when the gap is closed.</t>
        </is>
      </c>
    </row>
    <row r="20"/>
    <row r="21"/>
  </sheetData>
  <mergeCells count="3">
    <mergeCell ref="A5:D5"/>
    <mergeCell ref="A19:D19"/>
    <mergeCell ref="A16:D1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9 Oct 2026, 8:56am&amp;R&amp;"Roboto,Regular"&amp;8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8:56am</t>
        </is>
      </c>
    </row>
    <row r="4"/>
    <row r="5">
      <c r="A5" s="11" t="inlineStr">
        <is>
          <t>Unrestricted cash runway, August 2026</t>
        </is>
      </c>
    </row>
    <row r="6">
      <c r="A6" s="9" t="inlineStr">
        <is>
          <t>(Cash at bank − unspent grant money − GST and PAYG owed to the ATO) ÷ a month's cash spending</t>
        </is>
      </c>
    </row>
    <row r="7">
      <c r="A7" s="4" t="inlineStr"/>
      <c r="B7" s="5" t="inlineStr">
        <is>
          <t>Aug 2026</t>
        </is>
      </c>
    </row>
    <row r="8">
      <c r="A8" t="inlineStr">
        <is>
          <t>Cash at bank</t>
        </is>
      </c>
      <c r="B8" s="12" t="n">
        <v>547394</v>
      </c>
    </row>
    <row r="9">
      <c r="A9" t="inlineStr">
        <is>
          <t>Less unspent grant money (belongs to funders' programs)</t>
        </is>
      </c>
      <c r="B9" s="12" t="n">
        <v>-221900</v>
      </c>
    </row>
    <row r="10">
      <c r="A10" t="inlineStr">
        <is>
          <t>Less GST and PAYG withheld owed to the ATO (paid with the BAS)</t>
        </is>
      </c>
      <c r="B10" s="12" t="n">
        <v>-51696</v>
      </c>
    </row>
    <row r="11">
      <c r="A11" t="inlineStr">
        <is>
          <t>Unrestricted cash</t>
        </is>
      </c>
      <c r="B11" s="12">
        <f>B8+B9+B10</f>
        <v/>
      </c>
    </row>
    <row r="12">
      <c r="A12" t="inlineStr">
        <is>
          <t>Cash spending in August (expenses less depreciation)</t>
        </is>
      </c>
      <c r="B12" s="12" t="n">
        <v>141200</v>
      </c>
    </row>
    <row r="13">
      <c r="A13" s="13" t="inlineStr">
        <is>
          <t>Runway</t>
        </is>
      </c>
      <c r="B13" s="14">
        <f>B11/B12</f>
        <v/>
      </c>
    </row>
    <row r="14">
      <c r="A14" s="2" t="inlineStr">
        <is>
          <t>Reserves target: 3.0 months.</t>
        </is>
      </c>
    </row>
    <row r="15"/>
    <row r="16"/>
    <row r="17">
      <c r="A17" s="11" t="inlineStr">
        <is>
          <t>Reserves: how far from 3.0 months?</t>
        </is>
      </c>
    </row>
    <row r="18">
      <c r="A18" s="9" t="inlineStr">
        <is>
          <t>Target months × monthly cash spending − unrestricted cash</t>
        </is>
      </c>
    </row>
    <row r="19">
      <c r="A19" s="4" t="inlineStr"/>
      <c r="B19" s="5" t="inlineStr">
        <is>
          <t>Aug 2026</t>
        </is>
      </c>
    </row>
    <row r="20">
      <c r="A20" t="inlineStr">
        <is>
          <t>Unrestricted cash</t>
        </is>
      </c>
      <c r="B20" s="12" t="n">
        <v>273798</v>
      </c>
    </row>
    <row r="21">
      <c r="A21" t="inlineStr">
        <is>
          <t>A month's cash spending</t>
        </is>
      </c>
      <c r="B21" s="12" t="n">
        <v>141200</v>
      </c>
    </row>
    <row r="22">
      <c r="A22" t="inlineStr">
        <is>
          <t>Runway</t>
        </is>
      </c>
      <c r="B22" s="15">
        <f>B20/B21</f>
        <v/>
      </c>
    </row>
    <row r="23">
      <c r="A23" t="inlineStr">
        <is>
          <t>Reserves target</t>
        </is>
      </c>
      <c r="B23" s="15" t="n">
        <v>3</v>
      </c>
    </row>
    <row r="24">
      <c r="A24" t="inlineStr">
        <is>
          <t>Cash needed for the target</t>
        </is>
      </c>
      <c r="B24" s="12">
        <f>B23*B21</f>
        <v/>
      </c>
    </row>
    <row r="25">
      <c r="A25" s="13" t="inlineStr">
        <is>
          <t>Gap to the target</t>
        </is>
      </c>
      <c r="B25" s="16">
        <f>B24-B20</f>
        <v/>
      </c>
    </row>
    <row r="26"/>
    <row r="27"/>
    <row r="28">
      <c r="A28" s="11" t="inlineStr">
        <is>
          <t>Reserves: how far from 3.0 months?</t>
        </is>
      </c>
    </row>
    <row r="29">
      <c r="A29" s="9" t="inlineStr">
        <is>
          <t>Target months × monthly cash spending − unrestricted cash</t>
        </is>
      </c>
    </row>
    <row r="30">
      <c r="A30" s="4" t="inlineStr"/>
      <c r="B30" s="5" t="inlineStr">
        <is>
          <t>Aug 2026</t>
        </is>
      </c>
    </row>
    <row r="31">
      <c r="A31" t="inlineStr">
        <is>
          <t>Unrestricted cash</t>
        </is>
      </c>
      <c r="B31" s="12" t="n">
        <v>273798</v>
      </c>
    </row>
    <row r="32">
      <c r="A32" t="inlineStr">
        <is>
          <t>A month's cash spending</t>
        </is>
      </c>
      <c r="B32" s="12" t="n">
        <v>141200</v>
      </c>
    </row>
    <row r="33">
      <c r="A33" t="inlineStr">
        <is>
          <t>Runway</t>
        </is>
      </c>
      <c r="B33" s="15">
        <f>B31/B32</f>
        <v/>
      </c>
    </row>
    <row r="34">
      <c r="A34" t="inlineStr">
        <is>
          <t>Reserves target</t>
        </is>
      </c>
      <c r="B34" s="15" t="n">
        <v>3</v>
      </c>
    </row>
    <row r="35">
      <c r="A35" t="inlineStr">
        <is>
          <t>Cash needed for the target</t>
        </is>
      </c>
      <c r="B35" s="12">
        <f>B34*B32</f>
        <v/>
      </c>
    </row>
    <row r="36">
      <c r="A36" s="13" t="inlineStr">
        <is>
          <t>Gap to the target</t>
        </is>
      </c>
      <c r="B36" s="16">
        <f>B35-B31</f>
        <v/>
      </c>
    </row>
    <row r="37"/>
    <row r="38"/>
    <row r="39">
      <c r="A39" s="11" t="inlineStr">
        <is>
          <t>Unrestricted cash runway, July 2026</t>
        </is>
      </c>
    </row>
    <row r="40">
      <c r="A40" s="9" t="inlineStr">
        <is>
          <t>(Cash at bank − unspent grant money − GST and PAYG owed to the ATO) ÷ a month's cash spending</t>
        </is>
      </c>
    </row>
    <row r="41">
      <c r="A41" s="4" t="inlineStr"/>
      <c r="B41" s="5" t="inlineStr">
        <is>
          <t>Jul 2026</t>
        </is>
      </c>
    </row>
    <row r="42">
      <c r="A42" t="inlineStr">
        <is>
          <t>Cash at bank</t>
        </is>
      </c>
      <c r="B42" s="12" t="n">
        <v>610000</v>
      </c>
    </row>
    <row r="43">
      <c r="A43" t="inlineStr">
        <is>
          <t>Less unspent grant money (belongs to funders' programs)</t>
        </is>
      </c>
      <c r="B43" s="12" t="n">
        <v>-290400</v>
      </c>
    </row>
    <row r="44">
      <c r="A44" t="inlineStr">
        <is>
          <t>Less GST and PAYG withheld owed to the ATO (paid with the BAS)</t>
        </is>
      </c>
      <c r="B44" s="12" t="n">
        <v>-40307</v>
      </c>
    </row>
    <row r="45">
      <c r="A45" t="inlineStr">
        <is>
          <t>Unrestricted cash</t>
        </is>
      </c>
      <c r="B45" s="12">
        <f>B42+B43+B44</f>
        <v/>
      </c>
    </row>
    <row r="46">
      <c r="A46" t="inlineStr">
        <is>
          <t>Cash spending in July (expenses less depreciation)</t>
        </is>
      </c>
      <c r="B46" s="12" t="n">
        <v>134918</v>
      </c>
    </row>
    <row r="47">
      <c r="A47" s="13" t="inlineStr">
        <is>
          <t>Runway</t>
        </is>
      </c>
      <c r="B47" s="14">
        <f>B45/B46</f>
        <v/>
      </c>
    </row>
    <row r="48">
      <c r="A48" s="2" t="inlineStr">
        <is>
          <t>Reserves target: 3.0 months.</t>
        </is>
      </c>
    </row>
    <row r="49"/>
    <row r="50"/>
    <row r="51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9 Oct 2026, 8:56am&amp;R&amp;"Roboto,Regular"&amp;8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8:56am</t>
        </is>
      </c>
    </row>
    <row r="4"/>
    <row r="5">
      <c r="A5" s="4" t="inlineStr">
        <is>
          <t>Date</t>
        </is>
      </c>
      <c r="B5" s="5" t="inlineStr">
        <is>
          <t>Status</t>
        </is>
      </c>
      <c r="C5" s="5" t="inlineStr">
        <is>
          <t>Cash at bank</t>
        </is>
      </c>
    </row>
    <row r="6">
      <c r="A6" s="17" t="inlineStr">
        <is>
          <t>2026-08-01</t>
        </is>
      </c>
      <c r="B6" s="17" t="inlineStr">
        <is>
          <t>Locked</t>
        </is>
      </c>
      <c r="C6" s="12" t="n">
        <v>610000</v>
      </c>
    </row>
    <row r="7">
      <c r="A7" s="17" t="inlineStr">
        <is>
          <t>2026-08-02</t>
        </is>
      </c>
      <c r="B7" s="17" t="inlineStr">
        <is>
          <t>Locked</t>
        </is>
      </c>
      <c r="C7" s="12" t="n">
        <v>610000</v>
      </c>
    </row>
    <row r="8">
      <c r="A8" s="17" t="inlineStr">
        <is>
          <t>2026-08-03</t>
        </is>
      </c>
      <c r="B8" s="17" t="inlineStr">
        <is>
          <t>Locked</t>
        </is>
      </c>
      <c r="C8" s="12" t="n">
        <v>612356</v>
      </c>
    </row>
    <row r="9">
      <c r="A9" s="17" t="inlineStr">
        <is>
          <t>2026-08-04</t>
        </is>
      </c>
      <c r="B9" s="17" t="inlineStr">
        <is>
          <t>Locked</t>
        </is>
      </c>
      <c r="C9" s="12" t="n">
        <v>614712</v>
      </c>
    </row>
    <row r="10">
      <c r="A10" s="17" t="inlineStr">
        <is>
          <t>2026-08-05</t>
        </is>
      </c>
      <c r="B10" s="17" t="inlineStr">
        <is>
          <t>Locked</t>
        </is>
      </c>
      <c r="C10" s="12" t="n">
        <v>617068</v>
      </c>
    </row>
    <row r="11">
      <c r="A11" s="17" t="inlineStr">
        <is>
          <t>2026-08-06</t>
        </is>
      </c>
      <c r="B11" s="17" t="inlineStr">
        <is>
          <t>Locked</t>
        </is>
      </c>
      <c r="C11" s="12" t="n">
        <v>582091</v>
      </c>
    </row>
    <row r="12">
      <c r="A12" s="17" t="inlineStr">
        <is>
          <t>2026-08-07</t>
        </is>
      </c>
      <c r="B12" s="17" t="inlineStr">
        <is>
          <t>Locked</t>
        </is>
      </c>
      <c r="C12" s="12" t="n">
        <v>584447</v>
      </c>
    </row>
    <row r="13">
      <c r="A13" s="17" t="inlineStr">
        <is>
          <t>2026-08-08</t>
        </is>
      </c>
      <c r="B13" s="17" t="inlineStr">
        <is>
          <t>Locked</t>
        </is>
      </c>
      <c r="C13" s="12" t="n">
        <v>584447</v>
      </c>
    </row>
    <row r="14">
      <c r="A14" s="17" t="inlineStr">
        <is>
          <t>2026-08-09</t>
        </is>
      </c>
      <c r="B14" s="17" t="inlineStr">
        <is>
          <t>Locked</t>
        </is>
      </c>
      <c r="C14" s="12" t="n">
        <v>584447</v>
      </c>
    </row>
    <row r="15">
      <c r="A15" s="17" t="inlineStr">
        <is>
          <t>2026-08-10</t>
        </is>
      </c>
      <c r="B15" s="17" t="inlineStr">
        <is>
          <t>Locked</t>
        </is>
      </c>
      <c r="C15" s="12" t="n">
        <v>586803</v>
      </c>
    </row>
    <row r="16">
      <c r="A16" s="17" t="inlineStr">
        <is>
          <t>2026-08-11</t>
        </is>
      </c>
      <c r="B16" s="17" t="inlineStr">
        <is>
          <t>Locked</t>
        </is>
      </c>
      <c r="C16" s="12" t="n">
        <v>589159</v>
      </c>
    </row>
    <row r="17">
      <c r="A17" s="17" t="inlineStr">
        <is>
          <t>2026-08-12</t>
        </is>
      </c>
      <c r="B17" s="17" t="inlineStr">
        <is>
          <t>Locked</t>
        </is>
      </c>
      <c r="C17" s="12" t="n">
        <v>589159</v>
      </c>
    </row>
    <row r="18">
      <c r="A18" s="17" t="inlineStr">
        <is>
          <t>2026-08-13</t>
        </is>
      </c>
      <c r="B18" s="17" t="inlineStr">
        <is>
          <t>Locked</t>
        </is>
      </c>
      <c r="C18" s="12" t="n">
        <v>591515</v>
      </c>
    </row>
    <row r="19">
      <c r="A19" s="17" t="inlineStr">
        <is>
          <t>2026-08-14</t>
        </is>
      </c>
      <c r="B19" s="17" t="inlineStr">
        <is>
          <t>Locked</t>
        </is>
      </c>
      <c r="C19" s="12" t="n">
        <v>593871</v>
      </c>
    </row>
    <row r="20">
      <c r="A20" s="17" t="inlineStr">
        <is>
          <t>2026-08-15</t>
        </is>
      </c>
      <c r="B20" s="17" t="inlineStr">
        <is>
          <t>Locked</t>
        </is>
      </c>
      <c r="C20" s="12" t="n">
        <v>593871</v>
      </c>
    </row>
    <row r="21">
      <c r="A21" s="17" t="inlineStr">
        <is>
          <t>2026-08-16</t>
        </is>
      </c>
      <c r="B21" s="17" t="inlineStr">
        <is>
          <t>Locked</t>
        </is>
      </c>
      <c r="C21" s="12" t="n">
        <v>593871</v>
      </c>
    </row>
    <row r="22">
      <c r="A22" s="17" t="inlineStr">
        <is>
          <t>2026-08-17</t>
        </is>
      </c>
      <c r="B22" s="17" t="inlineStr">
        <is>
          <t>Locked</t>
        </is>
      </c>
      <c r="C22" s="12" t="n">
        <v>577977</v>
      </c>
    </row>
    <row r="23">
      <c r="A23" s="17" t="inlineStr">
        <is>
          <t>2026-08-18</t>
        </is>
      </c>
      <c r="B23" s="17" t="inlineStr">
        <is>
          <t>Locked</t>
        </is>
      </c>
      <c r="C23" s="12" t="n">
        <v>580332</v>
      </c>
    </row>
    <row r="24">
      <c r="A24" s="17" t="inlineStr">
        <is>
          <t>2026-08-19</t>
        </is>
      </c>
      <c r="B24" s="17" t="inlineStr">
        <is>
          <t>Locked</t>
        </is>
      </c>
      <c r="C24" s="12" t="n">
        <v>582687</v>
      </c>
    </row>
    <row r="25">
      <c r="A25" s="17" t="inlineStr">
        <is>
          <t>2026-08-20</t>
        </is>
      </c>
      <c r="B25" s="17" t="inlineStr">
        <is>
          <t>Locked</t>
        </is>
      </c>
      <c r="C25" s="12" t="n">
        <v>547709</v>
      </c>
    </row>
    <row r="26">
      <c r="A26" s="17" t="inlineStr">
        <is>
          <t>2026-08-21</t>
        </is>
      </c>
      <c r="B26" s="17" t="inlineStr">
        <is>
          <t>Locked</t>
        </is>
      </c>
      <c r="C26" s="12" t="n">
        <v>550064</v>
      </c>
    </row>
    <row r="27">
      <c r="A27" s="17" t="inlineStr">
        <is>
          <t>2026-08-22</t>
        </is>
      </c>
      <c r="B27" s="17" t="inlineStr">
        <is>
          <t>Locked</t>
        </is>
      </c>
      <c r="C27" s="12" t="n">
        <v>550064</v>
      </c>
    </row>
    <row r="28">
      <c r="A28" s="17" t="inlineStr">
        <is>
          <t>2026-08-23</t>
        </is>
      </c>
      <c r="B28" s="17" t="inlineStr">
        <is>
          <t>Locked</t>
        </is>
      </c>
      <c r="C28" s="12" t="n">
        <v>550064</v>
      </c>
    </row>
    <row r="29">
      <c r="A29" s="17" t="inlineStr">
        <is>
          <t>2026-08-24</t>
        </is>
      </c>
      <c r="B29" s="17" t="inlineStr">
        <is>
          <t>Locked</t>
        </is>
      </c>
      <c r="C29" s="12" t="n">
        <v>552419</v>
      </c>
    </row>
    <row r="30">
      <c r="A30" s="17" t="inlineStr">
        <is>
          <t>2026-08-25</t>
        </is>
      </c>
      <c r="B30" s="17" t="inlineStr">
        <is>
          <t>Locked</t>
        </is>
      </c>
      <c r="C30" s="12" t="n">
        <v>554774</v>
      </c>
    </row>
    <row r="31">
      <c r="A31" s="17" t="inlineStr">
        <is>
          <t>2026-08-26</t>
        </is>
      </c>
      <c r="B31" s="17" t="inlineStr">
        <is>
          <t>Locked</t>
        </is>
      </c>
      <c r="C31" s="12" t="n">
        <v>557129</v>
      </c>
    </row>
    <row r="32">
      <c r="A32" s="17" t="inlineStr">
        <is>
          <t>2026-08-27</t>
        </is>
      </c>
      <c r="B32" s="17" t="inlineStr">
        <is>
          <t>Locked</t>
        </is>
      </c>
      <c r="C32" s="12" t="n">
        <v>559484</v>
      </c>
    </row>
    <row r="33">
      <c r="A33" s="17" t="inlineStr">
        <is>
          <t>2026-08-28</t>
        </is>
      </c>
      <c r="B33" s="17" t="inlineStr">
        <is>
          <t>Locked</t>
        </is>
      </c>
      <c r="C33" s="12" t="n">
        <v>561839</v>
      </c>
    </row>
    <row r="34">
      <c r="A34" s="17" t="inlineStr">
        <is>
          <t>2026-08-29</t>
        </is>
      </c>
      <c r="B34" s="17" t="inlineStr">
        <is>
          <t>Locked</t>
        </is>
      </c>
      <c r="C34" s="12" t="n">
        <v>561839</v>
      </c>
    </row>
    <row r="35">
      <c r="A35" s="17" t="inlineStr">
        <is>
          <t>2026-08-30</t>
        </is>
      </c>
      <c r="B35" s="17" t="inlineStr">
        <is>
          <t>Locked</t>
        </is>
      </c>
      <c r="C35" s="12" t="n">
        <v>561839</v>
      </c>
    </row>
    <row r="36">
      <c r="A36" s="17" t="inlineStr">
        <is>
          <t>2026-08-31</t>
        </is>
      </c>
      <c r="B36" s="17" t="inlineStr">
        <is>
          <t>Locked</t>
        </is>
      </c>
      <c r="C36" s="12" t="n">
        <v>547394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9 Oct 2026, 8:56am&amp;R&amp;"Roboto,Regular"&amp;8 Page &amp;P of &amp;N</oddFooter>
    <evenHeader/>
    <evenFooter/>
    <firstHeader/>
    <firstFooter/>
  </headerFooter>
  <rowBreaks count="1" manualBreakCount="1">
    <brk id="32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2026-10-08T22:57:46Z</dcterms:created>
  <dcterms:modified xmlns:dcterms="http://purl.org/dc/terms/" xmlns:xsi="http://www.w3.org/2001/XMLSchema-instance" xsi:type="dcterms:W3CDTF">2026-10-08T22:57:46Z</dcterms:modified>
</cp:coreProperties>
</file>