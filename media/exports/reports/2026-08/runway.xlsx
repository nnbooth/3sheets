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Workings!B12</f>
        <v/>
      </c>
      <c r="C8" s="7" t="inlineStr">
        <is>
          <t>August 2026</t>
        </is>
      </c>
    </row>
    <row r="9">
      <c r="A9" t="inlineStr">
        <is>
          <t>Target</t>
        </is>
      </c>
      <c r="B9" s="8">
        <f>Workings!B24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Workings!B35</f>
        <v/>
      </c>
      <c r="C10" s="7" t="inlineStr">
        <is>
          <t>to reach the target</t>
        </is>
      </c>
    </row>
    <row r="11">
      <c r="A11" t="inlineStr">
        <is>
          <t>Runway in July</t>
        </is>
      </c>
      <c r="B11" s="6">
        <f>Workings!B45</f>
        <v/>
      </c>
      <c r="C11" s="7" t="inlineStr">
        <is>
          <t>at July's rate of spending</t>
        </is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Unrestricted cash ($303,775, after setting aside unspent grant money) would cover 2.2 months of spending at August's rate of spending, short of the 3.0 months target by $119,825.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A reserves plan is the usual next step: how much of each month's surplus goes to reserves, and by when the gap is closed.</t>
        </is>
      </c>
    </row>
    <row r="18"/>
    <row r="19">
      <c r="A19" s="10" t="inlineStr">
        <is>
          <t>Cash at bank, every day (1 Aug to 31 Aug): every month is on the Data sheet.</t>
        </is>
      </c>
    </row>
    <row r="20"/>
    <row r="21"/>
  </sheetData>
  <mergeCells count="3">
    <mergeCell ref="A5:D5"/>
    <mergeCell ref="A17:D17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runway.xlsx&amp;C&amp;8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11" t="inlineStr">
        <is>
          <t>Unrestricted cash runway, August 2026</t>
        </is>
      </c>
    </row>
    <row r="6">
      <c r="A6" s="10" t="inlineStr">
        <is>
          <t>(Cash at bank − unspent grant money) ÷ a month's cash spending</t>
        </is>
      </c>
    </row>
    <row r="7">
      <c r="A7" s="4" t="inlineStr"/>
      <c r="B7" s="5" t="inlineStr">
        <is>
          <t>Aug 2026</t>
        </is>
      </c>
    </row>
    <row r="8">
      <c r="A8" t="inlineStr">
        <is>
          <t>Cash at bank</t>
        </is>
      </c>
      <c r="B8" s="12" t="n">
        <v>525675</v>
      </c>
    </row>
    <row r="9">
      <c r="A9" t="inlineStr">
        <is>
          <t>Less unspent grant money (belongs to funders' programs)</t>
        </is>
      </c>
      <c r="B9" s="12" t="n">
        <v>-221900</v>
      </c>
    </row>
    <row r="10">
      <c r="A10" t="inlineStr">
        <is>
          <t>Unrestricted cash</t>
        </is>
      </c>
      <c r="B10" s="12">
        <f>B8+B9</f>
        <v/>
      </c>
    </row>
    <row r="11">
      <c r="A11" t="inlineStr">
        <is>
          <t>Cash spending in August (expenses less depreciation)</t>
        </is>
      </c>
      <c r="B11" s="12" t="n">
        <v>141200</v>
      </c>
    </row>
    <row r="12">
      <c r="A12" s="13" t="inlineStr">
        <is>
          <t>Runway</t>
        </is>
      </c>
      <c r="B12" s="14">
        <f>B10/B11</f>
        <v/>
      </c>
    </row>
    <row r="13">
      <c r="A13" s="2" t="inlineStr">
        <is>
          <t>Reserves target: 3.0 months.</t>
        </is>
      </c>
    </row>
    <row r="14"/>
    <row r="15"/>
    <row r="16">
      <c r="A16" s="11" t="inlineStr">
        <is>
          <t>Reserves: how far from 3.0 months?</t>
        </is>
      </c>
    </row>
    <row r="17">
      <c r="A17" s="10" t="inlineStr">
        <is>
          <t>Target months × monthly cash spending − unrestricted cash</t>
        </is>
      </c>
    </row>
    <row r="18">
      <c r="A18" s="4" t="inlineStr"/>
      <c r="B18" s="5" t="inlineStr">
        <is>
          <t>Aug 2026</t>
        </is>
      </c>
    </row>
    <row r="19">
      <c r="A19" t="inlineStr">
        <is>
          <t>Unrestricted cash</t>
        </is>
      </c>
      <c r="B19" s="12" t="n">
        <v>303775</v>
      </c>
    </row>
    <row r="20">
      <c r="A20" t="inlineStr">
        <is>
          <t>A month's cash spending</t>
        </is>
      </c>
      <c r="B20" s="12" t="n">
        <v>141200</v>
      </c>
    </row>
    <row r="21">
      <c r="A21" t="inlineStr">
        <is>
          <t>Runway</t>
        </is>
      </c>
      <c r="B21" s="15">
        <f>B19/B20</f>
        <v/>
      </c>
    </row>
    <row r="22">
      <c r="A22" t="inlineStr">
        <is>
          <t>Reserves target</t>
        </is>
      </c>
      <c r="B22" s="15" t="n">
        <v>3</v>
      </c>
    </row>
    <row r="23">
      <c r="A23" t="inlineStr">
        <is>
          <t>Cash needed for the target</t>
        </is>
      </c>
      <c r="B23" s="12">
        <f>B22*B20</f>
        <v/>
      </c>
    </row>
    <row r="24">
      <c r="A24" s="13" t="inlineStr">
        <is>
          <t>Gap to the target</t>
        </is>
      </c>
      <c r="B24" s="16">
        <f>B23-B19</f>
        <v/>
      </c>
    </row>
    <row r="25"/>
    <row r="26"/>
    <row r="27">
      <c r="A27" s="11" t="inlineStr">
        <is>
          <t>Reserves: how far from 3.0 months?</t>
        </is>
      </c>
    </row>
    <row r="28">
      <c r="A28" s="10" t="inlineStr">
        <is>
          <t>Target months × monthly cash spending − unrestricted cash</t>
        </is>
      </c>
    </row>
    <row r="29">
      <c r="A29" s="4" t="inlineStr"/>
      <c r="B29" s="5" t="inlineStr">
        <is>
          <t>Aug 2026</t>
        </is>
      </c>
    </row>
    <row r="30">
      <c r="A30" t="inlineStr">
        <is>
          <t>Unrestricted cash</t>
        </is>
      </c>
      <c r="B30" s="12" t="n">
        <v>303775</v>
      </c>
    </row>
    <row r="31">
      <c r="A31" t="inlineStr">
        <is>
          <t>A month's cash spending</t>
        </is>
      </c>
      <c r="B31" s="12" t="n">
        <v>141200</v>
      </c>
    </row>
    <row r="32">
      <c r="A32" t="inlineStr">
        <is>
          <t>Runway</t>
        </is>
      </c>
      <c r="B32" s="15">
        <f>B30/B31</f>
        <v/>
      </c>
    </row>
    <row r="33">
      <c r="A33" t="inlineStr">
        <is>
          <t>Reserves target</t>
        </is>
      </c>
      <c r="B33" s="15" t="n">
        <v>3</v>
      </c>
    </row>
    <row r="34">
      <c r="A34" t="inlineStr">
        <is>
          <t>Cash needed for the target</t>
        </is>
      </c>
      <c r="B34" s="12">
        <f>B33*B31</f>
        <v/>
      </c>
    </row>
    <row r="35">
      <c r="A35" s="13" t="inlineStr">
        <is>
          <t>Gap to the target</t>
        </is>
      </c>
      <c r="B35" s="16">
        <f>B34-B30</f>
        <v/>
      </c>
    </row>
    <row r="36"/>
    <row r="37"/>
    <row r="38">
      <c r="A38" s="11" t="inlineStr">
        <is>
          <t>Unrestricted cash runway, July 2026</t>
        </is>
      </c>
    </row>
    <row r="39">
      <c r="A39" s="10" t="inlineStr">
        <is>
          <t>(Cash at bank − unspent grant money) ÷ a month's cash spending</t>
        </is>
      </c>
    </row>
    <row r="40">
      <c r="A40" s="4" t="inlineStr"/>
      <c r="B40" s="5" t="inlineStr">
        <is>
          <t>Jul 2026</t>
        </is>
      </c>
    </row>
    <row r="41">
      <c r="A41" t="inlineStr">
        <is>
          <t>Cash at bank</t>
        </is>
      </c>
      <c r="B41" s="12" t="n">
        <v>610000</v>
      </c>
    </row>
    <row r="42">
      <c r="A42" t="inlineStr">
        <is>
          <t>Less unspent grant money (belongs to funders' programs)</t>
        </is>
      </c>
      <c r="B42" s="12" t="n">
        <v>-290400</v>
      </c>
    </row>
    <row r="43">
      <c r="A43" t="inlineStr">
        <is>
          <t>Unrestricted cash</t>
        </is>
      </c>
      <c r="B43" s="12">
        <f>B41+B42</f>
        <v/>
      </c>
    </row>
    <row r="44">
      <c r="A44" t="inlineStr">
        <is>
          <t>Cash spending in July (expenses less depreciation)</t>
        </is>
      </c>
      <c r="B44" s="12" t="n">
        <v>134918</v>
      </c>
    </row>
    <row r="45">
      <c r="A45" s="13" t="inlineStr">
        <is>
          <t>Runway</t>
        </is>
      </c>
      <c r="B45" s="14">
        <f>B43/B44</f>
        <v/>
      </c>
    </row>
    <row r="46">
      <c r="A46" s="2" t="inlineStr">
        <is>
          <t>Reserves target: 3.0 months.</t>
        </is>
      </c>
    </row>
    <row r="47"/>
    <row r="48"/>
    <row r="49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runway.xlsx&amp;C&amp;8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610594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611188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613087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614986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616885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571896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573795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574389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574983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576882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578781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579375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581274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583173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583767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584361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568010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569908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571806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526817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528715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529308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529901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531799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533697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535595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537493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539391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539984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540577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525675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runway.xlsx&amp;C&amp;8 Data retrieved 2pm, Tue 6 Oct 2026&amp;R&amp;8 Page &amp;P of &amp;N</oddFooter>
    <evenHeader/>
    <evenFooter/>
    <firstHeader/>
    <firstFooter/>
  </headerFooter>
  <rowBreaks count="1" manualBreakCount="1">
    <brk id="3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