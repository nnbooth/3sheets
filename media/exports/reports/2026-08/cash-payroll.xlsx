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31_Aug">'Report'!$B$8</definedName>
    <definedName name="Paid_to_employees_in_September">'Report'!$B$9</definedName>
    <definedName name="After_the_tightest_pay_run_3_Sep">'Report'!$B$10</definedName>
    <definedName name="Lowest_point_next_13_weeks">'Report'!$B$11</definedName>
    <definedName name="_xlnm.Print_Area" localSheetId="0">'Report'!$A$1:$J$69</definedName>
    <definedName name="_xlnm.Print_Area" localSheetId="1">'Workings'!$A$1:$B$96</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applyAlignment="1" pivotButton="0" quotePrefix="0" xfId="0">
      <alignment indent="1"/>
    </xf>
    <xf numFmtId="0" fontId="9" fillId="0" borderId="0" pivotButton="0" quotePrefix="0" xfId="0"/>
    <xf numFmtId="0" fontId="6"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September: where the cash comes from and goes (forecast)</a:t>
            </a:r>
          </a:p>
        </rich>
      </tx>
      <overlay val="0"/>
    </title>
    <plotArea>
      <barChart>
        <barDir val="bar"/>
        <grouping val="clustered"/>
        <varyColors val="0"/>
        <ser>
          <idx val="0"/>
          <order val="0"/>
          <tx>
            <v>September: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5"/>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'Report'!$A$15:$A$20</f>
            </numRef>
          </cat>
          <val>
            <numRef>
              <f>'Report'!$B$15:$B$20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13</row>
      <rowOff>0</rowOff>
    </from>
    <ext cx="540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J71"/>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Will cash cover payroll next month?</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8:41am</t>
        </is>
      </c>
    </row>
    <row r="4"/>
    <row r="5" ht="32" customHeight="1">
      <c r="A5" s="3" t="inlineStr">
        <is>
          <t>A 13-week cash forecast from 31 August: cash at bank, plus what customers owe on their usual payment dates and new work at its recent rate, less pay runs, supplier bills, the BAS and finance on their due dates. Every day opens its workings.</t>
        </is>
      </c>
    </row>
    <row r="6"/>
    <row r="7">
      <c r="A7" s="4" t="inlineStr">
        <is>
          <t>Headline number</t>
        </is>
      </c>
      <c r="B7" s="5" t="inlineStr">
        <is>
          <t>Value</t>
        </is>
      </c>
      <c r="C7" s="5" t="inlineStr">
        <is>
          <t>Compared with</t>
        </is>
      </c>
    </row>
    <row r="8">
      <c r="A8" t="inlineStr">
        <is>
          <t>Cash at bank, 31 Aug</t>
        </is>
      </c>
      <c r="B8" s="6">
        <f>Workings!B11</f>
        <v/>
      </c>
      <c r="C8" s="7" t="inlineStr">
        <is>
          <t>end of the day</t>
        </is>
      </c>
    </row>
    <row r="9">
      <c r="A9" t="inlineStr">
        <is>
          <t>Paid to employees in September</t>
        </is>
      </c>
      <c r="B9" s="6">
        <f>Workings!B20</f>
        <v/>
      </c>
      <c r="C9" s="7" t="inlineStr">
        <is>
          <t>2 fortnightly pay runs, net pay + super</t>
        </is>
      </c>
    </row>
    <row r="10">
      <c r="A10" t="inlineStr">
        <is>
          <t>After the tightest pay run, 3 Sep</t>
        </is>
      </c>
      <c r="B10" s="6">
        <f>Workings!B34</f>
        <v/>
      </c>
      <c r="C10" s="7" t="inlineStr">
        <is>
          <t>buffer: one pay run, $36,611</t>
        </is>
      </c>
    </row>
    <row r="11">
      <c r="A11" t="inlineStr">
        <is>
          <t>Lowest point, next 13 weeks</t>
        </is>
      </c>
      <c r="B11" s="6">
        <f>Workings!B48</f>
        <v/>
      </c>
      <c r="C11" s="7" t="inlineStr">
        <is>
          <t>3 September</t>
        </is>
      </c>
    </row>
    <row r="12"/>
    <row r="13">
      <c r="A13" s="8" t="inlineStr">
        <is>
          <t>September: where the cash comes from and goes (forecast)</t>
        </is>
      </c>
    </row>
    <row r="14">
      <c r="A14" s="4" t="inlineStr"/>
      <c r="B14" s="5" t="inlineStr">
        <is>
          <t>September: where the cash comes from and goes (forecast)</t>
        </is>
      </c>
    </row>
    <row r="15">
      <c r="A15" t="inlineStr">
        <is>
          <t>Unpaid invoices collected</t>
        </is>
      </c>
      <c r="B15" s="6">
        <f>Workings!B55</f>
        <v/>
      </c>
    </row>
    <row r="16">
      <c r="A16" t="inlineStr">
        <is>
          <t>New work collected</t>
        </is>
      </c>
      <c r="B16" s="6">
        <f>Workings!B62</f>
        <v/>
      </c>
    </row>
    <row r="17">
      <c r="A17" t="inlineStr">
        <is>
          <t>Pay runs (2)</t>
        </is>
      </c>
      <c r="B17" s="6">
        <f>Workings!B71</f>
        <v/>
      </c>
    </row>
    <row r="18">
      <c r="A18" t="inlineStr">
        <is>
          <t>Suppliers and overheads</t>
        </is>
      </c>
      <c r="B18" s="6">
        <f>Workings!B83</f>
        <v/>
      </c>
    </row>
    <row r="19">
      <c r="A19" t="inlineStr">
        <is>
          <t>BAS (GST and PAYG)</t>
        </is>
      </c>
      <c r="B19" s="6">
        <f>Workings!B89</f>
        <v/>
      </c>
    </row>
    <row r="20">
      <c r="A20" t="inlineStr">
        <is>
          <t>Interest and equipment finance</t>
        </is>
      </c>
      <c r="B20" s="6">
        <f>Workings!B96</f>
        <v/>
      </c>
    </row>
    <row r="21"/>
    <row r="22"/>
    <row r="23"/>
    <row r="24"/>
    <row r="25"/>
    <row r="26"/>
    <row r="27"/>
    <row r="28"/>
    <row r="29">
      <c r="A29" s="9" t="inlineStr">
        <is>
          <t>Cash at bank, every day: actual to 31 Aug, then forecast to 30 Nov: every month is on the Data sheet.</t>
        </is>
      </c>
    </row>
    <row r="30"/>
    <row r="31">
      <c r="A31" s="8" t="inlineStr">
        <is>
          <t>13 weeks, week by week</t>
        </is>
      </c>
    </row>
    <row r="32">
      <c r="A32" s="4" t="inlineStr">
        <is>
          <t>Week ending</t>
        </is>
      </c>
      <c r="B32" s="5" t="inlineStr">
        <is>
          <t>Cash at start</t>
        </is>
      </c>
      <c r="C32" s="5" t="inlineStr">
        <is>
          <t>Unpaid invoices collected</t>
        </is>
      </c>
      <c r="D32" s="5" t="inlineStr">
        <is>
          <t>New work collected</t>
        </is>
      </c>
      <c r="E32" s="5" t="inlineStr">
        <is>
          <t>Pay runs</t>
        </is>
      </c>
      <c r="F32" s="5" t="inlineStr">
        <is>
          <t>Suppliers and overheads</t>
        </is>
      </c>
      <c r="G32" s="5" t="inlineStr">
        <is>
          <t>BAS (GST and PAYG)</t>
        </is>
      </c>
      <c r="H32" s="5" t="inlineStr">
        <is>
          <t>Interest and finance</t>
        </is>
      </c>
      <c r="I32" s="5" t="inlineStr">
        <is>
          <t>Cash at end</t>
        </is>
      </c>
      <c r="J32" s="5" t="inlineStr">
        <is>
          <t>Lowest in the week</t>
        </is>
      </c>
    </row>
    <row r="33">
      <c r="A33" s="10" t="inlineStr">
        <is>
          <t>7 Sep</t>
        </is>
      </c>
      <c r="B33" s="11" t="inlineStr">
        <is>
          <t>$92,859</t>
        </is>
      </c>
      <c r="C33" s="11" t="inlineStr">
        <is>
          <t>$72,086</t>
        </is>
      </c>
      <c r="D33" s="11" t="inlineStr">
        <is>
          <t>$6,141</t>
        </is>
      </c>
      <c r="E33" s="11" t="inlineStr">
        <is>
          <t>($36,611)</t>
        </is>
      </c>
      <c r="F33" s="11" t="inlineStr">
        <is>
          <t>$0</t>
        </is>
      </c>
      <c r="G33" s="11" t="inlineStr">
        <is>
          <t>$0</t>
        </is>
      </c>
      <c r="H33" s="11" t="inlineStr">
        <is>
          <t>$0</t>
        </is>
      </c>
      <c r="I33" s="11" t="inlineStr">
        <is>
          <t>$134,475</t>
        </is>
      </c>
      <c r="J33" s="11" t="inlineStr">
        <is>
          <t>$56,248</t>
        </is>
      </c>
    </row>
    <row r="34">
      <c r="A34" s="10" t="inlineStr">
        <is>
          <t>14 Sep</t>
        </is>
      </c>
      <c r="B34" s="11" t="inlineStr">
        <is>
          <t>$134,475</t>
        </is>
      </c>
      <c r="C34" s="11" t="inlineStr">
        <is>
          <t>$26,290</t>
        </is>
      </c>
      <c r="D34" s="11" t="inlineStr">
        <is>
          <t>$7,677</t>
        </is>
      </c>
      <c r="E34" s="11" t="inlineStr">
        <is>
          <t>$0</t>
        </is>
      </c>
      <c r="F34" s="11" t="inlineStr">
        <is>
          <t>$0</t>
        </is>
      </c>
      <c r="G34" s="11" t="inlineStr">
        <is>
          <t>$0</t>
        </is>
      </c>
      <c r="H34" s="11" t="inlineStr">
        <is>
          <t>$0</t>
        </is>
      </c>
      <c r="I34" s="11" t="inlineStr">
        <is>
          <t>$168,442</t>
        </is>
      </c>
      <c r="J34" s="11" t="inlineStr">
        <is>
          <t>$134,475</t>
        </is>
      </c>
    </row>
    <row r="35">
      <c r="A35" s="10" t="inlineStr">
        <is>
          <t>21 Sep</t>
        </is>
      </c>
      <c r="B35" s="11" t="inlineStr">
        <is>
          <t>$168,442</t>
        </is>
      </c>
      <c r="C35" s="11" t="inlineStr">
        <is>
          <t>$20,680</t>
        </is>
      </c>
      <c r="D35" s="11" t="inlineStr">
        <is>
          <t>$7,677</t>
        </is>
      </c>
      <c r="E35" s="11" t="inlineStr">
        <is>
          <t>($36,611)</t>
        </is>
      </c>
      <c r="F35" s="11" t="inlineStr">
        <is>
          <t>($51,166)</t>
        </is>
      </c>
      <c r="G35" s="11" t="inlineStr">
        <is>
          <t>$0</t>
        </is>
      </c>
      <c r="H35" s="11" t="inlineStr">
        <is>
          <t>$0</t>
        </is>
      </c>
      <c r="I35" s="11" t="inlineStr">
        <is>
          <t>$109,022</t>
        </is>
      </c>
      <c r="J35" s="11" t="inlineStr">
        <is>
          <t>$82,200</t>
        </is>
      </c>
    </row>
    <row r="36">
      <c r="A36" s="10" t="inlineStr">
        <is>
          <t>28 Sep</t>
        </is>
      </c>
      <c r="B36" s="11" t="inlineStr">
        <is>
          <t>$109,022</t>
        </is>
      </c>
      <c r="C36" s="11" t="inlineStr">
        <is>
          <t>$40,700</t>
        </is>
      </c>
      <c r="D36" s="11" t="inlineStr">
        <is>
          <t>$7,676</t>
        </is>
      </c>
      <c r="E36" s="11" t="inlineStr">
        <is>
          <t>$0</t>
        </is>
      </c>
      <c r="F36" s="11" t="inlineStr">
        <is>
          <t>$0</t>
        </is>
      </c>
      <c r="G36" s="11" t="inlineStr">
        <is>
          <t>$0</t>
        </is>
      </c>
      <c r="H36" s="11" t="inlineStr">
        <is>
          <t>($5,000)</t>
        </is>
      </c>
      <c r="I36" s="11" t="inlineStr">
        <is>
          <t>$152,398</t>
        </is>
      </c>
      <c r="J36" s="11" t="inlineStr">
        <is>
          <t>$109,022</t>
        </is>
      </c>
    </row>
    <row r="37">
      <c r="A37" s="10" t="inlineStr">
        <is>
          <t>5 Oct</t>
        </is>
      </c>
      <c r="B37" s="11" t="inlineStr">
        <is>
          <t>$152,398</t>
        </is>
      </c>
      <c r="C37" s="11" t="inlineStr">
        <is>
          <t>$0</t>
        </is>
      </c>
      <c r="D37" s="11" t="inlineStr">
        <is>
          <t>$65,865</t>
        </is>
      </c>
      <c r="E37" s="11" t="inlineStr">
        <is>
          <t>($36,611)</t>
        </is>
      </c>
      <c r="F37" s="11" t="inlineStr">
        <is>
          <t>($51,167)</t>
        </is>
      </c>
      <c r="G37" s="11" t="inlineStr">
        <is>
          <t>$0</t>
        </is>
      </c>
      <c r="H37" s="11" t="inlineStr">
        <is>
          <t>($1,100)</t>
        </is>
      </c>
      <c r="I37" s="11" t="inlineStr">
        <is>
          <t>$129,385</t>
        </is>
      </c>
      <c r="J37" s="11" t="inlineStr">
        <is>
          <t>$100,131</t>
        </is>
      </c>
    </row>
    <row r="38">
      <c r="A38" s="10" t="inlineStr">
        <is>
          <t>12 Oct</t>
        </is>
      </c>
      <c r="B38" s="11" t="inlineStr">
        <is>
          <t>$129,385</t>
        </is>
      </c>
      <c r="C38" s="11" t="inlineStr">
        <is>
          <t>$0</t>
        </is>
      </c>
      <c r="D38" s="11" t="inlineStr">
        <is>
          <t>$55,929</t>
        </is>
      </c>
      <c r="E38" s="11" t="inlineStr">
        <is>
          <t>$0</t>
        </is>
      </c>
      <c r="F38" s="11" t="inlineStr">
        <is>
          <t>$0</t>
        </is>
      </c>
      <c r="G38" s="11" t="inlineStr">
        <is>
          <t>$0</t>
        </is>
      </c>
      <c r="H38" s="11" t="inlineStr">
        <is>
          <t>$0</t>
        </is>
      </c>
      <c r="I38" s="11" t="inlineStr">
        <is>
          <t>$185,314</t>
        </is>
      </c>
      <c r="J38" s="11" t="inlineStr">
        <is>
          <t>$146,900</t>
        </is>
      </c>
    </row>
    <row r="39">
      <c r="A39" s="10" t="inlineStr">
        <is>
          <t>19 Oct</t>
        </is>
      </c>
      <c r="B39" s="11" t="inlineStr">
        <is>
          <t>$185,314</t>
        </is>
      </c>
      <c r="C39" s="11" t="inlineStr">
        <is>
          <t>$0</t>
        </is>
      </c>
      <c r="D39" s="11" t="inlineStr">
        <is>
          <t>$39,949</t>
        </is>
      </c>
      <c r="E39" s="11" t="inlineStr">
        <is>
          <t>($36,611)</t>
        </is>
      </c>
      <c r="F39" s="11" t="inlineStr">
        <is>
          <t>($51,166)</t>
        </is>
      </c>
      <c r="G39" s="11" t="inlineStr">
        <is>
          <t>$0</t>
        </is>
      </c>
      <c r="H39" s="11" t="inlineStr">
        <is>
          <t>$0</t>
        </is>
      </c>
      <c r="I39" s="11" t="inlineStr">
        <is>
          <t>$137,486</t>
        </is>
      </c>
      <c r="J39" s="11" t="inlineStr">
        <is>
          <t>$111,981</t>
        </is>
      </c>
    </row>
    <row r="40">
      <c r="A40" s="10" t="inlineStr">
        <is>
          <t>26 Oct</t>
        </is>
      </c>
      <c r="B40" s="11" t="inlineStr">
        <is>
          <t>$137,486</t>
        </is>
      </c>
      <c r="C40" s="11" t="inlineStr">
        <is>
          <t>$0</t>
        </is>
      </c>
      <c r="D40" s="11" t="inlineStr">
        <is>
          <t>$39,949</t>
        </is>
      </c>
      <c r="E40" s="11" t="inlineStr">
        <is>
          <t>$0</t>
        </is>
      </c>
      <c r="F40" s="11" t="inlineStr">
        <is>
          <t>$0</t>
        </is>
      </c>
      <c r="G40" s="11" t="inlineStr">
        <is>
          <t>$0</t>
        </is>
      </c>
      <c r="H40" s="11" t="inlineStr">
        <is>
          <t>$0</t>
        </is>
      </c>
      <c r="I40" s="11" t="inlineStr">
        <is>
          <t>$177,435</t>
        </is>
      </c>
      <c r="J40" s="11" t="inlineStr">
        <is>
          <t>$137,486</t>
        </is>
      </c>
    </row>
    <row r="41">
      <c r="A41" s="10" t="inlineStr">
        <is>
          <t>2 Nov</t>
        </is>
      </c>
      <c r="B41" s="11" t="inlineStr">
        <is>
          <t>$177,435</t>
        </is>
      </c>
      <c r="C41" s="11" t="inlineStr">
        <is>
          <t>$0</t>
        </is>
      </c>
      <c r="D41" s="11" t="inlineStr">
        <is>
          <t>$89,834</t>
        </is>
      </c>
      <c r="E41" s="11" t="inlineStr">
        <is>
          <t>($36,611)</t>
        </is>
      </c>
      <c r="F41" s="11" t="inlineStr">
        <is>
          <t>($51,167)</t>
        </is>
      </c>
      <c r="G41" s="11" t="inlineStr">
        <is>
          <t>($86,220)</t>
        </is>
      </c>
      <c r="H41" s="11" t="inlineStr">
        <is>
          <t>($6,100)</t>
        </is>
      </c>
      <c r="I41" s="11" t="inlineStr">
        <is>
          <t>$87,171</t>
        </is>
      </c>
      <c r="J41" s="11" t="inlineStr">
        <is>
          <t>$64,048</t>
        </is>
      </c>
    </row>
    <row r="42">
      <c r="A42" s="10" t="inlineStr">
        <is>
          <t>9 Nov</t>
        </is>
      </c>
      <c r="B42" s="11" t="inlineStr">
        <is>
          <t>$87,171</t>
        </is>
      </c>
      <c r="C42" s="11" t="inlineStr">
        <is>
          <t>$0</t>
        </is>
      </c>
      <c r="D42" s="11" t="inlineStr">
        <is>
          <t>$33,494</t>
        </is>
      </c>
      <c r="E42" s="11" t="inlineStr">
        <is>
          <t>$0</t>
        </is>
      </c>
      <c r="F42" s="11" t="inlineStr">
        <is>
          <t>$0</t>
        </is>
      </c>
      <c r="G42" s="11" t="inlineStr">
        <is>
          <t>$0</t>
        </is>
      </c>
      <c r="H42" s="11" t="inlineStr">
        <is>
          <t>$0</t>
        </is>
      </c>
      <c r="I42" s="11" t="inlineStr">
        <is>
          <t>$120,665</t>
        </is>
      </c>
      <c r="J42" s="11" t="inlineStr">
        <is>
          <t>$87,171</t>
        </is>
      </c>
    </row>
    <row r="43">
      <c r="A43" s="10" t="inlineStr">
        <is>
          <t>16 Nov</t>
        </is>
      </c>
      <c r="B43" s="11" t="inlineStr">
        <is>
          <t>$120,665</t>
        </is>
      </c>
      <c r="C43" s="11" t="inlineStr">
        <is>
          <t>$0</t>
        </is>
      </c>
      <c r="D43" s="11" t="inlineStr">
        <is>
          <t>$39,949</t>
        </is>
      </c>
      <c r="E43" s="11" t="inlineStr">
        <is>
          <t>($36,611)</t>
        </is>
      </c>
      <c r="F43" s="11" t="inlineStr">
        <is>
          <t>($51,166)</t>
        </is>
      </c>
      <c r="G43" s="11" t="inlineStr">
        <is>
          <t>$0</t>
        </is>
      </c>
      <c r="H43" s="11" t="inlineStr">
        <is>
          <t>$0</t>
        </is>
      </c>
      <c r="I43" s="11" t="inlineStr">
        <is>
          <t>$72,837</t>
        </is>
      </c>
      <c r="J43" s="11" t="inlineStr">
        <is>
          <t>$72,837</t>
        </is>
      </c>
    </row>
    <row r="44">
      <c r="A44" s="10" t="inlineStr">
        <is>
          <t>23 Nov</t>
        </is>
      </c>
      <c r="B44" s="11" t="inlineStr">
        <is>
          <t>$72,837</t>
        </is>
      </c>
      <c r="C44" s="11" t="inlineStr">
        <is>
          <t>$0</t>
        </is>
      </c>
      <c r="D44" s="11" t="inlineStr">
        <is>
          <t>$39,949</t>
        </is>
      </c>
      <c r="E44" s="11" t="inlineStr">
        <is>
          <t>$0</t>
        </is>
      </c>
      <c r="F44" s="11" t="inlineStr">
        <is>
          <t>$0</t>
        </is>
      </c>
      <c r="G44" s="11" t="inlineStr">
        <is>
          <t>$0</t>
        </is>
      </c>
      <c r="H44" s="11" t="inlineStr">
        <is>
          <t>$0</t>
        </is>
      </c>
      <c r="I44" s="11" t="inlineStr">
        <is>
          <t>$112,786</t>
        </is>
      </c>
      <c r="J44" s="11" t="inlineStr">
        <is>
          <t>$72,837</t>
        </is>
      </c>
    </row>
    <row r="45">
      <c r="A45" s="10" t="inlineStr">
        <is>
          <t>30 Nov</t>
        </is>
      </c>
      <c r="B45" s="11" t="inlineStr">
        <is>
          <t>$112,786</t>
        </is>
      </c>
      <c r="C45" s="11" t="inlineStr">
        <is>
          <t>$0</t>
        </is>
      </c>
      <c r="D45" s="11" t="inlineStr">
        <is>
          <t>$39,949</t>
        </is>
      </c>
      <c r="E45" s="11" t="inlineStr">
        <is>
          <t>($36,611)</t>
        </is>
      </c>
      <c r="F45" s="11" t="inlineStr">
        <is>
          <t>($51,167)</t>
        </is>
      </c>
      <c r="G45" s="11" t="inlineStr">
        <is>
          <t>$0</t>
        </is>
      </c>
      <c r="H45" s="11" t="inlineStr">
        <is>
          <t>($6,100)</t>
        </is>
      </c>
      <c r="I45" s="11" t="inlineStr">
        <is>
          <t>$58,857</t>
        </is>
      </c>
      <c r="J45" s="11" t="inlineStr">
        <is>
          <t>$58,857</t>
        </is>
      </c>
    </row>
    <row r="46"/>
    <row r="47">
      <c r="A47" s="8" t="inlineStr">
        <is>
          <t>Invoices past the customer's usual payment date ($24,676): the forecast assumes these arrive within a week</t>
        </is>
      </c>
    </row>
    <row r="48">
      <c r="A48" s="4" t="inlineStr">
        <is>
          <t>Customer or job</t>
        </is>
      </c>
      <c r="B48" s="5" t="inlineStr">
        <is>
          <t>Invoiced</t>
        </is>
      </c>
      <c r="C48" s="5" t="inlineStr">
        <is>
          <t>Amount (incl. GST)</t>
        </is>
      </c>
      <c r="D48" s="5" t="inlineStr">
        <is>
          <t>Usually pays in (days)</t>
        </is>
      </c>
      <c r="E48" s="5" t="inlineStr">
        <is>
          <t>Days since invoiced</t>
        </is>
      </c>
    </row>
    <row r="49">
      <c r="A49" s="10" t="inlineStr">
        <is>
          <t>Chermside retail centre</t>
        </is>
      </c>
      <c r="B49" s="11" t="inlineStr">
        <is>
          <t>1 Aug</t>
        </is>
      </c>
      <c r="C49" s="11" t="inlineStr">
        <is>
          <t>$5,060</t>
        </is>
      </c>
      <c r="D49" s="11" t="inlineStr">
        <is>
          <t>30</t>
        </is>
      </c>
      <c r="E49" s="11" t="inlineStr">
        <is>
          <t>30</t>
        </is>
      </c>
    </row>
    <row r="50">
      <c r="A50" s="10" t="inlineStr">
        <is>
          <t>Rocklea factory</t>
        </is>
      </c>
      <c r="B50" s="11" t="inlineStr">
        <is>
          <t>1 Aug</t>
        </is>
      </c>
      <c r="C50" s="11" t="inlineStr">
        <is>
          <t>$4,785</t>
        </is>
      </c>
      <c r="D50" s="11" t="inlineStr">
        <is>
          <t>30</t>
        </is>
      </c>
      <c r="E50" s="11" t="inlineStr">
        <is>
          <t>30</t>
        </is>
      </c>
    </row>
    <row r="51">
      <c r="A51" s="10" t="inlineStr">
        <is>
          <t>Riverside Apartments (strata)</t>
        </is>
      </c>
      <c r="B51" s="11" t="inlineStr">
        <is>
          <t>1 Aug</t>
        </is>
      </c>
      <c r="C51" s="11" t="inlineStr">
        <is>
          <t>$3,960</t>
        </is>
      </c>
      <c r="D51" s="11" t="inlineStr">
        <is>
          <t>30</t>
        </is>
      </c>
      <c r="E51" s="11" t="inlineStr">
        <is>
          <t>30</t>
        </is>
      </c>
    </row>
    <row r="52">
      <c r="A52" s="10" t="inlineStr">
        <is>
          <t>Wacol logistics depot</t>
        </is>
      </c>
      <c r="B52" s="11" t="inlineStr">
        <is>
          <t>1 Aug</t>
        </is>
      </c>
      <c r="C52" s="11" t="inlineStr">
        <is>
          <t>$3,685</t>
        </is>
      </c>
      <c r="D52" s="11" t="inlineStr">
        <is>
          <t>30</t>
        </is>
      </c>
      <c r="E52" s="11" t="inlineStr">
        <is>
          <t>30</t>
        </is>
      </c>
    </row>
    <row r="53">
      <c r="A53" s="10" t="inlineStr">
        <is>
          <t>Call-out 1, August</t>
        </is>
      </c>
      <c r="B53" s="11" t="inlineStr">
        <is>
          <t>24 Aug</t>
        </is>
      </c>
      <c r="C53" s="11" t="inlineStr">
        <is>
          <t>$1,018</t>
        </is>
      </c>
      <c r="D53" s="11" t="inlineStr">
        <is>
          <t>3</t>
        </is>
      </c>
      <c r="E53" s="11" t="inlineStr">
        <is>
          <t>7</t>
        </is>
      </c>
    </row>
    <row r="54">
      <c r="A54" s="10" t="inlineStr">
        <is>
          <t>Call-out 16, August</t>
        </is>
      </c>
      <c r="B54" s="11" t="inlineStr">
        <is>
          <t>22 Aug</t>
        </is>
      </c>
      <c r="C54" s="11" t="inlineStr">
        <is>
          <t>$1,003</t>
        </is>
      </c>
      <c r="D54" s="11" t="inlineStr">
        <is>
          <t>3</t>
        </is>
      </c>
      <c r="E54" s="11" t="inlineStr">
        <is>
          <t>9</t>
        </is>
      </c>
    </row>
    <row r="55">
      <c r="A55" s="10" t="inlineStr">
        <is>
          <t>Call-out 14, August</t>
        </is>
      </c>
      <c r="B55" s="11" t="inlineStr">
        <is>
          <t>5 Aug</t>
        </is>
      </c>
      <c r="C55" s="11" t="inlineStr">
        <is>
          <t>$824</t>
        </is>
      </c>
      <c r="D55" s="11" t="inlineStr">
        <is>
          <t>3</t>
        </is>
      </c>
      <c r="E55" s="11" t="inlineStr">
        <is>
          <t>26</t>
        </is>
      </c>
    </row>
    <row r="56">
      <c r="A56" s="10" t="inlineStr">
        <is>
          <t>Call-out 38, August</t>
        </is>
      </c>
      <c r="B56" s="11" t="inlineStr">
        <is>
          <t>25 Aug</t>
        </is>
      </c>
      <c r="C56" s="11" t="inlineStr">
        <is>
          <t>$781</t>
        </is>
      </c>
      <c r="D56" s="11" t="inlineStr">
        <is>
          <t>3</t>
        </is>
      </c>
      <c r="E56" s="11" t="inlineStr">
        <is>
          <t>6</t>
        </is>
      </c>
    </row>
    <row r="57">
      <c r="A57" s="10" t="inlineStr">
        <is>
          <t>Call-out 27, August</t>
        </is>
      </c>
      <c r="B57" s="11" t="inlineStr">
        <is>
          <t>3 Aug</t>
        </is>
      </c>
      <c r="C57" s="11" t="inlineStr">
        <is>
          <t>$678</t>
        </is>
      </c>
      <c r="D57" s="11" t="inlineStr">
        <is>
          <t>3</t>
        </is>
      </c>
      <c r="E57" s="11" t="inlineStr">
        <is>
          <t>28</t>
        </is>
      </c>
    </row>
    <row r="58">
      <c r="A58" s="10" t="inlineStr">
        <is>
          <t>Call-out 5, August</t>
        </is>
      </c>
      <c r="B58" s="11" t="inlineStr">
        <is>
          <t>26 Aug</t>
        </is>
      </c>
      <c r="C58" s="11" t="inlineStr">
        <is>
          <t>$592</t>
        </is>
      </c>
      <c r="D58" s="11" t="inlineStr">
        <is>
          <t>3</t>
        </is>
      </c>
      <c r="E58" s="11" t="inlineStr">
        <is>
          <t>5</t>
        </is>
      </c>
    </row>
    <row r="59">
      <c r="A59" s="10" t="inlineStr">
        <is>
          <t>Call-out 39, August</t>
        </is>
      </c>
      <c r="B59" s="11" t="inlineStr">
        <is>
          <t>25 Aug</t>
        </is>
      </c>
      <c r="C59" s="11" t="inlineStr">
        <is>
          <t>$530</t>
        </is>
      </c>
      <c r="D59" s="11" t="inlineStr">
        <is>
          <t>3</t>
        </is>
      </c>
      <c r="E59" s="11" t="inlineStr">
        <is>
          <t>6</t>
        </is>
      </c>
    </row>
    <row r="60">
      <c r="A60" s="10" t="inlineStr">
        <is>
          <t>Call-out 22, August</t>
        </is>
      </c>
      <c r="B60" s="11" t="inlineStr">
        <is>
          <t>25 Aug</t>
        </is>
      </c>
      <c r="C60" s="11" t="inlineStr">
        <is>
          <t>$516</t>
        </is>
      </c>
      <c r="D60" s="11" t="inlineStr">
        <is>
          <t>3</t>
        </is>
      </c>
      <c r="E60" s="11" t="inlineStr">
        <is>
          <t>6</t>
        </is>
      </c>
    </row>
    <row r="61">
      <c r="A61" s="10" t="inlineStr">
        <is>
          <t>Call-out 43, August</t>
        </is>
      </c>
      <c r="B61" s="11" t="inlineStr">
        <is>
          <t>8 Aug</t>
        </is>
      </c>
      <c r="C61" s="11" t="inlineStr">
        <is>
          <t>$430</t>
        </is>
      </c>
      <c r="D61" s="11" t="inlineStr">
        <is>
          <t>3</t>
        </is>
      </c>
      <c r="E61" s="11" t="inlineStr">
        <is>
          <t>23</t>
        </is>
      </c>
    </row>
    <row r="62">
      <c r="A62" s="10" t="inlineStr">
        <is>
          <t>Call-out 10, August</t>
        </is>
      </c>
      <c r="B62" s="11" t="inlineStr">
        <is>
          <t>8 Aug</t>
        </is>
      </c>
      <c r="C62" s="11" t="inlineStr">
        <is>
          <t>$416</t>
        </is>
      </c>
      <c r="D62" s="11" t="inlineStr">
        <is>
          <t>3</t>
        </is>
      </c>
      <c r="E62" s="11" t="inlineStr">
        <is>
          <t>23</t>
        </is>
      </c>
    </row>
    <row r="63">
      <c r="A63" s="10" t="inlineStr">
        <is>
          <t>Call-out 44, August</t>
        </is>
      </c>
      <c r="B63" s="11" t="inlineStr">
        <is>
          <t>4 Aug</t>
        </is>
      </c>
      <c r="C63" s="11" t="inlineStr">
        <is>
          <t>$398</t>
        </is>
      </c>
      <c r="D63" s="11" t="inlineStr">
        <is>
          <t>3</t>
        </is>
      </c>
      <c r="E63" s="11" t="inlineStr">
        <is>
          <t>27</t>
        </is>
      </c>
    </row>
    <row r="64"/>
    <row r="65">
      <c r="A65" s="12" t="inlineStr">
        <is>
          <t>What it shows</t>
        </is>
      </c>
    </row>
    <row r="66" ht="45" customHeight="1">
      <c r="A66" s="3" t="inlineStr">
        <is>
          <t>Cash at bank was $92,859 at 31 August. September has 2 pay runs ($73,222). The tightest is 3 September: $56,248 left after paying wages, $19,637 more than a pay run in reserve. The lowest point in the 13 weeks is $56,248 on 3 September.</t>
        </is>
      </c>
    </row>
    <row r="67"/>
    <row r="68">
      <c r="A68" s="12" t="inlineStr">
        <is>
          <t>What you'd do about it</t>
        </is>
      </c>
    </row>
    <row r="69" ht="60" customHeight="1">
      <c r="A69" s="3" t="inlineStr">
        <is>
          <t>15 invoices ($24,676) are already past the customer's usual payment date; the forecast assumes they arrive within a week. Without them, the lowest point would be $34,181. The July to September BAS ($86,220, estimated) is due 28 October: GST $33,132, PAYG withheld $47,754 and the PAYG instalment $5,334.</t>
        </is>
      </c>
    </row>
    <row r="70"/>
    <row r="71"/>
  </sheetData>
  <mergeCells count="3">
    <mergeCell ref="A69:D69"/>
    <mergeCell ref="A5:D5"/>
    <mergeCell ref="A66:D6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1" manualBreakCount="1">
    <brk id="3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8:41am</t>
        </is>
      </c>
    </row>
    <row r="4"/>
    <row r="5">
      <c r="A5" s="13" t="inlineStr">
        <is>
          <t>Cash at bank, 31 August</t>
        </is>
      </c>
    </row>
    <row r="6">
      <c r="A6" s="9" t="inlineStr">
        <is>
          <t>Opening balance + every day's money in − money out</t>
        </is>
      </c>
    </row>
    <row r="7">
      <c r="A7" s="4" t="inlineStr"/>
      <c r="B7" s="5" t="inlineStr">
        <is>
          <t>31 Aug</t>
        </is>
      </c>
    </row>
    <row r="8">
      <c r="A8" t="inlineStr">
        <is>
          <t>Cash at bank, 31 July (opening balance)</t>
        </is>
      </c>
      <c r="B8" s="14" t="n">
        <v>88000</v>
      </c>
    </row>
    <row r="9">
      <c r="A9" t="inlineStr">
        <is>
          <t>Money in, 1 August to 31 August</t>
        </is>
      </c>
      <c r="B9" s="14" t="n">
        <v>191442</v>
      </c>
    </row>
    <row r="10">
      <c r="A10" t="inlineStr">
        <is>
          <t>Money out, 1 August to 31 August</t>
        </is>
      </c>
      <c r="B10" s="14" t="n">
        <v>-186583</v>
      </c>
    </row>
    <row r="11">
      <c r="A11" s="15" t="inlineStr">
        <is>
          <t>Cash at bank</t>
        </is>
      </c>
      <c r="B11" s="16">
        <f>B8+B9+B10</f>
        <v/>
      </c>
    </row>
    <row r="12">
      <c r="A12" s="2" t="inlineStr">
        <is>
          <t>From the bank feed; ties to the ledger.</t>
        </is>
      </c>
    </row>
    <row r="13"/>
    <row r="14"/>
    <row r="15">
      <c r="A15" s="13" t="inlineStr">
        <is>
          <t>Pay runs in September</t>
        </is>
      </c>
    </row>
    <row r="16">
      <c r="A16" s="9" t="inlineStr">
        <is>
          <t>Number of fortnightly pay runs × the cash each one takes</t>
        </is>
      </c>
    </row>
    <row r="17">
      <c r="A17" s="4" t="inlineStr"/>
      <c r="B17" s="5" t="inlineStr">
        <is>
          <t>September</t>
        </is>
      </c>
    </row>
    <row r="18">
      <c r="A18" t="inlineStr">
        <is>
          <t>Last pay run, net pay + super (20 August)</t>
        </is>
      </c>
      <c r="B18" s="14" t="n">
        <v>36611</v>
      </c>
    </row>
    <row r="19">
      <c r="A19" t="inlineStr">
        <is>
          <t>Pay runs in September (3 Sep, 17 Sep)</t>
        </is>
      </c>
      <c r="B19" s="14" t="n">
        <v>2</v>
      </c>
    </row>
    <row r="20">
      <c r="A20" s="15" t="inlineStr">
        <is>
          <t>Paid to employees and their super funds in September</t>
        </is>
      </c>
      <c r="B20" s="16">
        <f>B18*B19</f>
        <v/>
      </c>
    </row>
    <row r="21">
      <c r="A21" s="2" t="inlineStr">
        <is>
          <t>Each pay run is a 26th of the year's gross wages: net pay and super leave the bank on pay day, and the PAYG withheld goes to the ATO with the BAS. Fortnightly pay means two months a year have three pay runs.</t>
        </is>
      </c>
    </row>
    <row r="22"/>
    <row r="23"/>
    <row r="24">
      <c r="A24" s="13" t="inlineStr">
        <is>
          <t>Forecast cash at bank, 3 Sep 2026</t>
        </is>
      </c>
    </row>
    <row r="25">
      <c r="A25" s="9" t="inlineStr">
        <is>
          <t>Yesterday's cash + money in − money out</t>
        </is>
      </c>
    </row>
    <row r="26">
      <c r="A26" s="4" t="inlineStr"/>
      <c r="B26" s="5" t="inlineStr">
        <is>
          <t>3 Sep</t>
        </is>
      </c>
    </row>
    <row r="27">
      <c r="A27" t="inlineStr">
        <is>
          <t>Cash at bank, end of the day before</t>
        </is>
      </c>
      <c r="B27" s="14" t="n">
        <v>92859</v>
      </c>
    </row>
    <row r="28">
      <c r="A28" t="inlineStr">
        <is>
          <t>Unpaid invoices expected (incl. GST)</t>
        </is>
      </c>
      <c r="B28" s="14" t="n">
        <v>0</v>
      </c>
    </row>
    <row r="29">
      <c r="A29" t="inlineStr">
        <is>
          <t>New work expected to be paid (incl. GST)</t>
        </is>
      </c>
      <c r="B29" s="14" t="n">
        <v>0</v>
      </c>
    </row>
    <row r="30">
      <c r="A30" t="inlineStr">
        <is>
          <t>Pay run (net pay + super)</t>
        </is>
      </c>
      <c r="B30" s="14" t="n">
        <v>-36611</v>
      </c>
    </row>
    <row r="31">
      <c r="A31" t="inlineStr">
        <is>
          <t>Suppliers and overheads (incl. GST)</t>
        </is>
      </c>
      <c r="B31" s="14" t="n">
        <v>0</v>
      </c>
    </row>
    <row r="32">
      <c r="A32" t="inlineStr">
        <is>
          <t>BAS: GST, PAYG withheld and PAYG instalment</t>
        </is>
      </c>
      <c r="B32" s="14" t="n">
        <v>0</v>
      </c>
    </row>
    <row r="33">
      <c r="A33" t="inlineStr">
        <is>
          <t>Interest and equipment finance</t>
        </is>
      </c>
      <c r="B33" s="14" t="n">
        <v>0</v>
      </c>
    </row>
    <row r="34">
      <c r="A34" s="15" t="inlineStr">
        <is>
          <t>Cash at bank, end of the day</t>
        </is>
      </c>
      <c r="B34" s="16">
        <f>B27+B28+B29+B30+B31+B32+B33</f>
        <v/>
      </c>
    </row>
    <row r="35">
      <c r="A35" s="2" t="inlineStr">
        <is>
          <t>Forecast.</t>
        </is>
      </c>
    </row>
    <row r="36"/>
    <row r="37"/>
    <row r="38">
      <c r="A38" s="13" t="inlineStr">
        <is>
          <t>Forecast cash at bank, 3 Sep 2026</t>
        </is>
      </c>
    </row>
    <row r="39">
      <c r="A39" s="9" t="inlineStr">
        <is>
          <t>Yesterday's cash + money in − money out</t>
        </is>
      </c>
    </row>
    <row r="40">
      <c r="A40" s="4" t="inlineStr"/>
      <c r="B40" s="5" t="inlineStr">
        <is>
          <t>3 Sep</t>
        </is>
      </c>
    </row>
    <row r="41">
      <c r="A41" t="inlineStr">
        <is>
          <t>Cash at bank, end of the day before</t>
        </is>
      </c>
      <c r="B41" s="14" t="n">
        <v>92859</v>
      </c>
    </row>
    <row r="42">
      <c r="A42" t="inlineStr">
        <is>
          <t>Unpaid invoices expected (incl. GST)</t>
        </is>
      </c>
      <c r="B42" s="14" t="n">
        <v>0</v>
      </c>
    </row>
    <row r="43">
      <c r="A43" t="inlineStr">
        <is>
          <t>New work expected to be paid (incl. GST)</t>
        </is>
      </c>
      <c r="B43" s="14" t="n">
        <v>0</v>
      </c>
    </row>
    <row r="44">
      <c r="A44" t="inlineStr">
        <is>
          <t>Pay run (net pay + super)</t>
        </is>
      </c>
      <c r="B44" s="14" t="n">
        <v>-36611</v>
      </c>
    </row>
    <row r="45">
      <c r="A45" t="inlineStr">
        <is>
          <t>Suppliers and overheads (incl. GST)</t>
        </is>
      </c>
      <c r="B45" s="14" t="n">
        <v>0</v>
      </c>
    </row>
    <row r="46">
      <c r="A46" t="inlineStr">
        <is>
          <t>BAS: GST, PAYG withheld and PAYG instalment</t>
        </is>
      </c>
      <c r="B46" s="14" t="n">
        <v>0</v>
      </c>
    </row>
    <row r="47">
      <c r="A47" t="inlineStr">
        <is>
          <t>Interest and equipment finance</t>
        </is>
      </c>
      <c r="B47" s="14" t="n">
        <v>0</v>
      </c>
    </row>
    <row r="48">
      <c r="A48" s="15" t="inlineStr">
        <is>
          <t>Cash at bank, end of the day</t>
        </is>
      </c>
      <c r="B48" s="16">
        <f>B41+B42+B43+B44+B45+B46+B47</f>
        <v/>
      </c>
    </row>
    <row r="49">
      <c r="A49" s="2" t="inlineStr">
        <is>
          <t>Forecast.</t>
        </is>
      </c>
    </row>
    <row r="50"/>
    <row r="51"/>
    <row r="52">
      <c r="A52" s="13" t="inlineStr">
        <is>
          <t>Unpaid invoices collected in September</t>
        </is>
      </c>
    </row>
    <row r="53">
      <c r="A53" s="9" t="inlineStr">
        <is>
          <t>Each invoice unpaid at the start, on its customer's usual payment date (next banking day)</t>
        </is>
      </c>
    </row>
    <row r="54">
      <c r="A54" s="4" t="inlineStr"/>
      <c r="B54" s="5" t="inlineStr">
        <is>
          <t>September</t>
        </is>
      </c>
    </row>
    <row r="55">
      <c r="A55" s="15" t="inlineStr">
        <is>
          <t>Expected in the month (incl. GST)</t>
        </is>
      </c>
      <c r="B55" s="16" t="n">
        <v>159756</v>
      </c>
    </row>
    <row r="56">
      <c r="A56" s="2" t="inlineStr">
        <is>
          <t>20 invoices unpaid at 31 August; overdue ones assumed a week from then.</t>
        </is>
      </c>
    </row>
    <row r="57"/>
    <row r="58"/>
    <row r="59">
      <c r="A59" s="13" t="inlineStr">
        <is>
          <t>New work collected in September</t>
        </is>
      </c>
    </row>
    <row r="60">
      <c r="A60" s="9" t="inlineStr">
        <is>
          <t>Contract fees (1st of the month, on each contract's terms) + installations and call-outs at the last three months' run rate</t>
        </is>
      </c>
    </row>
    <row r="61">
      <c r="A61" s="4" t="inlineStr"/>
      <c r="B61" s="5" t="inlineStr">
        <is>
          <t>September</t>
        </is>
      </c>
    </row>
    <row r="62">
      <c r="A62" s="15" t="inlineStr">
        <is>
          <t>Expected in the month (incl. GST)</t>
        </is>
      </c>
      <c r="B62" s="16" t="n">
        <v>29171</v>
      </c>
    </row>
    <row r="63">
      <c r="A63" s="2" t="inlineStr">
        <is>
          <t>Run rate from June, July, August. Every day's amount is in whole dollars, so the days add up to this.</t>
        </is>
      </c>
    </row>
    <row r="64"/>
    <row r="65"/>
    <row r="66">
      <c r="A66" s="13" t="inlineStr">
        <is>
          <t>Pay runs in September</t>
        </is>
      </c>
    </row>
    <row r="67">
      <c r="A67" s="9" t="inlineStr">
        <is>
          <t>Number of fortnightly pay runs × the cash each one takes</t>
        </is>
      </c>
    </row>
    <row r="68">
      <c r="A68" s="4" t="inlineStr"/>
      <c r="B68" s="5" t="inlineStr">
        <is>
          <t>September</t>
        </is>
      </c>
    </row>
    <row r="69">
      <c r="A69" t="inlineStr">
        <is>
          <t>Last pay run, net pay + super (20 August)</t>
        </is>
      </c>
      <c r="B69" s="14" t="n">
        <v>36611</v>
      </c>
    </row>
    <row r="70">
      <c r="A70" t="inlineStr">
        <is>
          <t>Pay runs in September (3 Sep, 17 Sep)</t>
        </is>
      </c>
      <c r="B70" s="14" t="n">
        <v>2</v>
      </c>
    </row>
    <row r="71">
      <c r="A71" s="15" t="inlineStr">
        <is>
          <t>Paid to employees and their super funds in September</t>
        </is>
      </c>
      <c r="B71" s="16">
        <f>B69*B70</f>
        <v/>
      </c>
    </row>
    <row r="72">
      <c r="A72" s="2" t="inlineStr">
        <is>
          <t>Each pay run is a 26th of the year's gross wages: net pay and super leave the bank on pay day, and the PAYG withheld goes to the ATO with the BAS. Fortnightly pay means two months a year have three pay runs.</t>
        </is>
      </c>
    </row>
    <row r="73"/>
    <row r="74"/>
    <row r="75">
      <c r="A75" s="13" t="inlineStr">
        <is>
          <t>Suppliers and overheads in September</t>
        </is>
      </c>
    </row>
    <row r="76">
      <c r="A76" s="9" t="inlineStr">
        <is>
          <t>Last month's bills (trade creditors) + the month's overheads, half on the 15th and half at month end, on banking days</t>
        </is>
      </c>
    </row>
    <row r="77">
      <c r="A77" s="4" t="inlineStr"/>
      <c r="B77" s="5" t="inlineStr">
        <is>
          <t>September</t>
        </is>
      </c>
    </row>
    <row r="78">
      <c r="A78" t="inlineStr">
        <is>
          <t>August's bills for materials and subcontractors, incl. GST</t>
        </is>
      </c>
      <c r="B78" s="14" t="n">
        <v>66913</v>
      </c>
    </row>
    <row r="79">
      <c r="A79" t="inlineStr">
        <is>
          <t>Overheads, incl. GST (at August's level)</t>
        </is>
      </c>
      <c r="B79" s="14" t="n">
        <v>35420</v>
      </c>
    </row>
    <row r="80">
      <c r="A80" t="inlineStr">
        <is>
          <t>September's supplier bills</t>
        </is>
      </c>
      <c r="B80" s="14">
        <f>B78+B79</f>
        <v/>
      </c>
    </row>
    <row r="81">
      <c r="A81" t="inlineStr">
        <is>
          <t>September run due 15 September: paid in September</t>
        </is>
      </c>
      <c r="B81" s="14" t="n">
        <v>-51166</v>
      </c>
    </row>
    <row r="82">
      <c r="A82" t="inlineStr">
        <is>
          <t>September run due 30 September: paid in September</t>
        </is>
      </c>
      <c r="B82" s="14" t="n">
        <v>-51167</v>
      </c>
    </row>
    <row r="83">
      <c r="A83" s="15" t="inlineStr">
        <is>
          <t>Paid in September</t>
        </is>
      </c>
      <c r="B83" s="16">
        <f>B81+B82</f>
        <v/>
      </c>
    </row>
    <row r="84"/>
    <row r="85"/>
    <row r="86">
      <c r="A86" s="13" t="inlineStr">
        <is>
          <t>BAS in September</t>
        </is>
      </c>
    </row>
    <row r="87">
      <c r="A87" s="9" t="inlineStr">
        <is>
          <t>GST on sales − GST credits + PAYG withheld + PAYG instalment, for the quarter, due on the 28th (quarterly, self-lodged)</t>
        </is>
      </c>
    </row>
    <row r="88">
      <c r="A88" s="4" t="inlineStr"/>
      <c r="B88" s="5" t="inlineStr">
        <is>
          <t>September</t>
        </is>
      </c>
    </row>
    <row r="89">
      <c r="A89" s="15" t="inlineStr">
        <is>
          <t>BAS paid in September</t>
        </is>
      </c>
      <c r="B89" s="16" t="n">
        <v>0</v>
      </c>
    </row>
    <row r="90">
      <c r="A90" s="2" t="inlineStr">
        <is>
          <t>No BAS falls due in September. The October to December BAS is due 28 February.</t>
        </is>
      </c>
    </row>
    <row r="91"/>
    <row r="92"/>
    <row r="93">
      <c r="A93" s="13" t="inlineStr">
        <is>
          <t>Interest and equipment finance in September</t>
        </is>
      </c>
    </row>
    <row r="94">
      <c r="A94" s="9" t="inlineStr">
        <is>
          <t>Interest at month end + the equipment finance repayment on the 28th (no GST on either)</t>
        </is>
      </c>
    </row>
    <row r="95">
      <c r="A95" s="4" t="inlineStr"/>
      <c r="B95" s="5" t="inlineStr">
        <is>
          <t>September</t>
        </is>
      </c>
    </row>
    <row r="96">
      <c r="A96" s="15" t="inlineStr">
        <is>
          <t>Paid in the month</t>
        </is>
      </c>
      <c r="B96" s="16" t="n">
        <v>6100</v>
      </c>
    </row>
    <row r="97"/>
    <row r="98"/>
    <row r="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3" manualBreakCount="3">
    <brk id="23" min="0" max="16383" man="1"/>
    <brk id="51" min="0" max="16383" man="1"/>
    <brk id="74"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8:41am</t>
        </is>
      </c>
    </row>
    <row r="4"/>
    <row r="5">
      <c r="A5" s="4" t="inlineStr">
        <is>
          <t>Date</t>
        </is>
      </c>
      <c r="B5" s="5" t="inlineStr">
        <is>
          <t>Actual or forecast</t>
        </is>
      </c>
      <c r="C5" s="5" t="inlineStr">
        <is>
          <t>Money in</t>
        </is>
      </c>
      <c r="D5" s="5" t="inlineStr">
        <is>
          <t>Money out</t>
        </is>
      </c>
      <c r="E5" s="5" t="inlineStr">
        <is>
          <t>Cash at bank</t>
        </is>
      </c>
    </row>
    <row r="6">
      <c r="A6" s="17" t="inlineStr">
        <is>
          <t>2026-09-01</t>
        </is>
      </c>
      <c r="B6" s="17" t="inlineStr">
        <is>
          <t>Forecast</t>
        </is>
      </c>
      <c r="C6" s="14" t="n">
        <v>0</v>
      </c>
      <c r="D6" s="14" t="n">
        <v>0</v>
      </c>
      <c r="E6" s="14" t="n">
        <v>92859</v>
      </c>
    </row>
    <row r="7">
      <c r="A7" s="17" t="inlineStr">
        <is>
          <t>2026-09-02</t>
        </is>
      </c>
      <c r="B7" s="17" t="inlineStr">
        <is>
          <t>Forecast</t>
        </is>
      </c>
      <c r="C7" s="14" t="n">
        <v>0</v>
      </c>
      <c r="D7" s="14" t="n">
        <v>0</v>
      </c>
      <c r="E7" s="14" t="n">
        <v>92859</v>
      </c>
    </row>
    <row r="8">
      <c r="A8" s="17" t="inlineStr">
        <is>
          <t>2026-09-03</t>
        </is>
      </c>
      <c r="B8" s="17" t="inlineStr">
        <is>
          <t>Forecast</t>
        </is>
      </c>
      <c r="C8" s="14" t="n">
        <v>0</v>
      </c>
      <c r="D8" s="14" t="n">
        <v>-36611</v>
      </c>
      <c r="E8" s="14" t="n">
        <v>56248</v>
      </c>
    </row>
    <row r="9">
      <c r="A9" s="17" t="inlineStr">
        <is>
          <t>2026-09-04</t>
        </is>
      </c>
      <c r="B9" s="17" t="inlineStr">
        <is>
          <t>Forecast</t>
        </is>
      </c>
      <c r="C9" s="14" t="n">
        <v>1535</v>
      </c>
      <c r="D9" s="14" t="n">
        <v>0</v>
      </c>
      <c r="E9" s="14" t="n">
        <v>57783</v>
      </c>
    </row>
    <row r="10">
      <c r="A10" s="17" t="inlineStr">
        <is>
          <t>2026-09-05</t>
        </is>
      </c>
      <c r="B10" s="17" t="inlineStr">
        <is>
          <t>Forecast</t>
        </is>
      </c>
      <c r="C10" s="14" t="n">
        <v>0</v>
      </c>
      <c r="D10" s="14" t="n">
        <v>0</v>
      </c>
      <c r="E10" s="14" t="n">
        <v>57783</v>
      </c>
    </row>
    <row r="11">
      <c r="A11" s="17" t="inlineStr">
        <is>
          <t>2026-09-06</t>
        </is>
      </c>
      <c r="B11" s="17" t="inlineStr">
        <is>
          <t>Forecast</t>
        </is>
      </c>
      <c r="C11" s="14" t="n">
        <v>0</v>
      </c>
      <c r="D11" s="14" t="n">
        <v>0</v>
      </c>
      <c r="E11" s="14" t="n">
        <v>57783</v>
      </c>
    </row>
    <row r="12">
      <c r="A12" s="17" t="inlineStr">
        <is>
          <t>2026-09-07</t>
        </is>
      </c>
      <c r="B12" s="17" t="inlineStr">
        <is>
          <t>Forecast</t>
        </is>
      </c>
      <c r="C12" s="14" t="n">
        <v>76692</v>
      </c>
      <c r="D12" s="14" t="n">
        <v>0</v>
      </c>
      <c r="E12" s="14" t="n">
        <v>134475</v>
      </c>
    </row>
    <row r="13">
      <c r="A13" s="17" t="inlineStr">
        <is>
          <t>2026-09-08</t>
        </is>
      </c>
      <c r="B13" s="17" t="inlineStr">
        <is>
          <t>Forecast</t>
        </is>
      </c>
      <c r="C13" s="14" t="n">
        <v>0</v>
      </c>
      <c r="D13" s="14" t="n">
        <v>0</v>
      </c>
      <c r="E13" s="14" t="n">
        <v>134475</v>
      </c>
    </row>
    <row r="14">
      <c r="A14" s="17" t="inlineStr">
        <is>
          <t>2026-09-09</t>
        </is>
      </c>
      <c r="B14" s="17" t="inlineStr">
        <is>
          <t>Forecast</t>
        </is>
      </c>
      <c r="C14" s="14" t="n">
        <v>0</v>
      </c>
      <c r="D14" s="14" t="n">
        <v>0</v>
      </c>
      <c r="E14" s="14" t="n">
        <v>134475</v>
      </c>
    </row>
    <row r="15">
      <c r="A15" s="17" t="inlineStr">
        <is>
          <t>2026-09-10</t>
        </is>
      </c>
      <c r="B15" s="17" t="inlineStr">
        <is>
          <t>Forecast</t>
        </is>
      </c>
      <c r="C15" s="14" t="n">
        <v>1536</v>
      </c>
      <c r="D15" s="14" t="n">
        <v>0</v>
      </c>
      <c r="E15" s="14" t="n">
        <v>136011</v>
      </c>
    </row>
    <row r="16">
      <c r="A16" s="17" t="inlineStr">
        <is>
          <t>2026-09-11</t>
        </is>
      </c>
      <c r="B16" s="17" t="inlineStr">
        <is>
          <t>Forecast</t>
        </is>
      </c>
      <c r="C16" s="14" t="n">
        <v>1535</v>
      </c>
      <c r="D16" s="14" t="n">
        <v>0</v>
      </c>
      <c r="E16" s="14" t="n">
        <v>137546</v>
      </c>
    </row>
    <row r="17">
      <c r="A17" s="17" t="inlineStr">
        <is>
          <t>2026-09-12</t>
        </is>
      </c>
      <c r="B17" s="17" t="inlineStr">
        <is>
          <t>Forecast</t>
        </is>
      </c>
      <c r="C17" s="14" t="n">
        <v>0</v>
      </c>
      <c r="D17" s="14" t="n">
        <v>0</v>
      </c>
      <c r="E17" s="14" t="n">
        <v>137546</v>
      </c>
    </row>
    <row r="18">
      <c r="A18" s="17" t="inlineStr">
        <is>
          <t>2026-09-13</t>
        </is>
      </c>
      <c r="B18" s="17" t="inlineStr">
        <is>
          <t>Forecast</t>
        </is>
      </c>
      <c r="C18" s="14" t="n">
        <v>0</v>
      </c>
      <c r="D18" s="14" t="n">
        <v>0</v>
      </c>
      <c r="E18" s="14" t="n">
        <v>137546</v>
      </c>
    </row>
    <row r="19">
      <c r="A19" s="17" t="inlineStr">
        <is>
          <t>2026-09-14</t>
        </is>
      </c>
      <c r="B19" s="17" t="inlineStr">
        <is>
          <t>Forecast</t>
        </is>
      </c>
      <c r="C19" s="14" t="n">
        <v>30896</v>
      </c>
      <c r="D19" s="14" t="n">
        <v>0</v>
      </c>
      <c r="E19" s="14" t="n">
        <v>168442</v>
      </c>
    </row>
    <row r="20">
      <c r="A20" s="17" t="inlineStr">
        <is>
          <t>2026-09-15</t>
        </is>
      </c>
      <c r="B20" s="17" t="inlineStr">
        <is>
          <t>Forecast</t>
        </is>
      </c>
      <c r="C20" s="14" t="n">
        <v>0</v>
      </c>
      <c r="D20" s="14" t="n">
        <v>-51166</v>
      </c>
      <c r="E20" s="14" t="n">
        <v>117276</v>
      </c>
    </row>
    <row r="21">
      <c r="A21" s="17" t="inlineStr">
        <is>
          <t>2026-09-16</t>
        </is>
      </c>
      <c r="B21" s="17" t="inlineStr">
        <is>
          <t>Forecast</t>
        </is>
      </c>
      <c r="C21" s="14" t="n">
        <v>0</v>
      </c>
      <c r="D21" s="14" t="n">
        <v>0</v>
      </c>
      <c r="E21" s="14" t="n">
        <v>117276</v>
      </c>
    </row>
    <row r="22">
      <c r="A22" s="17" t="inlineStr">
        <is>
          <t>2026-09-17</t>
        </is>
      </c>
      <c r="B22" s="17" t="inlineStr">
        <is>
          <t>Forecast</t>
        </is>
      </c>
      <c r="C22" s="14" t="n">
        <v>1535</v>
      </c>
      <c r="D22" s="14" t="n">
        <v>-36611</v>
      </c>
      <c r="E22" s="14" t="n">
        <v>82200</v>
      </c>
    </row>
    <row r="23">
      <c r="A23" s="17" t="inlineStr">
        <is>
          <t>2026-09-18</t>
        </is>
      </c>
      <c r="B23" s="17" t="inlineStr">
        <is>
          <t>Forecast</t>
        </is>
      </c>
      <c r="C23" s="14" t="n">
        <v>22216</v>
      </c>
      <c r="D23" s="14" t="n">
        <v>0</v>
      </c>
      <c r="E23" s="14" t="n">
        <v>104416</v>
      </c>
    </row>
    <row r="24">
      <c r="A24" s="17" t="inlineStr">
        <is>
          <t>2026-09-19</t>
        </is>
      </c>
      <c r="B24" s="17" t="inlineStr">
        <is>
          <t>Forecast</t>
        </is>
      </c>
      <c r="C24" s="14" t="n">
        <v>0</v>
      </c>
      <c r="D24" s="14" t="n">
        <v>0</v>
      </c>
      <c r="E24" s="14" t="n">
        <v>104416</v>
      </c>
    </row>
    <row r="25">
      <c r="A25" s="17" t="inlineStr">
        <is>
          <t>2026-09-20</t>
        </is>
      </c>
      <c r="B25" s="17" t="inlineStr">
        <is>
          <t>Forecast</t>
        </is>
      </c>
      <c r="C25" s="14" t="n">
        <v>0</v>
      </c>
      <c r="D25" s="14" t="n">
        <v>0</v>
      </c>
      <c r="E25" s="14" t="n">
        <v>104416</v>
      </c>
    </row>
    <row r="26">
      <c r="A26" s="17" t="inlineStr">
        <is>
          <t>2026-09-21</t>
        </is>
      </c>
      <c r="B26" s="17" t="inlineStr">
        <is>
          <t>Forecast</t>
        </is>
      </c>
      <c r="C26" s="14" t="n">
        <v>4606</v>
      </c>
      <c r="D26" s="14" t="n">
        <v>0</v>
      </c>
      <c r="E26" s="14" t="n">
        <v>109022</v>
      </c>
    </row>
    <row r="27">
      <c r="A27" s="17" t="inlineStr">
        <is>
          <t>2026-09-22</t>
        </is>
      </c>
      <c r="B27" s="17" t="inlineStr">
        <is>
          <t>Forecast</t>
        </is>
      </c>
      <c r="C27" s="14" t="n">
        <v>0</v>
      </c>
      <c r="D27" s="14" t="n">
        <v>0</v>
      </c>
      <c r="E27" s="14" t="n">
        <v>109022</v>
      </c>
    </row>
    <row r="28">
      <c r="A28" s="17" t="inlineStr">
        <is>
          <t>2026-09-23</t>
        </is>
      </c>
      <c r="B28" s="17" t="inlineStr">
        <is>
          <t>Forecast</t>
        </is>
      </c>
      <c r="C28" s="14" t="n">
        <v>24200</v>
      </c>
      <c r="D28" s="14" t="n">
        <v>0</v>
      </c>
      <c r="E28" s="14" t="n">
        <v>133222</v>
      </c>
    </row>
    <row r="29">
      <c r="A29" s="17" t="inlineStr">
        <is>
          <t>2026-09-24</t>
        </is>
      </c>
      <c r="B29" s="17" t="inlineStr">
        <is>
          <t>Forecast</t>
        </is>
      </c>
      <c r="C29" s="14" t="n">
        <v>1535</v>
      </c>
      <c r="D29" s="14" t="n">
        <v>0</v>
      </c>
      <c r="E29" s="14" t="n">
        <v>134757</v>
      </c>
    </row>
    <row r="30">
      <c r="A30" s="17" t="inlineStr">
        <is>
          <t>2026-09-25</t>
        </is>
      </c>
      <c r="B30" s="17" t="inlineStr">
        <is>
          <t>Forecast</t>
        </is>
      </c>
      <c r="C30" s="14" t="n">
        <v>1535</v>
      </c>
      <c r="D30" s="14" t="n">
        <v>0</v>
      </c>
      <c r="E30" s="14" t="n">
        <v>136292</v>
      </c>
    </row>
    <row r="31">
      <c r="A31" s="17" t="inlineStr">
        <is>
          <t>2026-09-26</t>
        </is>
      </c>
      <c r="B31" s="17" t="inlineStr">
        <is>
          <t>Forecast</t>
        </is>
      </c>
      <c r="C31" s="14" t="n">
        <v>0</v>
      </c>
      <c r="D31" s="14" t="n">
        <v>0</v>
      </c>
      <c r="E31" s="14" t="n">
        <v>136292</v>
      </c>
    </row>
    <row r="32">
      <c r="A32" s="17" t="inlineStr">
        <is>
          <t>2026-09-27</t>
        </is>
      </c>
      <c r="B32" s="17" t="inlineStr">
        <is>
          <t>Forecast</t>
        </is>
      </c>
      <c r="C32" s="14" t="n">
        <v>0</v>
      </c>
      <c r="D32" s="14" t="n">
        <v>0</v>
      </c>
      <c r="E32" s="14" t="n">
        <v>136292</v>
      </c>
    </row>
    <row r="33">
      <c r="A33" s="17" t="inlineStr">
        <is>
          <t>2026-09-28</t>
        </is>
      </c>
      <c r="B33" s="17" t="inlineStr">
        <is>
          <t>Forecast</t>
        </is>
      </c>
      <c r="C33" s="14" t="n">
        <v>21106</v>
      </c>
      <c r="D33" s="14" t="n">
        <v>-5000</v>
      </c>
      <c r="E33" s="14" t="n">
        <v>152398</v>
      </c>
    </row>
    <row r="34">
      <c r="A34" s="17" t="inlineStr">
        <is>
          <t>2026-09-29</t>
        </is>
      </c>
      <c r="B34" s="17" t="inlineStr">
        <is>
          <t>Forecast</t>
        </is>
      </c>
      <c r="C34" s="14" t="n">
        <v>0</v>
      </c>
      <c r="D34" s="14" t="n">
        <v>0</v>
      </c>
      <c r="E34" s="14" t="n">
        <v>152398</v>
      </c>
    </row>
    <row r="35">
      <c r="A35" s="17" t="inlineStr">
        <is>
          <t>2026-09-30</t>
        </is>
      </c>
      <c r="B35" s="17" t="inlineStr">
        <is>
          <t>Forecast</t>
        </is>
      </c>
      <c r="C35" s="14" t="n">
        <v>0</v>
      </c>
      <c r="D35" s="14" t="n">
        <v>-52267</v>
      </c>
      <c r="E35" s="14" t="n">
        <v>100131</v>
      </c>
    </row>
    <row r="36">
      <c r="A36" s="17" t="inlineStr">
        <is>
          <t>2026-10-01</t>
        </is>
      </c>
      <c r="B36" s="17" t="inlineStr">
        <is>
          <t>Forecast</t>
        </is>
      </c>
      <c r="C36" s="14" t="n">
        <v>57875</v>
      </c>
      <c r="D36" s="14" t="n">
        <v>-36611</v>
      </c>
      <c r="E36" s="14" t="n">
        <v>121395</v>
      </c>
    </row>
    <row r="37">
      <c r="A37" s="17" t="inlineStr">
        <is>
          <t>2026-10-02</t>
        </is>
      </c>
      <c r="B37" s="17" t="inlineStr">
        <is>
          <t>Forecast</t>
        </is>
      </c>
      <c r="C37" s="14" t="n">
        <v>7990</v>
      </c>
      <c r="D37" s="14" t="n">
        <v>0</v>
      </c>
      <c r="E37" s="14" t="n">
        <v>129385</v>
      </c>
    </row>
    <row r="38">
      <c r="A38" s="17" t="inlineStr">
        <is>
          <t>2026-10-03</t>
        </is>
      </c>
      <c r="B38" s="17" t="inlineStr">
        <is>
          <t>Forecast</t>
        </is>
      </c>
      <c r="C38" s="14" t="n">
        <v>0</v>
      </c>
      <c r="D38" s="14" t="n">
        <v>0</v>
      </c>
      <c r="E38" s="14" t="n">
        <v>129385</v>
      </c>
    </row>
    <row r="39">
      <c r="A39" s="17" t="inlineStr">
        <is>
          <t>2026-10-04</t>
        </is>
      </c>
      <c r="B39" s="17" t="inlineStr">
        <is>
          <t>Forecast</t>
        </is>
      </c>
      <c r="C39" s="14" t="n">
        <v>0</v>
      </c>
      <c r="D39" s="14" t="n">
        <v>0</v>
      </c>
      <c r="E39" s="14" t="n">
        <v>129385</v>
      </c>
    </row>
    <row r="40">
      <c r="A40" s="17" t="inlineStr">
        <is>
          <t>2026-10-05</t>
        </is>
      </c>
      <c r="B40" s="17" t="inlineStr">
        <is>
          <t>Forecast</t>
        </is>
      </c>
      <c r="C40" s="14" t="n">
        <v>0</v>
      </c>
      <c r="D40" s="14" t="n">
        <v>0</v>
      </c>
      <c r="E40" s="14" t="n">
        <v>129385</v>
      </c>
    </row>
    <row r="41">
      <c r="A41" s="17" t="inlineStr">
        <is>
          <t>2026-10-06</t>
        </is>
      </c>
      <c r="B41" s="17" t="inlineStr">
        <is>
          <t>Forecast</t>
        </is>
      </c>
      <c r="C41" s="14" t="n">
        <v>17515</v>
      </c>
      <c r="D41" s="14" t="n">
        <v>0</v>
      </c>
      <c r="E41" s="14" t="n">
        <v>146900</v>
      </c>
    </row>
    <row r="42">
      <c r="A42" s="17" t="inlineStr">
        <is>
          <t>2026-10-07</t>
        </is>
      </c>
      <c r="B42" s="17" t="inlineStr">
        <is>
          <t>Forecast</t>
        </is>
      </c>
      <c r="C42" s="14" t="n">
        <v>6454</v>
      </c>
      <c r="D42" s="14" t="n">
        <v>0</v>
      </c>
      <c r="E42" s="14" t="n">
        <v>153354</v>
      </c>
    </row>
    <row r="43">
      <c r="A43" s="17" t="inlineStr">
        <is>
          <t>2026-10-08</t>
        </is>
      </c>
      <c r="B43" s="17" t="inlineStr">
        <is>
          <t>Forecast</t>
        </is>
      </c>
      <c r="C43" s="14" t="n">
        <v>6455</v>
      </c>
      <c r="D43" s="14" t="n">
        <v>0</v>
      </c>
      <c r="E43" s="14" t="n">
        <v>159809</v>
      </c>
    </row>
    <row r="44">
      <c r="A44" s="17" t="inlineStr">
        <is>
          <t>2026-10-09</t>
        </is>
      </c>
      <c r="B44" s="17" t="inlineStr">
        <is>
          <t>Forecast</t>
        </is>
      </c>
      <c r="C44" s="14" t="n">
        <v>7990</v>
      </c>
      <c r="D44" s="14" t="n">
        <v>0</v>
      </c>
      <c r="E44" s="14" t="n">
        <v>167799</v>
      </c>
    </row>
    <row r="45">
      <c r="A45" s="17" t="inlineStr">
        <is>
          <t>2026-10-10</t>
        </is>
      </c>
      <c r="B45" s="17" t="inlineStr">
        <is>
          <t>Forecast</t>
        </is>
      </c>
      <c r="C45" s="14" t="n">
        <v>0</v>
      </c>
      <c r="D45" s="14" t="n">
        <v>0</v>
      </c>
      <c r="E45" s="14" t="n">
        <v>167799</v>
      </c>
    </row>
    <row r="46">
      <c r="A46" s="17" t="inlineStr">
        <is>
          <t>2026-10-11</t>
        </is>
      </c>
      <c r="B46" s="17" t="inlineStr">
        <is>
          <t>Forecast</t>
        </is>
      </c>
      <c r="C46" s="14" t="n">
        <v>0</v>
      </c>
      <c r="D46" s="14" t="n">
        <v>0</v>
      </c>
      <c r="E46" s="14" t="n">
        <v>167799</v>
      </c>
    </row>
    <row r="47">
      <c r="A47" s="17" t="inlineStr">
        <is>
          <t>2026-10-12</t>
        </is>
      </c>
      <c r="B47" s="17" t="inlineStr">
        <is>
          <t>Forecast</t>
        </is>
      </c>
      <c r="C47" s="14" t="n">
        <v>17515</v>
      </c>
      <c r="D47" s="14" t="n">
        <v>0</v>
      </c>
      <c r="E47" s="14" t="n">
        <v>185314</v>
      </c>
    </row>
    <row r="48">
      <c r="A48" s="17" t="inlineStr">
        <is>
          <t>2026-10-13</t>
        </is>
      </c>
      <c r="B48" s="17" t="inlineStr">
        <is>
          <t>Forecast</t>
        </is>
      </c>
      <c r="C48" s="14" t="n">
        <v>0</v>
      </c>
      <c r="D48" s="14" t="n">
        <v>0</v>
      </c>
      <c r="E48" s="14" t="n">
        <v>185314</v>
      </c>
    </row>
    <row r="49">
      <c r="A49" s="17" t="inlineStr">
        <is>
          <t>2026-10-14</t>
        </is>
      </c>
      <c r="B49" s="17" t="inlineStr">
        <is>
          <t>Forecast</t>
        </is>
      </c>
      <c r="C49" s="14" t="n">
        <v>6454</v>
      </c>
      <c r="D49" s="14" t="n">
        <v>0</v>
      </c>
      <c r="E49" s="14" t="n">
        <v>191768</v>
      </c>
    </row>
    <row r="50">
      <c r="A50" s="17" t="inlineStr">
        <is>
          <t>2026-10-15</t>
        </is>
      </c>
      <c r="B50" s="17" t="inlineStr">
        <is>
          <t>Forecast</t>
        </is>
      </c>
      <c r="C50" s="14" t="n">
        <v>7990</v>
      </c>
      <c r="D50" s="14" t="n">
        <v>-87777</v>
      </c>
      <c r="E50" s="14" t="n">
        <v>111981</v>
      </c>
    </row>
    <row r="51">
      <c r="A51" s="17" t="inlineStr">
        <is>
          <t>2026-10-16</t>
        </is>
      </c>
      <c r="B51" s="17" t="inlineStr">
        <is>
          <t>Forecast</t>
        </is>
      </c>
      <c r="C51" s="14" t="n">
        <v>7990</v>
      </c>
      <c r="D51" s="14" t="n">
        <v>0</v>
      </c>
      <c r="E51" s="14" t="n">
        <v>119971</v>
      </c>
    </row>
    <row r="52">
      <c r="A52" s="17" t="inlineStr">
        <is>
          <t>2026-10-17</t>
        </is>
      </c>
      <c r="B52" s="17" t="inlineStr">
        <is>
          <t>Forecast</t>
        </is>
      </c>
      <c r="C52" s="14" t="n">
        <v>0</v>
      </c>
      <c r="D52" s="14" t="n">
        <v>0</v>
      </c>
      <c r="E52" s="14" t="n">
        <v>119971</v>
      </c>
    </row>
    <row r="53">
      <c r="A53" s="17" t="inlineStr">
        <is>
          <t>2026-10-18</t>
        </is>
      </c>
      <c r="B53" s="17" t="inlineStr">
        <is>
          <t>Forecast</t>
        </is>
      </c>
      <c r="C53" s="14" t="n">
        <v>0</v>
      </c>
      <c r="D53" s="14" t="n">
        <v>0</v>
      </c>
      <c r="E53" s="14" t="n">
        <v>119971</v>
      </c>
    </row>
    <row r="54">
      <c r="A54" s="17" t="inlineStr">
        <is>
          <t>2026-10-19</t>
        </is>
      </c>
      <c r="B54" s="17" t="inlineStr">
        <is>
          <t>Forecast</t>
        </is>
      </c>
      <c r="C54" s="14" t="n">
        <v>17515</v>
      </c>
      <c r="D54" s="14" t="n">
        <v>0</v>
      </c>
      <c r="E54" s="14" t="n">
        <v>137486</v>
      </c>
    </row>
    <row r="55">
      <c r="A55" s="17" t="inlineStr">
        <is>
          <t>2026-10-20</t>
        </is>
      </c>
      <c r="B55" s="17" t="inlineStr">
        <is>
          <t>Forecast</t>
        </is>
      </c>
      <c r="C55" s="14" t="n">
        <v>0</v>
      </c>
      <c r="D55" s="14" t="n">
        <v>0</v>
      </c>
      <c r="E55" s="14" t="n">
        <v>137486</v>
      </c>
    </row>
    <row r="56">
      <c r="A56" s="17" t="inlineStr">
        <is>
          <t>2026-10-21</t>
        </is>
      </c>
      <c r="B56" s="17" t="inlineStr">
        <is>
          <t>Forecast</t>
        </is>
      </c>
      <c r="C56" s="14" t="n">
        <v>6454</v>
      </c>
      <c r="D56" s="14" t="n">
        <v>0</v>
      </c>
      <c r="E56" s="14" t="n">
        <v>143940</v>
      </c>
    </row>
    <row r="57">
      <c r="A57" s="17" t="inlineStr">
        <is>
          <t>2026-10-22</t>
        </is>
      </c>
      <c r="B57" s="17" t="inlineStr">
        <is>
          <t>Forecast</t>
        </is>
      </c>
      <c r="C57" s="14" t="n">
        <v>7990</v>
      </c>
      <c r="D57" s="14" t="n">
        <v>0</v>
      </c>
      <c r="E57" s="14" t="n">
        <v>151930</v>
      </c>
    </row>
    <row r="58">
      <c r="A58" s="17" t="inlineStr">
        <is>
          <t>2026-10-23</t>
        </is>
      </c>
      <c r="B58" s="17" t="inlineStr">
        <is>
          <t>Forecast</t>
        </is>
      </c>
      <c r="C58" s="14" t="n">
        <v>7990</v>
      </c>
      <c r="D58" s="14" t="n">
        <v>0</v>
      </c>
      <c r="E58" s="14" t="n">
        <v>159920</v>
      </c>
    </row>
    <row r="59">
      <c r="A59" s="17" t="inlineStr">
        <is>
          <t>2026-10-24</t>
        </is>
      </c>
      <c r="B59" s="17" t="inlineStr">
        <is>
          <t>Forecast</t>
        </is>
      </c>
      <c r="C59" s="14" t="n">
        <v>0</v>
      </c>
      <c r="D59" s="14" t="n">
        <v>0</v>
      </c>
      <c r="E59" s="14" t="n">
        <v>159920</v>
      </c>
    </row>
    <row r="60">
      <c r="A60" s="17" t="inlineStr">
        <is>
          <t>2026-10-25</t>
        </is>
      </c>
      <c r="B60" s="17" t="inlineStr">
        <is>
          <t>Forecast</t>
        </is>
      </c>
      <c r="C60" s="14" t="n">
        <v>0</v>
      </c>
      <c r="D60" s="14" t="n">
        <v>0</v>
      </c>
      <c r="E60" s="14" t="n">
        <v>159920</v>
      </c>
    </row>
    <row r="61">
      <c r="A61" s="17" t="inlineStr">
        <is>
          <t>2026-10-26</t>
        </is>
      </c>
      <c r="B61" s="17" t="inlineStr">
        <is>
          <t>Forecast</t>
        </is>
      </c>
      <c r="C61" s="14" t="n">
        <v>17515</v>
      </c>
      <c r="D61" s="14" t="n">
        <v>0</v>
      </c>
      <c r="E61" s="14" t="n">
        <v>177435</v>
      </c>
    </row>
    <row r="62">
      <c r="A62" s="17" t="inlineStr">
        <is>
          <t>2026-10-27</t>
        </is>
      </c>
      <c r="B62" s="17" t="inlineStr">
        <is>
          <t>Forecast</t>
        </is>
      </c>
      <c r="C62" s="14" t="n">
        <v>0</v>
      </c>
      <c r="D62" s="14" t="n">
        <v>0</v>
      </c>
      <c r="E62" s="14" t="n">
        <v>177435</v>
      </c>
    </row>
    <row r="63">
      <c r="A63" s="17" t="inlineStr">
        <is>
          <t>2026-10-28</t>
        </is>
      </c>
      <c r="B63" s="17" t="inlineStr">
        <is>
          <t>Forecast</t>
        </is>
      </c>
      <c r="C63" s="14" t="n">
        <v>6454</v>
      </c>
      <c r="D63" s="14" t="n">
        <v>-91220</v>
      </c>
      <c r="E63" s="14" t="n">
        <v>92669</v>
      </c>
    </row>
    <row r="64">
      <c r="A64" s="17" t="inlineStr">
        <is>
          <t>2026-10-29</t>
        </is>
      </c>
      <c r="B64" s="17" t="inlineStr">
        <is>
          <t>Forecast</t>
        </is>
      </c>
      <c r="C64" s="14" t="n">
        <v>7990</v>
      </c>
      <c r="D64" s="14" t="n">
        <v>-36611</v>
      </c>
      <c r="E64" s="14" t="n">
        <v>64048</v>
      </c>
    </row>
    <row r="65">
      <c r="A65" s="17" t="inlineStr">
        <is>
          <t>2026-10-30</t>
        </is>
      </c>
      <c r="B65" s="17" t="inlineStr">
        <is>
          <t>Forecast</t>
        </is>
      </c>
      <c r="C65" s="14" t="n">
        <v>7990</v>
      </c>
      <c r="D65" s="14" t="n">
        <v>0</v>
      </c>
      <c r="E65" s="14" t="n">
        <v>72038</v>
      </c>
    </row>
    <row r="66">
      <c r="A66" s="17" t="inlineStr">
        <is>
          <t>2026-10-31</t>
        </is>
      </c>
      <c r="B66" s="17" t="inlineStr">
        <is>
          <t>Forecast</t>
        </is>
      </c>
      <c r="C66" s="14" t="n">
        <v>0</v>
      </c>
      <c r="D66" s="14" t="n">
        <v>0</v>
      </c>
      <c r="E66" s="14" t="n">
        <v>72038</v>
      </c>
    </row>
    <row r="67">
      <c r="A67" s="17" t="inlineStr">
        <is>
          <t>2026-11-01</t>
        </is>
      </c>
      <c r="B67" s="17" t="inlineStr">
        <is>
          <t>Forecast</t>
        </is>
      </c>
      <c r="C67" s="14" t="n">
        <v>0</v>
      </c>
      <c r="D67" s="14" t="n">
        <v>0</v>
      </c>
      <c r="E67" s="14" t="n">
        <v>72038</v>
      </c>
    </row>
    <row r="68">
      <c r="A68" s="17" t="inlineStr">
        <is>
          <t>2026-11-02</t>
        </is>
      </c>
      <c r="B68" s="17" t="inlineStr">
        <is>
          <t>Forecast</t>
        </is>
      </c>
      <c r="C68" s="14" t="n">
        <v>67400</v>
      </c>
      <c r="D68" s="14" t="n">
        <v>-52267</v>
      </c>
      <c r="E68" s="14" t="n">
        <v>87171</v>
      </c>
    </row>
    <row r="69">
      <c r="A69" s="17" t="inlineStr">
        <is>
          <t>2026-11-03</t>
        </is>
      </c>
      <c r="B69" s="17" t="inlineStr">
        <is>
          <t>Forecast</t>
        </is>
      </c>
      <c r="C69" s="14" t="n">
        <v>0</v>
      </c>
      <c r="D69" s="14" t="n">
        <v>0</v>
      </c>
      <c r="E69" s="14" t="n">
        <v>87171</v>
      </c>
    </row>
    <row r="70">
      <c r="A70" s="17" t="inlineStr">
        <is>
          <t>2026-11-04</t>
        </is>
      </c>
      <c r="B70" s="17" t="inlineStr">
        <is>
          <t>Forecast</t>
        </is>
      </c>
      <c r="C70" s="14" t="n">
        <v>0</v>
      </c>
      <c r="D70" s="14" t="n">
        <v>0</v>
      </c>
      <c r="E70" s="14" t="n">
        <v>87171</v>
      </c>
    </row>
    <row r="71">
      <c r="A71" s="17" t="inlineStr">
        <is>
          <t>2026-11-05</t>
        </is>
      </c>
      <c r="B71" s="17" t="inlineStr">
        <is>
          <t>Forecast</t>
        </is>
      </c>
      <c r="C71" s="14" t="n">
        <v>7989</v>
      </c>
      <c r="D71" s="14" t="n">
        <v>0</v>
      </c>
      <c r="E71" s="14" t="n">
        <v>95160</v>
      </c>
    </row>
    <row r="72">
      <c r="A72" s="17" t="inlineStr">
        <is>
          <t>2026-11-06</t>
        </is>
      </c>
      <c r="B72" s="17" t="inlineStr">
        <is>
          <t>Forecast</t>
        </is>
      </c>
      <c r="C72" s="14" t="n">
        <v>7990</v>
      </c>
      <c r="D72" s="14" t="n">
        <v>0</v>
      </c>
      <c r="E72" s="14" t="n">
        <v>103150</v>
      </c>
    </row>
    <row r="73">
      <c r="A73" s="17" t="inlineStr">
        <is>
          <t>2026-11-07</t>
        </is>
      </c>
      <c r="B73" s="17" t="inlineStr">
        <is>
          <t>Forecast</t>
        </is>
      </c>
      <c r="C73" s="14" t="n">
        <v>0</v>
      </c>
      <c r="D73" s="14" t="n">
        <v>0</v>
      </c>
      <c r="E73" s="14" t="n">
        <v>103150</v>
      </c>
    </row>
    <row r="74">
      <c r="A74" s="17" t="inlineStr">
        <is>
          <t>2026-11-08</t>
        </is>
      </c>
      <c r="B74" s="17" t="inlineStr">
        <is>
          <t>Forecast</t>
        </is>
      </c>
      <c r="C74" s="14" t="n">
        <v>0</v>
      </c>
      <c r="D74" s="14" t="n">
        <v>0</v>
      </c>
      <c r="E74" s="14" t="n">
        <v>103150</v>
      </c>
    </row>
    <row r="75">
      <c r="A75" s="17" t="inlineStr">
        <is>
          <t>2026-11-09</t>
        </is>
      </c>
      <c r="B75" s="17" t="inlineStr">
        <is>
          <t>Forecast</t>
        </is>
      </c>
      <c r="C75" s="14" t="n">
        <v>17515</v>
      </c>
      <c r="D75" s="14" t="n">
        <v>0</v>
      </c>
      <c r="E75" s="14" t="n">
        <v>120665</v>
      </c>
    </row>
    <row r="76">
      <c r="A76" s="17" t="inlineStr">
        <is>
          <t>2026-11-10</t>
        </is>
      </c>
      <c r="B76" s="17" t="inlineStr">
        <is>
          <t>Forecast</t>
        </is>
      </c>
      <c r="C76" s="14" t="n">
        <v>0</v>
      </c>
      <c r="D76" s="14" t="n">
        <v>0</v>
      </c>
      <c r="E76" s="14" t="n">
        <v>120665</v>
      </c>
    </row>
    <row r="77">
      <c r="A77" s="17" t="inlineStr">
        <is>
          <t>2026-11-11</t>
        </is>
      </c>
      <c r="B77" s="17" t="inlineStr">
        <is>
          <t>Forecast</t>
        </is>
      </c>
      <c r="C77" s="14" t="n">
        <v>6455</v>
      </c>
      <c r="D77" s="14" t="n">
        <v>0</v>
      </c>
      <c r="E77" s="14" t="n">
        <v>127120</v>
      </c>
    </row>
    <row r="78">
      <c r="A78" s="17" t="inlineStr">
        <is>
          <t>2026-11-12</t>
        </is>
      </c>
      <c r="B78" s="17" t="inlineStr">
        <is>
          <t>Forecast</t>
        </is>
      </c>
      <c r="C78" s="14" t="n">
        <v>7989</v>
      </c>
      <c r="D78" s="14" t="n">
        <v>-36611</v>
      </c>
      <c r="E78" s="14" t="n">
        <v>98498</v>
      </c>
    </row>
    <row r="79">
      <c r="A79" s="17" t="inlineStr">
        <is>
          <t>2026-11-13</t>
        </is>
      </c>
      <c r="B79" s="17" t="inlineStr">
        <is>
          <t>Forecast</t>
        </is>
      </c>
      <c r="C79" s="14" t="n">
        <v>7990</v>
      </c>
      <c r="D79" s="14" t="n">
        <v>0</v>
      </c>
      <c r="E79" s="14" t="n">
        <v>106488</v>
      </c>
    </row>
    <row r="80">
      <c r="A80" s="17" t="inlineStr">
        <is>
          <t>2026-11-14</t>
        </is>
      </c>
      <c r="B80" s="17" t="inlineStr">
        <is>
          <t>Forecast</t>
        </is>
      </c>
      <c r="C80" s="14" t="n">
        <v>0</v>
      </c>
      <c r="D80" s="14" t="n">
        <v>0</v>
      </c>
      <c r="E80" s="14" t="n">
        <v>106488</v>
      </c>
    </row>
    <row r="81">
      <c r="A81" s="17" t="inlineStr">
        <is>
          <t>2026-11-15</t>
        </is>
      </c>
      <c r="B81" s="17" t="inlineStr">
        <is>
          <t>Forecast</t>
        </is>
      </c>
      <c r="C81" s="14" t="n">
        <v>0</v>
      </c>
      <c r="D81" s="14" t="n">
        <v>0</v>
      </c>
      <c r="E81" s="14" t="n">
        <v>106488</v>
      </c>
    </row>
    <row r="82">
      <c r="A82" s="17" t="inlineStr">
        <is>
          <t>2026-11-16</t>
        </is>
      </c>
      <c r="B82" s="17" t="inlineStr">
        <is>
          <t>Forecast</t>
        </is>
      </c>
      <c r="C82" s="14" t="n">
        <v>17515</v>
      </c>
      <c r="D82" s="14" t="n">
        <v>-51166</v>
      </c>
      <c r="E82" s="14" t="n">
        <v>72837</v>
      </c>
    </row>
    <row r="83">
      <c r="A83" s="17" t="inlineStr">
        <is>
          <t>2026-11-17</t>
        </is>
      </c>
      <c r="B83" s="17" t="inlineStr">
        <is>
          <t>Forecast</t>
        </is>
      </c>
      <c r="C83" s="14" t="n">
        <v>0</v>
      </c>
      <c r="D83" s="14" t="n">
        <v>0</v>
      </c>
      <c r="E83" s="14" t="n">
        <v>72837</v>
      </c>
    </row>
    <row r="84">
      <c r="A84" s="17" t="inlineStr">
        <is>
          <t>2026-11-18</t>
        </is>
      </c>
      <c r="B84" s="17" t="inlineStr">
        <is>
          <t>Forecast</t>
        </is>
      </c>
      <c r="C84" s="14" t="n">
        <v>6455</v>
      </c>
      <c r="D84" s="14" t="n">
        <v>0</v>
      </c>
      <c r="E84" s="14" t="n">
        <v>79292</v>
      </c>
    </row>
    <row r="85">
      <c r="A85" s="17" t="inlineStr">
        <is>
          <t>2026-11-19</t>
        </is>
      </c>
      <c r="B85" s="17" t="inlineStr">
        <is>
          <t>Forecast</t>
        </is>
      </c>
      <c r="C85" s="14" t="n">
        <v>7989</v>
      </c>
      <c r="D85" s="14" t="n">
        <v>0</v>
      </c>
      <c r="E85" s="14" t="n">
        <v>87281</v>
      </c>
    </row>
    <row r="86">
      <c r="A86" s="17" t="inlineStr">
        <is>
          <t>2026-11-20</t>
        </is>
      </c>
      <c r="B86" s="17" t="inlineStr">
        <is>
          <t>Forecast</t>
        </is>
      </c>
      <c r="C86" s="14" t="n">
        <v>7990</v>
      </c>
      <c r="D86" s="14" t="n">
        <v>0</v>
      </c>
      <c r="E86" s="14" t="n">
        <v>95271</v>
      </c>
    </row>
    <row r="87">
      <c r="A87" s="17" t="inlineStr">
        <is>
          <t>2026-11-21</t>
        </is>
      </c>
      <c r="B87" s="17" t="inlineStr">
        <is>
          <t>Forecast</t>
        </is>
      </c>
      <c r="C87" s="14" t="n">
        <v>0</v>
      </c>
      <c r="D87" s="14" t="n">
        <v>0</v>
      </c>
      <c r="E87" s="14" t="n">
        <v>95271</v>
      </c>
    </row>
    <row r="88">
      <c r="A88" s="17" t="inlineStr">
        <is>
          <t>2026-11-22</t>
        </is>
      </c>
      <c r="B88" s="17" t="inlineStr">
        <is>
          <t>Forecast</t>
        </is>
      </c>
      <c r="C88" s="14" t="n">
        <v>0</v>
      </c>
      <c r="D88" s="14" t="n">
        <v>0</v>
      </c>
      <c r="E88" s="14" t="n">
        <v>95271</v>
      </c>
    </row>
    <row r="89">
      <c r="A89" s="17" t="inlineStr">
        <is>
          <t>2026-11-23</t>
        </is>
      </c>
      <c r="B89" s="17" t="inlineStr">
        <is>
          <t>Forecast</t>
        </is>
      </c>
      <c r="C89" s="14" t="n">
        <v>17515</v>
      </c>
      <c r="D89" s="14" t="n">
        <v>0</v>
      </c>
      <c r="E89" s="14" t="n">
        <v>112786</v>
      </c>
    </row>
    <row r="90">
      <c r="A90" s="17" t="inlineStr">
        <is>
          <t>2026-11-24</t>
        </is>
      </c>
      <c r="B90" s="17" t="inlineStr">
        <is>
          <t>Forecast</t>
        </is>
      </c>
      <c r="C90" s="14" t="n">
        <v>0</v>
      </c>
      <c r="D90" s="14" t="n">
        <v>0</v>
      </c>
      <c r="E90" s="14" t="n">
        <v>112786</v>
      </c>
    </row>
    <row r="91">
      <c r="A91" s="17" t="inlineStr">
        <is>
          <t>2026-11-25</t>
        </is>
      </c>
      <c r="B91" s="17" t="inlineStr">
        <is>
          <t>Forecast</t>
        </is>
      </c>
      <c r="C91" s="14" t="n">
        <v>6455</v>
      </c>
      <c r="D91" s="14" t="n">
        <v>0</v>
      </c>
      <c r="E91" s="14" t="n">
        <v>119241</v>
      </c>
    </row>
    <row r="92">
      <c r="A92" s="17" t="inlineStr">
        <is>
          <t>2026-11-26</t>
        </is>
      </c>
      <c r="B92" s="17" t="inlineStr">
        <is>
          <t>Forecast</t>
        </is>
      </c>
      <c r="C92" s="14" t="n">
        <v>7989</v>
      </c>
      <c r="D92" s="14" t="n">
        <v>-36611</v>
      </c>
      <c r="E92" s="14" t="n">
        <v>90619</v>
      </c>
    </row>
    <row r="93">
      <c r="A93" s="17" t="inlineStr">
        <is>
          <t>2026-11-27</t>
        </is>
      </c>
      <c r="B93" s="17" t="inlineStr">
        <is>
          <t>Forecast</t>
        </is>
      </c>
      <c r="C93" s="14" t="n">
        <v>7990</v>
      </c>
      <c r="D93" s="14" t="n">
        <v>0</v>
      </c>
      <c r="E93" s="14" t="n">
        <v>98609</v>
      </c>
    </row>
    <row r="94">
      <c r="A94" s="17" t="inlineStr">
        <is>
          <t>2026-11-28</t>
        </is>
      </c>
      <c r="B94" s="17" t="inlineStr">
        <is>
          <t>Forecast</t>
        </is>
      </c>
      <c r="C94" s="14" t="n">
        <v>0</v>
      </c>
      <c r="D94" s="14" t="n">
        <v>0</v>
      </c>
      <c r="E94" s="14" t="n">
        <v>98609</v>
      </c>
    </row>
    <row r="95">
      <c r="A95" s="17" t="inlineStr">
        <is>
          <t>2026-11-29</t>
        </is>
      </c>
      <c r="B95" s="17" t="inlineStr">
        <is>
          <t>Forecast</t>
        </is>
      </c>
      <c r="C95" s="14" t="n">
        <v>0</v>
      </c>
      <c r="D95" s="14" t="n">
        <v>0</v>
      </c>
      <c r="E95" s="14" t="n">
        <v>98609</v>
      </c>
    </row>
    <row r="96">
      <c r="A96" s="17" t="inlineStr">
        <is>
          <t>2026-11-30</t>
        </is>
      </c>
      <c r="B96" s="17" t="inlineStr">
        <is>
          <t>Forecast</t>
        </is>
      </c>
      <c r="C96" s="14" t="n">
        <v>17515</v>
      </c>
      <c r="D96" s="14" t="n">
        <v>-57267</v>
      </c>
      <c r="E96" s="14" t="n">
        <v>58857</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2026-10-08T22:42:11Z</dcterms:created>
  <dcterms:modified xmlns:dcterms="http://purl.org/dc/terms/" xmlns:xsi="http://www.w3.org/2001/XMLSchema-instance" xsi:type="dcterms:W3CDTF">2026-10-08T22:42:11Z</dcterms:modified>
</cp:coreProperties>
</file>