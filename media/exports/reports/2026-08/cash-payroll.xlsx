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Data" sheetId="3" state="visible" r:id="rId3"/>
  </sheets>
  <definedNames>
    <definedName name="_xlnm.Print_Titles" localSheetId="2">'Data'!$5:$5</definedName>
  </definedNames>
  <calcPr calcId="124519" fullCalcOnLoad="1"/>
</workbook>
</file>

<file path=xl/styles.xml><?xml version="1.0" encoding="utf-8"?>
<styleSheet xmlns="http://schemas.openxmlformats.org/spreadsheetml/2006/main">
  <numFmts count="1">
    <numFmt numFmtId="164" formatCode="#,##0;[Red](#,##0);&quot;-&quot;"/>
  </numFmts>
  <fonts count="11">
    <font>
      <name val="Roboto"/>
      <sz val="11"/>
    </font>
    <font>
      <name val="Roboto"/>
      <sz val="11"/>
    </font>
    <font>
      <name val="Roboto"/>
      <b val="1"/>
      <color rgb="0025342A"/>
      <sz val="14"/>
    </font>
    <font>
      <name val="Roboto"/>
      <i val="1"/>
      <color rgb="005F6F63"/>
      <sz val="9"/>
    </font>
    <font>
      <name val="Roboto"/>
      <b val="1"/>
      <color rgb="00FFFFFF"/>
    </font>
    <font>
      <name val="Roboto"/>
      <b val="1"/>
      <color rgb="002F7A5D"/>
      <sz val="12"/>
    </font>
    <font>
      <name val="Roboto"/>
      <i val="1"/>
      <color rgb="005F6F63"/>
    </font>
    <font>
      <name val="Roboto"/>
      <b val="1"/>
    </font>
    <font>
      <name val="Roboto"/>
      <color rgb="005F6F63"/>
    </font>
    <font>
      <name val="Roboto"/>
      <b val="1"/>
      <color rgb="002F7A5D"/>
    </font>
    <font>
      <name val="Roboto"/>
      <b val="1"/>
      <color rgb="0025342A"/>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18">
    <xf numFmtId="0" fontId="0"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2" borderId="0" applyAlignment="1" pivotButton="0" quotePrefix="0" xfId="0">
      <alignment horizontal="left" vertical="center" wrapText="1"/>
    </xf>
    <xf numFmtId="0" fontId="4" fillId="2" borderId="0" applyAlignment="1" pivotButton="0" quotePrefix="0" xfId="0">
      <alignment horizontal="right" vertical="center" wrapText="1"/>
    </xf>
    <xf numFmtId="164" fontId="0" fillId="0" borderId="0" pivotButton="0" quotePrefix="0" xfId="0"/>
    <xf numFmtId="0" fontId="8" fillId="0" borderId="0" pivotButton="0" quotePrefix="0" xfId="0"/>
    <xf numFmtId="0" fontId="9" fillId="0" borderId="0" pivotButton="0" quotePrefix="0" xfId="0"/>
    <xf numFmtId="0" fontId="6" fillId="0" borderId="0" pivotButton="0" quotePrefix="0" xfId="0"/>
    <xf numFmtId="0" fontId="10" fillId="0" borderId="0" pivotButton="0" quotePrefix="0" xfId="0"/>
    <xf numFmtId="0" fontId="0" fillId="0" borderId="0" applyAlignment="1" pivotButton="0" quotePrefix="0" xfId="0">
      <alignment horizontal="left"/>
    </xf>
    <xf numFmtId="0" fontId="0" fillId="0" borderId="0" applyAlignment="1" pivotButton="0" quotePrefix="0" xfId="0">
      <alignment horizontal="right"/>
    </xf>
    <xf numFmtId="0" fontId="5" fillId="0" borderId="0" pivotButton="0" quotePrefix="0" xfId="0"/>
    <xf numFmtId="164" fontId="0" fillId="0" borderId="0" applyAlignment="1" pivotButton="0" quotePrefix="0" xfId="0">
      <alignment horizontal="right"/>
    </xf>
    <xf numFmtId="0" fontId="7" fillId="0" borderId="1" pivotButton="0" quotePrefix="0" xfId="0"/>
    <xf numFmtId="164" fontId="7" fillId="0" borderId="1"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61"/>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 width="13" customWidth="1" min="5" max="5"/>
    <col width="13" customWidth="1" min="6" max="6"/>
    <col width="13" customWidth="1" min="7" max="7"/>
    <col width="13" customWidth="1" min="8" max="8"/>
    <col width="13" customWidth="1" min="9" max="9"/>
  </cols>
  <sheetData>
    <row r="1">
      <c r="A1" s="1" t="inlineStr">
        <is>
          <t>Will cash cover payroll next month?</t>
        </is>
      </c>
    </row>
    <row r="2">
      <c r="A2" s="2" t="inlineStr">
        <is>
          <t>Sample Electrical &amp; Air Pty Ltd · SAMPLE DATA (invented) · The Fourth Sheet</t>
        </is>
      </c>
    </row>
    <row r="3">
      <c r="A3" s="2" t="inlineStr">
        <is>
          <t>Period: August 2026 · Data status: Jul 2026 locked · Aug 2026 locked · Oct 2026 incomplete (data retrieved 2pm, Tue 6 Oct 2026)</t>
        </is>
      </c>
    </row>
    <row r="4"/>
    <row r="5" ht="32" customHeight="1">
      <c r="A5" s="3" t="inlineStr">
        <is>
          <t>A 13-week cash forecast from 31 August: cash at bank, plus what customers owe on their usual payment dates and new work at its recent rate, less pay runs, supplier bills, tax and finance on their due dates. Every day opens its workings.</t>
        </is>
      </c>
    </row>
    <row r="6"/>
    <row r="7">
      <c r="A7" s="4" t="inlineStr">
        <is>
          <t>Headline number</t>
        </is>
      </c>
      <c r="B7" s="5" t="inlineStr">
        <is>
          <t>Value</t>
        </is>
      </c>
      <c r="C7" s="5" t="inlineStr">
        <is>
          <t>Compared with</t>
        </is>
      </c>
    </row>
    <row r="8">
      <c r="A8" t="inlineStr">
        <is>
          <t>Cash at bank, 31 Aug</t>
        </is>
      </c>
      <c r="B8" s="6">
        <f>Workings!B11</f>
        <v/>
      </c>
      <c r="C8" s="7" t="inlineStr">
        <is>
          <t>end of the day</t>
        </is>
      </c>
    </row>
    <row r="9">
      <c r="A9" t="inlineStr">
        <is>
          <t>Wages to pay in September</t>
        </is>
      </c>
      <c r="B9" s="6">
        <f>Workings!B20</f>
        <v/>
      </c>
      <c r="C9" s="7" t="inlineStr">
        <is>
          <t>2 fortnightly pay runs</t>
        </is>
      </c>
    </row>
    <row r="10">
      <c r="A10" t="inlineStr">
        <is>
          <t>After the tightest pay run, 3 Sep</t>
        </is>
      </c>
      <c r="B10" s="6">
        <f>Workings!B33</f>
        <v/>
      </c>
      <c r="C10" s="7" t="inlineStr">
        <is>
          <t>buffer: one pay run, $37,700</t>
        </is>
      </c>
    </row>
    <row r="11">
      <c r="A11" t="inlineStr">
        <is>
          <t>Lowest point, next 13 weeks</t>
        </is>
      </c>
      <c r="B11" s="6">
        <f>Workings!B46</f>
        <v/>
      </c>
      <c r="C11" s="7" t="inlineStr">
        <is>
          <t>30 November</t>
        </is>
      </c>
    </row>
    <row r="12"/>
    <row r="13">
      <c r="A13" s="8" t="inlineStr">
        <is>
          <t>What it shows</t>
        </is>
      </c>
    </row>
    <row r="14" ht="45" customHeight="1">
      <c r="A14" s="3" t="inlineStr">
        <is>
          <t>Cash at bank was $65,263 at 31 August. September has 2 pay runs ($75,400). The tightest is 3 September: $28,828 left after paying wages, less than one pay run ($37,700) in reserve. The lowest point in the 13 weeks is $17,198 on 30 November.</t>
        </is>
      </c>
    </row>
    <row r="15"/>
    <row r="16">
      <c r="A16" s="8" t="inlineStr">
        <is>
          <t>What you'd do about it</t>
        </is>
      </c>
    </row>
    <row r="17" ht="30" customHeight="1">
      <c r="A17" s="3" t="inlineStr">
        <is>
          <t>15 invoices ($20,219) are already past the customer's usual payment date; the forecast assumes they arrive within a week. Without them, 3 September would be $8,609.</t>
        </is>
      </c>
    </row>
    <row r="18"/>
    <row r="19">
      <c r="A19" s="8" t="inlineStr">
        <is>
          <t>How this forecast has done so far</t>
        </is>
      </c>
    </row>
    <row r="20" ht="30" customHeight="1">
      <c r="A20" s="3" t="inlineStr">
        <is>
          <t>For 5 October it said $74,351; the bank says $47,244, $27,107 less. (Workings sheet: "From gross margin to profit".)</t>
        </is>
      </c>
    </row>
    <row r="21"/>
    <row r="22">
      <c r="A22" s="9" t="inlineStr">
        <is>
          <t>Cash at bank, every day: actual to 31 Aug, then forecast to 30 Nov: every month is on the Data sheet.</t>
        </is>
      </c>
    </row>
    <row r="23"/>
    <row r="24">
      <c r="A24" s="10" t="inlineStr">
        <is>
          <t>September: where the cash comes from and goes (forecast)</t>
        </is>
      </c>
    </row>
    <row r="25">
      <c r="A25" s="4" t="inlineStr"/>
      <c r="B25" s="5" t="inlineStr">
        <is>
          <t>Value</t>
        </is>
      </c>
    </row>
    <row r="26">
      <c r="A26" t="inlineStr">
        <is>
          <t>Unpaid invoices collected</t>
        </is>
      </c>
      <c r="B26" s="6">
        <f>Workings!B63</f>
        <v/>
      </c>
    </row>
    <row r="27">
      <c r="A27" t="inlineStr">
        <is>
          <t>New work collected</t>
        </is>
      </c>
      <c r="B27" s="6">
        <f>Workings!B70</f>
        <v/>
      </c>
    </row>
    <row r="28">
      <c r="A28" t="inlineStr">
        <is>
          <t>Wages (2 pay runs)</t>
        </is>
      </c>
      <c r="B28" s="6">
        <f>Workings!B79</f>
        <v/>
      </c>
    </row>
    <row r="29">
      <c r="A29" t="inlineStr">
        <is>
          <t>Suppliers and overheads</t>
        </is>
      </c>
      <c r="B29" s="6">
        <f>Workings!B88</f>
        <v/>
      </c>
    </row>
    <row r="30">
      <c r="A30" t="inlineStr">
        <is>
          <t>Tax, interest and equipment finance</t>
        </is>
      </c>
      <c r="B30" s="6">
        <f>Workings!B94</f>
        <v/>
      </c>
    </row>
    <row r="31"/>
    <row r="32">
      <c r="A32" s="10" t="inlineStr">
        <is>
          <t>13 weeks, week by week</t>
        </is>
      </c>
    </row>
    <row r="33">
      <c r="A33" s="4" t="inlineStr">
        <is>
          <t>Week ending</t>
        </is>
      </c>
      <c r="B33" s="5" t="inlineStr">
        <is>
          <t>Cash at start</t>
        </is>
      </c>
      <c r="C33" s="5" t="inlineStr">
        <is>
          <t>Unpaid invoices collected</t>
        </is>
      </c>
      <c r="D33" s="5" t="inlineStr">
        <is>
          <t>New work collected</t>
        </is>
      </c>
      <c r="E33" s="5" t="inlineStr">
        <is>
          <t>Wages</t>
        </is>
      </c>
      <c r="F33" s="5" t="inlineStr">
        <is>
          <t>Suppliers and overheads</t>
        </is>
      </c>
      <c r="G33" s="5" t="inlineStr">
        <is>
          <t>Tax, interest and finance</t>
        </is>
      </c>
      <c r="H33" s="5" t="inlineStr">
        <is>
          <t>Cash at end</t>
        </is>
      </c>
      <c r="I33" s="5" t="inlineStr">
        <is>
          <t>Lowest in the week</t>
        </is>
      </c>
    </row>
    <row r="34">
      <c r="A34" s="11" t="inlineStr">
        <is>
          <t>7 Sep</t>
        </is>
      </c>
      <c r="B34" s="12" t="inlineStr">
        <is>
          <t>$65,263</t>
        </is>
      </c>
      <c r="C34" s="12" t="inlineStr">
        <is>
          <t>$58,719</t>
        </is>
      </c>
      <c r="D34" s="12" t="inlineStr">
        <is>
          <t>$5,062</t>
        </is>
      </c>
      <c r="E34" s="12" t="inlineStr">
        <is>
          <t>($37,700)</t>
        </is>
      </c>
      <c r="F34" s="12" t="inlineStr">
        <is>
          <t>$0</t>
        </is>
      </c>
      <c r="G34" s="12" t="inlineStr">
        <is>
          <t>$0</t>
        </is>
      </c>
      <c r="H34" s="12" t="inlineStr">
        <is>
          <t>$91,344</t>
        </is>
      </c>
      <c r="I34" s="12" t="inlineStr">
        <is>
          <t>$28,828</t>
        </is>
      </c>
    </row>
    <row r="35">
      <c r="A35" s="11" t="inlineStr">
        <is>
          <t>14 Sep</t>
        </is>
      </c>
      <c r="B35" s="12" t="inlineStr">
        <is>
          <t>$91,344</t>
        </is>
      </c>
      <c r="C35" s="12" t="inlineStr">
        <is>
          <t>$21,300</t>
        </is>
      </c>
      <c r="D35" s="12" t="inlineStr">
        <is>
          <t>$6,327</t>
        </is>
      </c>
      <c r="E35" s="12" t="inlineStr">
        <is>
          <t>$0</t>
        </is>
      </c>
      <c r="F35" s="12" t="inlineStr">
        <is>
          <t>$0</t>
        </is>
      </c>
      <c r="G35" s="12" t="inlineStr">
        <is>
          <t>$0</t>
        </is>
      </c>
      <c r="H35" s="12" t="inlineStr">
        <is>
          <t>$118,970</t>
        </is>
      </c>
      <c r="I35" s="12" t="inlineStr">
        <is>
          <t>$91,344</t>
        </is>
      </c>
    </row>
    <row r="36">
      <c r="A36" s="11" t="inlineStr">
        <is>
          <t>21 Sep</t>
        </is>
      </c>
      <c r="B36" s="12" t="inlineStr">
        <is>
          <t>$118,970</t>
        </is>
      </c>
      <c r="C36" s="12" t="inlineStr">
        <is>
          <t>$16,800</t>
        </is>
      </c>
      <c r="D36" s="12" t="inlineStr">
        <is>
          <t>$6,327</t>
        </is>
      </c>
      <c r="E36" s="12" t="inlineStr">
        <is>
          <t>($37,700)</t>
        </is>
      </c>
      <c r="F36" s="12" t="inlineStr">
        <is>
          <t>($46,515)</t>
        </is>
      </c>
      <c r="G36" s="12" t="inlineStr">
        <is>
          <t>$0</t>
        </is>
      </c>
      <c r="H36" s="12" t="inlineStr">
        <is>
          <t>$57,882</t>
        </is>
      </c>
      <c r="I36" s="12" t="inlineStr">
        <is>
          <t>$37,286</t>
        </is>
      </c>
    </row>
    <row r="37">
      <c r="A37" s="11" t="inlineStr">
        <is>
          <t>28 Sep</t>
        </is>
      </c>
      <c r="B37" s="12" t="inlineStr">
        <is>
          <t>$57,882</t>
        </is>
      </c>
      <c r="C37" s="12" t="inlineStr">
        <is>
          <t>$33,000</t>
        </is>
      </c>
      <c r="D37" s="12" t="inlineStr">
        <is>
          <t>$6,327</t>
        </is>
      </c>
      <c r="E37" s="12" t="inlineStr">
        <is>
          <t>$0</t>
        </is>
      </c>
      <c r="F37" s="12" t="inlineStr">
        <is>
          <t>$0</t>
        </is>
      </c>
      <c r="G37" s="12" t="inlineStr">
        <is>
          <t>($5,000)</t>
        </is>
      </c>
      <c r="H37" s="12" t="inlineStr">
        <is>
          <t>$92,209</t>
        </is>
      </c>
      <c r="I37" s="12" t="inlineStr">
        <is>
          <t>$57,882</t>
        </is>
      </c>
    </row>
    <row r="38">
      <c r="A38" s="11" t="inlineStr">
        <is>
          <t>5 Oct</t>
        </is>
      </c>
      <c r="B38" s="12" t="inlineStr">
        <is>
          <t>$92,209</t>
        </is>
      </c>
      <c r="C38" s="12" t="inlineStr">
        <is>
          <t>$0</t>
        </is>
      </c>
      <c r="D38" s="12" t="inlineStr">
        <is>
          <t>$67,457</t>
        </is>
      </c>
      <c r="E38" s="12" t="inlineStr">
        <is>
          <t>($37,700)</t>
        </is>
      </c>
      <c r="F38" s="12" t="inlineStr">
        <is>
          <t>($46,515)</t>
        </is>
      </c>
      <c r="G38" s="12" t="inlineStr">
        <is>
          <t>($1,100)</t>
        </is>
      </c>
      <c r="H38" s="12" t="inlineStr">
        <is>
          <t>$74,351</t>
        </is>
      </c>
      <c r="I38" s="12" t="inlineStr">
        <is>
          <t>$45,860</t>
        </is>
      </c>
    </row>
    <row r="39">
      <c r="A39" s="11" t="inlineStr">
        <is>
          <t>12 Oct</t>
        </is>
      </c>
      <c r="B39" s="12" t="inlineStr">
        <is>
          <t>$74,351</t>
        </is>
      </c>
      <c r="C39" s="12" t="inlineStr">
        <is>
          <t>$0</t>
        </is>
      </c>
      <c r="D39" s="12" t="inlineStr">
        <is>
          <t>$32,115</t>
        </is>
      </c>
      <c r="E39" s="12" t="inlineStr">
        <is>
          <t>$0</t>
        </is>
      </c>
      <c r="F39" s="12" t="inlineStr">
        <is>
          <t>$0</t>
        </is>
      </c>
      <c r="G39" s="12" t="inlineStr">
        <is>
          <t>$0</t>
        </is>
      </c>
      <c r="H39" s="12" t="inlineStr">
        <is>
          <t>$106,466</t>
        </is>
      </c>
      <c r="I39" s="12" t="inlineStr">
        <is>
          <t>$74,351</t>
        </is>
      </c>
    </row>
    <row r="40">
      <c r="A40" s="11" t="inlineStr">
        <is>
          <t>19 Oct</t>
        </is>
      </c>
      <c r="B40" s="12" t="inlineStr">
        <is>
          <t>$106,466</t>
        </is>
      </c>
      <c r="C40" s="12" t="inlineStr">
        <is>
          <t>$0</t>
        </is>
      </c>
      <c r="D40" s="12" t="inlineStr">
        <is>
          <t>$32,115</t>
        </is>
      </c>
      <c r="E40" s="12" t="inlineStr">
        <is>
          <t>($37,700)</t>
        </is>
      </c>
      <c r="F40" s="12" t="inlineStr">
        <is>
          <t>($46,515)</t>
        </is>
      </c>
      <c r="G40" s="12" t="inlineStr">
        <is>
          <t>$0</t>
        </is>
      </c>
      <c r="H40" s="12" t="inlineStr">
        <is>
          <t>$54,366</t>
        </is>
      </c>
      <c r="I40" s="12" t="inlineStr">
        <is>
          <t>$35,097</t>
        </is>
      </c>
    </row>
    <row r="41">
      <c r="A41" s="11" t="inlineStr">
        <is>
          <t>26 Oct</t>
        </is>
      </c>
      <c r="B41" s="12" t="inlineStr">
        <is>
          <t>$54,366</t>
        </is>
      </c>
      <c r="C41" s="12" t="inlineStr">
        <is>
          <t>$0</t>
        </is>
      </c>
      <c r="D41" s="12" t="inlineStr">
        <is>
          <t>$32,115</t>
        </is>
      </c>
      <c r="E41" s="12" t="inlineStr">
        <is>
          <t>$0</t>
        </is>
      </c>
      <c r="F41" s="12" t="inlineStr">
        <is>
          <t>$0</t>
        </is>
      </c>
      <c r="G41" s="12" t="inlineStr">
        <is>
          <t>$0</t>
        </is>
      </c>
      <c r="H41" s="12" t="inlineStr">
        <is>
          <t>$86,481</t>
        </is>
      </c>
      <c r="I41" s="12" t="inlineStr">
        <is>
          <t>$54,366</t>
        </is>
      </c>
    </row>
    <row r="42">
      <c r="A42" s="11" t="inlineStr">
        <is>
          <t>2 Nov</t>
        </is>
      </c>
      <c r="B42" s="12" t="inlineStr">
        <is>
          <t>$86,481</t>
        </is>
      </c>
      <c r="C42" s="12" t="inlineStr">
        <is>
          <t>$0</t>
        </is>
      </c>
      <c r="D42" s="12" t="inlineStr">
        <is>
          <t>$72,615</t>
        </is>
      </c>
      <c r="E42" s="12" t="inlineStr">
        <is>
          <t>($37,700)</t>
        </is>
      </c>
      <c r="F42" s="12" t="inlineStr">
        <is>
          <t>($46,515)</t>
        </is>
      </c>
      <c r="G42" s="12" t="inlineStr">
        <is>
          <t>($11,612)</t>
        </is>
      </c>
      <c r="H42" s="12" t="inlineStr">
        <is>
          <t>$63,268</t>
        </is>
      </c>
      <c r="I42" s="12" t="inlineStr">
        <is>
          <t>$51,115</t>
        </is>
      </c>
    </row>
    <row r="43">
      <c r="A43" s="11" t="inlineStr">
        <is>
          <t>9 Nov</t>
        </is>
      </c>
      <c r="B43" s="12" t="inlineStr">
        <is>
          <t>$63,268</t>
        </is>
      </c>
      <c r="C43" s="12" t="inlineStr">
        <is>
          <t>$0</t>
        </is>
      </c>
      <c r="D43" s="12" t="inlineStr">
        <is>
          <t>$32,115</t>
        </is>
      </c>
      <c r="E43" s="12" t="inlineStr">
        <is>
          <t>$0</t>
        </is>
      </c>
      <c r="F43" s="12" t="inlineStr">
        <is>
          <t>$0</t>
        </is>
      </c>
      <c r="G43" s="12" t="inlineStr">
        <is>
          <t>$0</t>
        </is>
      </c>
      <c r="H43" s="12" t="inlineStr">
        <is>
          <t>$95,383</t>
        </is>
      </c>
      <c r="I43" s="12" t="inlineStr">
        <is>
          <t>$63,268</t>
        </is>
      </c>
    </row>
    <row r="44">
      <c r="A44" s="11" t="inlineStr">
        <is>
          <t>16 Nov</t>
        </is>
      </c>
      <c r="B44" s="12" t="inlineStr">
        <is>
          <t>$95,383</t>
        </is>
      </c>
      <c r="C44" s="12" t="inlineStr">
        <is>
          <t>$0</t>
        </is>
      </c>
      <c r="D44" s="12" t="inlineStr">
        <is>
          <t>$32,115</t>
        </is>
      </c>
      <c r="E44" s="12" t="inlineStr">
        <is>
          <t>($37,700)</t>
        </is>
      </c>
      <c r="F44" s="12" t="inlineStr">
        <is>
          <t>($46,515)</t>
        </is>
      </c>
      <c r="G44" s="12" t="inlineStr">
        <is>
          <t>$0</t>
        </is>
      </c>
      <c r="H44" s="12" t="inlineStr">
        <is>
          <t>$43,283</t>
        </is>
      </c>
      <c r="I44" s="12" t="inlineStr">
        <is>
          <t>$43,283</t>
        </is>
      </c>
    </row>
    <row r="45">
      <c r="A45" s="11" t="inlineStr">
        <is>
          <t>23 Nov</t>
        </is>
      </c>
      <c r="B45" s="12" t="inlineStr">
        <is>
          <t>$43,283</t>
        </is>
      </c>
      <c r="C45" s="12" t="inlineStr">
        <is>
          <t>$0</t>
        </is>
      </c>
      <c r="D45" s="12" t="inlineStr">
        <is>
          <t>$32,115</t>
        </is>
      </c>
      <c r="E45" s="12" t="inlineStr">
        <is>
          <t>$0</t>
        </is>
      </c>
      <c r="F45" s="12" t="inlineStr">
        <is>
          <t>$0</t>
        </is>
      </c>
      <c r="G45" s="12" t="inlineStr">
        <is>
          <t>$0</t>
        </is>
      </c>
      <c r="H45" s="12" t="inlineStr">
        <is>
          <t>$75,398</t>
        </is>
      </c>
      <c r="I45" s="12" t="inlineStr">
        <is>
          <t>$43,283</t>
        </is>
      </c>
    </row>
    <row r="46">
      <c r="A46" s="11" t="inlineStr">
        <is>
          <t>30 Nov</t>
        </is>
      </c>
      <c r="B46" s="12" t="inlineStr">
        <is>
          <t>$75,398</t>
        </is>
      </c>
      <c r="C46" s="12" t="inlineStr">
        <is>
          <t>$0</t>
        </is>
      </c>
      <c r="D46" s="12" t="inlineStr">
        <is>
          <t>$32,115</t>
        </is>
      </c>
      <c r="E46" s="12" t="inlineStr">
        <is>
          <t>($37,700)</t>
        </is>
      </c>
      <c r="F46" s="12" t="inlineStr">
        <is>
          <t>($46,515)</t>
        </is>
      </c>
      <c r="G46" s="12" t="inlineStr">
        <is>
          <t>($6,100)</t>
        </is>
      </c>
      <c r="H46" s="12" t="inlineStr">
        <is>
          <t>$17,198</t>
        </is>
      </c>
      <c r="I46" s="12" t="inlineStr">
        <is>
          <t>$17,198</t>
        </is>
      </c>
    </row>
    <row r="47"/>
    <row r="48">
      <c r="A48" s="10" t="inlineStr">
        <is>
          <t>Invoices past the customer's usual payment date ($20,219)</t>
        </is>
      </c>
    </row>
    <row r="49">
      <c r="A49" s="4" t="inlineStr">
        <is>
          <t>Customer or job</t>
        </is>
      </c>
      <c r="B49" s="5" t="inlineStr">
        <is>
          <t>Invoiced</t>
        </is>
      </c>
      <c r="C49" s="5" t="inlineStr">
        <is>
          <t>Amount</t>
        </is>
      </c>
      <c r="D49" s="5" t="inlineStr">
        <is>
          <t>Usually pays in (days)</t>
        </is>
      </c>
      <c r="E49" s="5" t="inlineStr">
        <is>
          <t>Days since invoiced</t>
        </is>
      </c>
    </row>
    <row r="50">
      <c r="A50" s="11" t="inlineStr">
        <is>
          <t>Chermside retail centre</t>
        </is>
      </c>
      <c r="B50" s="12" t="inlineStr">
        <is>
          <t>1 Aug</t>
        </is>
      </c>
      <c r="C50" s="12" t="inlineStr">
        <is>
          <t>$4,100</t>
        </is>
      </c>
      <c r="D50" s="12" t="inlineStr">
        <is>
          <t>30</t>
        </is>
      </c>
      <c r="E50" s="12" t="inlineStr">
        <is>
          <t>30</t>
        </is>
      </c>
    </row>
    <row r="51">
      <c r="A51" s="11" t="inlineStr">
        <is>
          <t>Rocklea factory</t>
        </is>
      </c>
      <c r="B51" s="12" t="inlineStr">
        <is>
          <t>1 Aug</t>
        </is>
      </c>
      <c r="C51" s="12" t="inlineStr">
        <is>
          <t>$3,900</t>
        </is>
      </c>
      <c r="D51" s="12" t="inlineStr">
        <is>
          <t>30</t>
        </is>
      </c>
      <c r="E51" s="12" t="inlineStr">
        <is>
          <t>30</t>
        </is>
      </c>
    </row>
    <row r="52">
      <c r="A52" s="11" t="inlineStr">
        <is>
          <t>Riverside Apartments (strata)</t>
        </is>
      </c>
      <c r="B52" s="12" t="inlineStr">
        <is>
          <t>1 Aug</t>
        </is>
      </c>
      <c r="C52" s="12" t="inlineStr">
        <is>
          <t>$3,200</t>
        </is>
      </c>
      <c r="D52" s="12" t="inlineStr">
        <is>
          <t>30</t>
        </is>
      </c>
      <c r="E52" s="12" t="inlineStr">
        <is>
          <t>30</t>
        </is>
      </c>
    </row>
    <row r="53">
      <c r="A53" s="11" t="inlineStr">
        <is>
          <t>Wacol logistics depot</t>
        </is>
      </c>
      <c r="B53" s="12" t="inlineStr">
        <is>
          <t>1 Aug</t>
        </is>
      </c>
      <c r="C53" s="12" t="inlineStr">
        <is>
          <t>$3,000</t>
        </is>
      </c>
      <c r="D53" s="12" t="inlineStr">
        <is>
          <t>30</t>
        </is>
      </c>
      <c r="E53" s="12" t="inlineStr">
        <is>
          <t>30</t>
        </is>
      </c>
    </row>
    <row r="54">
      <c r="A54" s="11" t="inlineStr">
        <is>
          <t>Call-out 1, August</t>
        </is>
      </c>
      <c r="B54" s="12" t="inlineStr">
        <is>
          <t>24 Aug</t>
        </is>
      </c>
      <c r="C54" s="12" t="inlineStr">
        <is>
          <t>$853</t>
        </is>
      </c>
      <c r="D54" s="12" t="inlineStr">
        <is>
          <t>2</t>
        </is>
      </c>
      <c r="E54" s="12" t="inlineStr">
        <is>
          <t>7</t>
        </is>
      </c>
    </row>
    <row r="55">
      <c r="A55" s="11" t="inlineStr">
        <is>
          <t>Call-out 16, August</t>
        </is>
      </c>
      <c r="B55" s="12" t="inlineStr">
        <is>
          <t>22 Aug</t>
        </is>
      </c>
      <c r="C55" s="12" t="inlineStr">
        <is>
          <t>$840</t>
        </is>
      </c>
      <c r="D55" s="12" t="inlineStr">
        <is>
          <t>2</t>
        </is>
      </c>
      <c r="E55" s="12" t="inlineStr">
        <is>
          <t>9</t>
        </is>
      </c>
    </row>
    <row r="56">
      <c r="A56" s="11" t="inlineStr">
        <is>
          <t>Call-out 14, August</t>
        </is>
      </c>
      <c r="B56" s="12" t="inlineStr">
        <is>
          <t>5 Aug</t>
        </is>
      </c>
      <c r="C56" s="12" t="inlineStr">
        <is>
          <t>$695</t>
        </is>
      </c>
      <c r="D56" s="12" t="inlineStr">
        <is>
          <t>2</t>
        </is>
      </c>
      <c r="E56" s="12" t="inlineStr">
        <is>
          <t>26</t>
        </is>
      </c>
    </row>
    <row r="57">
      <c r="A57" s="11" t="inlineStr">
        <is>
          <t>Call-out 38, August</t>
        </is>
      </c>
      <c r="B57" s="12" t="inlineStr">
        <is>
          <t>25 Aug</t>
        </is>
      </c>
      <c r="C57" s="12" t="inlineStr">
        <is>
          <t>$656</t>
        </is>
      </c>
      <c r="D57" s="12" t="inlineStr">
        <is>
          <t>2</t>
        </is>
      </c>
      <c r="E57" s="12" t="inlineStr">
        <is>
          <t>6</t>
        </is>
      </c>
    </row>
    <row r="58">
      <c r="A58" s="11" t="inlineStr">
        <is>
          <t>Call-out 27, August</t>
        </is>
      </c>
      <c r="B58" s="12" t="inlineStr">
        <is>
          <t>3 Aug</t>
        </is>
      </c>
      <c r="C58" s="12" t="inlineStr">
        <is>
          <t>$571</t>
        </is>
      </c>
      <c r="D58" s="12" t="inlineStr">
        <is>
          <t>2</t>
        </is>
      </c>
      <c r="E58" s="12" t="inlineStr">
        <is>
          <t>28</t>
        </is>
      </c>
    </row>
    <row r="59">
      <c r="A59" s="11" t="inlineStr">
        <is>
          <t>Call-out 5, August</t>
        </is>
      </c>
      <c r="B59" s="12" t="inlineStr">
        <is>
          <t>26 Aug</t>
        </is>
      </c>
      <c r="C59" s="12" t="inlineStr">
        <is>
          <t>$493</t>
        </is>
      </c>
      <c r="D59" s="12" t="inlineStr">
        <is>
          <t>2</t>
        </is>
      </c>
      <c r="E59" s="12" t="inlineStr">
        <is>
          <t>5</t>
        </is>
      </c>
    </row>
    <row r="60"/>
    <row r="61"/>
  </sheetData>
  <mergeCells count="4">
    <mergeCell ref="A5:D5"/>
    <mergeCell ref="A17:D17"/>
    <mergeCell ref="A20:D20"/>
    <mergeCell ref="A14:D14"/>
  </mergeCells>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cash-payroll.xlsx&amp;C&amp;"Roboto,Regular"&amp;8 Data retrieved 2pm, Tue 6 Oct 2026&amp;R&amp;"Roboto,Regular"&amp;8 Page &amp;P of &amp;N</oddFooter>
    <evenHeader/>
    <evenFooter/>
    <firstHeader/>
    <firstFooter/>
  </headerFooter>
  <rowBreaks count="1" manualBreakCount="1">
    <brk id="31" min="0" max="16383" man="1"/>
  </rowBreaks>
</worksheet>
</file>

<file path=xl/worksheets/sheet2.xml><?xml version="1.0" encoding="utf-8"?>
<worksheet xmlns="http://schemas.openxmlformats.org/spreadsheetml/2006/main">
  <sheetPr>
    <outlinePr summaryBelow="1" summaryRight="1"/>
    <pageSetUpPr fitToPage="1"/>
  </sheetPr>
  <dimension ref="A1:B97"/>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Electrical &amp; Air Pty Ltd · SAMPLE DATA (invented) · The Fourth Sheet</t>
        </is>
      </c>
    </row>
    <row r="3">
      <c r="A3" s="2" t="inlineStr">
        <is>
          <t>Period: August 2026 · Data status: Jul 2026 locked · Aug 2026 locked · Oct 2026 incomplete (data retrieved 2pm, Tue 6 Oct 2026)</t>
        </is>
      </c>
    </row>
    <row r="4"/>
    <row r="5">
      <c r="A5" s="13" t="inlineStr">
        <is>
          <t>Cash at bank, 31 August</t>
        </is>
      </c>
    </row>
    <row r="6">
      <c r="A6" s="9" t="inlineStr">
        <is>
          <t>Opening balance + every day's money in − money out</t>
        </is>
      </c>
    </row>
    <row r="7">
      <c r="A7" s="4" t="inlineStr"/>
      <c r="B7" s="5" t="inlineStr">
        <is>
          <t>31 Aug</t>
        </is>
      </c>
    </row>
    <row r="8">
      <c r="A8" t="inlineStr">
        <is>
          <t>Cash at bank, 31 July (opening balance)</t>
        </is>
      </c>
      <c r="B8" s="14" t="n">
        <v>88000</v>
      </c>
    </row>
    <row r="9">
      <c r="A9" t="inlineStr">
        <is>
          <t>Money in, 1 August to 31 August</t>
        </is>
      </c>
      <c r="B9" s="14" t="n">
        <v>156273</v>
      </c>
    </row>
    <row r="10">
      <c r="A10" t="inlineStr">
        <is>
          <t>Money out, 1 August to 31 August</t>
        </is>
      </c>
      <c r="B10" s="14" t="n">
        <v>-179010</v>
      </c>
    </row>
    <row r="11">
      <c r="A11" s="15" t="inlineStr">
        <is>
          <t>Cash at bank</t>
        </is>
      </c>
      <c r="B11" s="16">
        <f>B8+B9+B10</f>
        <v/>
      </c>
    </row>
    <row r="12">
      <c r="A12" s="2" t="inlineStr">
        <is>
          <t>From the bank feed; ties to the ledger.</t>
        </is>
      </c>
    </row>
    <row r="13"/>
    <row r="14"/>
    <row r="15">
      <c r="A15" s="13" t="inlineStr">
        <is>
          <t>Pay runs in September</t>
        </is>
      </c>
    </row>
    <row r="16">
      <c r="A16" s="9" t="inlineStr">
        <is>
          <t>Number of fortnightly pay runs × the last pay run</t>
        </is>
      </c>
    </row>
    <row r="17">
      <c r="A17" s="4" t="inlineStr"/>
      <c r="B17" s="5" t="inlineStr">
        <is>
          <t>September</t>
        </is>
      </c>
    </row>
    <row r="18">
      <c r="A18" t="inlineStr">
        <is>
          <t>Last pay run (20 August)</t>
        </is>
      </c>
      <c r="B18" s="14" t="n">
        <v>37700</v>
      </c>
    </row>
    <row r="19">
      <c r="A19" t="inlineStr">
        <is>
          <t>Pay runs in September (3 Sep, 17 Sep)</t>
        </is>
      </c>
      <c r="B19" s="14" t="n">
        <v>2</v>
      </c>
    </row>
    <row r="20">
      <c r="A20" s="15" t="inlineStr">
        <is>
          <t>Wages paid in September</t>
        </is>
      </c>
      <c r="B20" s="16">
        <f>B18*B19</f>
        <v/>
      </c>
    </row>
    <row r="21">
      <c r="A21" s="2" t="inlineStr">
        <is>
          <t>Wages include all on-costs. Fortnightly pay means two months a year have three pay runs.</t>
        </is>
      </c>
    </row>
    <row r="22"/>
    <row r="23"/>
    <row r="24">
      <c r="A24" s="13" t="inlineStr">
        <is>
          <t>Forecast cash at bank, 3 Sep 2026</t>
        </is>
      </c>
    </row>
    <row r="25">
      <c r="A25" s="9" t="inlineStr">
        <is>
          <t>Yesterday's cash + money in − money out</t>
        </is>
      </c>
    </row>
    <row r="26">
      <c r="A26" s="4" t="inlineStr"/>
      <c r="B26" s="5" t="inlineStr">
        <is>
          <t>3 Sep</t>
        </is>
      </c>
    </row>
    <row r="27">
      <c r="A27" t="inlineStr">
        <is>
          <t>Cash at bank, end of the day before</t>
        </is>
      </c>
      <c r="B27" s="14" t="n">
        <v>65263</v>
      </c>
    </row>
    <row r="28">
      <c r="A28" t="inlineStr">
        <is>
          <t>Unpaid invoices expected</t>
        </is>
      </c>
      <c r="B28" s="14" t="n">
        <v>0</v>
      </c>
    </row>
    <row r="29">
      <c r="A29" t="inlineStr">
        <is>
          <t>New work expected to be paid</t>
        </is>
      </c>
      <c r="B29" s="14" t="n">
        <v>1265.378787878788</v>
      </c>
    </row>
    <row r="30">
      <c r="A30" t="inlineStr">
        <is>
          <t>Pay run</t>
        </is>
      </c>
      <c r="B30" s="14" t="n">
        <v>-37700</v>
      </c>
    </row>
    <row r="31">
      <c r="A31" t="inlineStr">
        <is>
          <t>Suppliers and overheads</t>
        </is>
      </c>
      <c r="B31" s="14" t="n">
        <v>0</v>
      </c>
    </row>
    <row r="32">
      <c r="A32" t="inlineStr">
        <is>
          <t>Tax, interest and equipment finance</t>
        </is>
      </c>
      <c r="B32" s="14" t="n">
        <v>0</v>
      </c>
    </row>
    <row r="33">
      <c r="A33" s="15" t="inlineStr">
        <is>
          <t>Cash at bank, end of the day</t>
        </is>
      </c>
      <c r="B33" s="16">
        <f>B27+B28+B29+B30+B31+B32</f>
        <v/>
      </c>
    </row>
    <row r="34">
      <c r="A34" s="2" t="inlineStr">
        <is>
          <t>Forecast.</t>
        </is>
      </c>
    </row>
    <row r="35"/>
    <row r="36"/>
    <row r="37">
      <c r="A37" s="13" t="inlineStr">
        <is>
          <t>Forecast cash at bank, 30 Nov 2026</t>
        </is>
      </c>
    </row>
    <row r="38">
      <c r="A38" s="9" t="inlineStr">
        <is>
          <t>Yesterday's cash + money in − money out</t>
        </is>
      </c>
    </row>
    <row r="39">
      <c r="A39" s="4" t="inlineStr"/>
      <c r="B39" s="5" t="inlineStr">
        <is>
          <t>30 Nov</t>
        </is>
      </c>
    </row>
    <row r="40">
      <c r="A40" t="inlineStr">
        <is>
          <t>Cash at bank, end of the day before</t>
        </is>
      </c>
      <c r="B40" s="14" t="n">
        <v>69812.57575757563</v>
      </c>
    </row>
    <row r="41">
      <c r="A41" t="inlineStr">
        <is>
          <t>Unpaid invoices expected</t>
        </is>
      </c>
      <c r="B41" s="14" t="n">
        <v>0</v>
      </c>
    </row>
    <row r="42">
      <c r="A42" t="inlineStr">
        <is>
          <t>New work expected to be paid</t>
        </is>
      </c>
      <c r="B42" s="14" t="n">
        <v>0</v>
      </c>
    </row>
    <row r="43">
      <c r="A43" t="inlineStr">
        <is>
          <t>Pay run</t>
        </is>
      </c>
      <c r="B43" s="14" t="n">
        <v>0</v>
      </c>
    </row>
    <row r="44">
      <c r="A44" t="inlineStr">
        <is>
          <t>Suppliers and overheads</t>
        </is>
      </c>
      <c r="B44" s="14" t="n">
        <v>-46515</v>
      </c>
    </row>
    <row r="45">
      <c r="A45" t="inlineStr">
        <is>
          <t>Tax, interest and equipment finance</t>
        </is>
      </c>
      <c r="B45" s="14" t="n">
        <v>-6100</v>
      </c>
    </row>
    <row r="46">
      <c r="A46" s="15" t="inlineStr">
        <is>
          <t>Cash at bank, end of the day</t>
        </is>
      </c>
      <c r="B46" s="16">
        <f>B40+B41+B42+B43+B44+B45</f>
        <v/>
      </c>
    </row>
    <row r="47">
      <c r="A47" s="2" t="inlineStr">
        <is>
          <t>Forecast.</t>
        </is>
      </c>
    </row>
    <row r="48"/>
    <row r="49"/>
    <row r="50">
      <c r="A50" s="13" t="inlineStr">
        <is>
          <t>Forecast made 31 August against the bank, 5 October</t>
        </is>
      </c>
    </row>
    <row r="51">
      <c r="A51" s="9" t="inlineStr">
        <is>
          <t>Actual cash − forecast cash</t>
        </is>
      </c>
    </row>
    <row r="52">
      <c r="A52" s="4" t="inlineStr"/>
      <c r="B52" s="5" t="inlineStr">
        <is>
          <t>5 Oct</t>
        </is>
      </c>
    </row>
    <row r="53">
      <c r="A53" t="inlineStr">
        <is>
          <t>Forecast for 5 October</t>
        </is>
      </c>
      <c r="B53" s="14" t="n">
        <v>74351</v>
      </c>
    </row>
    <row r="54">
      <c r="A54" t="inlineStr">
        <is>
          <t>Actual, 5 October</t>
        </is>
      </c>
      <c r="B54" s="14" t="n">
        <v>47244</v>
      </c>
    </row>
    <row r="55">
      <c r="A55" t="inlineStr">
        <is>
          <t>Actual − forecast</t>
        </is>
      </c>
      <c r="B55" s="14">
        <f>B54-B53</f>
        <v/>
      </c>
    </row>
    <row r="56">
      <c r="A56" t="inlineStr">
        <is>
          <t>Of which: invoices expected by then, not yet paid</t>
        </is>
      </c>
      <c r="B56" s="14" t="n">
        <v>0</v>
      </c>
    </row>
    <row r="57">
      <c r="A57" s="15" t="inlineStr">
        <is>
          <t>Everything else (timing of other money in and out)</t>
        </is>
      </c>
      <c r="B57" s="16">
        <f>B55-B56</f>
        <v/>
      </c>
    </row>
    <row r="58"/>
    <row r="59"/>
    <row r="60">
      <c r="A60" s="13" t="inlineStr">
        <is>
          <t>Unpaid invoices collected in September</t>
        </is>
      </c>
    </row>
    <row r="61">
      <c r="A61" s="9" t="inlineStr">
        <is>
          <t>Each invoice unpaid at the start, on its customer's usual payment date</t>
        </is>
      </c>
    </row>
    <row r="62">
      <c r="A62" s="4" t="inlineStr"/>
      <c r="B62" s="5" t="inlineStr">
        <is>
          <t>September</t>
        </is>
      </c>
    </row>
    <row r="63">
      <c r="A63" s="15" t="inlineStr">
        <is>
          <t>Expected in the month</t>
        </is>
      </c>
      <c r="B63" s="16" t="n">
        <v>129819</v>
      </c>
    </row>
    <row r="64">
      <c r="A64" s="2" t="inlineStr">
        <is>
          <t>20 invoices unpaid at 31 August; overdue ones assumed a week from then.</t>
        </is>
      </c>
    </row>
    <row r="65"/>
    <row r="66"/>
    <row r="67">
      <c r="A67" s="13" t="inlineStr">
        <is>
          <t>New work collected in September</t>
        </is>
      </c>
    </row>
    <row r="68">
      <c r="A68" s="9" t="inlineStr">
        <is>
          <t>Contract fees (1st of the month, on each contract's terms) + installations and call-outs at the last three months' run rate</t>
        </is>
      </c>
    </row>
    <row r="69">
      <c r="A69" s="4" t="inlineStr"/>
      <c r="B69" s="5" t="inlineStr">
        <is>
          <t>September</t>
        </is>
      </c>
    </row>
    <row r="70">
      <c r="A70" s="15" t="inlineStr">
        <is>
          <t>Expected in the month</t>
        </is>
      </c>
      <c r="B70" s="16" t="n">
        <v>25308</v>
      </c>
    </row>
    <row r="71">
      <c r="A71" s="2" t="inlineStr">
        <is>
          <t>Run rate from June, July, August.</t>
        </is>
      </c>
    </row>
    <row r="72"/>
    <row r="73"/>
    <row r="74">
      <c r="A74" s="13" t="inlineStr">
        <is>
          <t>Pay runs in September</t>
        </is>
      </c>
    </row>
    <row r="75">
      <c r="A75" s="9" t="inlineStr">
        <is>
          <t>Number of fortnightly pay runs × the last pay run</t>
        </is>
      </c>
    </row>
    <row r="76">
      <c r="A76" s="4" t="inlineStr"/>
      <c r="B76" s="5" t="inlineStr">
        <is>
          <t>September</t>
        </is>
      </c>
    </row>
    <row r="77">
      <c r="A77" t="inlineStr">
        <is>
          <t>Last pay run (20 August)</t>
        </is>
      </c>
      <c r="B77" s="14" t="n">
        <v>37700</v>
      </c>
    </row>
    <row r="78">
      <c r="A78" t="inlineStr">
        <is>
          <t>Pay runs in September (3 Sep, 17 Sep)</t>
        </is>
      </c>
      <c r="B78" s="14" t="n">
        <v>2</v>
      </c>
    </row>
    <row r="79">
      <c r="A79" s="15" t="inlineStr">
        <is>
          <t>Wages paid in September</t>
        </is>
      </c>
      <c r="B79" s="16">
        <f>B77*B78</f>
        <v/>
      </c>
    </row>
    <row r="80">
      <c r="A80" s="2" t="inlineStr">
        <is>
          <t>Wages include all on-costs. Fortnightly pay means two months a year have three pay runs.</t>
        </is>
      </c>
    </row>
    <row r="81"/>
    <row r="82"/>
    <row r="83">
      <c r="A83" s="13" t="inlineStr">
        <is>
          <t>Suppliers and overheads in September</t>
        </is>
      </c>
    </row>
    <row r="84">
      <c r="A84" s="9" t="inlineStr">
        <is>
          <t>Last month's bills (trade creditors) + the month's overheads, paid on the 15th and at month end</t>
        </is>
      </c>
    </row>
    <row r="85">
      <c r="A85" s="4" t="inlineStr"/>
      <c r="B85" s="5" t="inlineStr">
        <is>
          <t>September</t>
        </is>
      </c>
    </row>
    <row r="86">
      <c r="A86" t="inlineStr">
        <is>
          <t>Bills owed for August's materials and subcontractors</t>
        </is>
      </c>
      <c r="B86" s="14" t="n">
        <v>60830</v>
      </c>
    </row>
    <row r="87">
      <c r="A87" t="inlineStr">
        <is>
          <t>Overheads (at August's level)</t>
        </is>
      </c>
      <c r="B87" s="14" t="n">
        <v>32200</v>
      </c>
    </row>
    <row r="88">
      <c r="A88" s="15" t="inlineStr">
        <is>
          <t>Paid in the month</t>
        </is>
      </c>
      <c r="B88" s="16">
        <f>B86+B87</f>
        <v/>
      </c>
    </row>
    <row r="89"/>
    <row r="90"/>
    <row r="91">
      <c r="A91" s="13" t="inlineStr">
        <is>
          <t>Tax, interest and equipment finance in September</t>
        </is>
      </c>
    </row>
    <row r="92">
      <c r="A92" s="9" t="inlineStr">
        <is>
          <t>Interest + equipment finance repayment (+ the PAYG instalment in Jan, Apr, Jul, Oct)</t>
        </is>
      </c>
    </row>
    <row r="93">
      <c r="A93" s="4" t="inlineStr"/>
      <c r="B93" s="5" t="inlineStr">
        <is>
          <t>September</t>
        </is>
      </c>
    </row>
    <row r="94">
      <c r="A94" s="15" t="inlineStr">
        <is>
          <t>Paid in the month</t>
        </is>
      </c>
      <c r="B94" s="16" t="n">
        <v>6100</v>
      </c>
    </row>
    <row r="95"/>
    <row r="96"/>
    <row r="97"/>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cash-payroll.xlsx&amp;C&amp;"Roboto,Regular"&amp;8 Data retrieved 2pm, Tue 6 Oct 2026&amp;R&amp;"Roboto,Regular"&amp;8 Page &amp;P of &amp;N</oddFooter>
    <evenHeader/>
    <evenFooter/>
    <firstHeader/>
    <firstFooter/>
  </headerFooter>
  <rowBreaks count="3" manualBreakCount="3">
    <brk id="23" min="0" max="16383" man="1"/>
    <brk id="49" min="0" max="16383" man="1"/>
    <brk id="73" min="0" max="16383" man="1"/>
  </rowBreaks>
</worksheet>
</file>

<file path=xl/worksheets/sheet3.xml><?xml version="1.0" encoding="utf-8"?>
<worksheet xmlns="http://schemas.openxmlformats.org/spreadsheetml/2006/main">
  <sheetPr>
    <outlinePr summaryBelow="1" summaryRight="1"/>
    <pageSetUpPr fitToPage="1"/>
  </sheetPr>
  <dimension ref="A1:E96"/>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s>
  <sheetData>
    <row r="1">
      <c r="A1" s="1" t="inlineStr">
        <is>
          <t>Data</t>
        </is>
      </c>
    </row>
    <row r="2">
      <c r="A2" s="2" t="inlineStr">
        <is>
          <t>Sample Electrical &amp; Air Pty Ltd · SAMPLE DATA (invented) · The Fourth Sheet</t>
        </is>
      </c>
    </row>
    <row r="3">
      <c r="A3" s="2" t="inlineStr">
        <is>
          <t>Period: August 2026 · Data status: Jul 2026 locked · Aug 2026 locked · Oct 2026 incomplete (data retrieved 2pm, Tue 6 Oct 2026)</t>
        </is>
      </c>
    </row>
    <row r="4"/>
    <row r="5">
      <c r="A5" s="4" t="inlineStr">
        <is>
          <t>Date</t>
        </is>
      </c>
      <c r="B5" s="5" t="inlineStr">
        <is>
          <t>Actual or forecast</t>
        </is>
      </c>
      <c r="C5" s="5" t="inlineStr">
        <is>
          <t>Money in</t>
        </is>
      </c>
      <c r="D5" s="5" t="inlineStr">
        <is>
          <t>Money out</t>
        </is>
      </c>
      <c r="E5" s="5" t="inlineStr">
        <is>
          <t>Cash at bank</t>
        </is>
      </c>
    </row>
    <row r="6">
      <c r="A6" s="17" t="inlineStr">
        <is>
          <t>2026-09-01</t>
        </is>
      </c>
      <c r="B6" s="17" t="inlineStr">
        <is>
          <t>Forecast</t>
        </is>
      </c>
      <c r="C6" s="14" t="n">
        <v>0</v>
      </c>
      <c r="D6" s="14" t="n">
        <v>0</v>
      </c>
      <c r="E6" s="14" t="n">
        <v>65263</v>
      </c>
    </row>
    <row r="7">
      <c r="A7" s="17" t="inlineStr">
        <is>
          <t>2026-09-02</t>
        </is>
      </c>
      <c r="B7" s="17" t="inlineStr">
        <is>
          <t>Forecast</t>
        </is>
      </c>
      <c r="C7" s="14" t="n">
        <v>0</v>
      </c>
      <c r="D7" s="14" t="n">
        <v>0</v>
      </c>
      <c r="E7" s="14" t="n">
        <v>65263</v>
      </c>
    </row>
    <row r="8">
      <c r="A8" s="17" t="inlineStr">
        <is>
          <t>2026-09-03</t>
        </is>
      </c>
      <c r="B8" s="17" t="inlineStr">
        <is>
          <t>Forecast</t>
        </is>
      </c>
      <c r="C8" s="14" t="n">
        <v>1265</v>
      </c>
      <c r="D8" s="14" t="n">
        <v>-37700</v>
      </c>
      <c r="E8" s="14" t="n">
        <v>28828</v>
      </c>
    </row>
    <row r="9">
      <c r="A9" s="17" t="inlineStr">
        <is>
          <t>2026-09-04</t>
        </is>
      </c>
      <c r="B9" s="17" t="inlineStr">
        <is>
          <t>Forecast</t>
        </is>
      </c>
      <c r="C9" s="14" t="n">
        <v>1265</v>
      </c>
      <c r="D9" s="14" t="n">
        <v>0</v>
      </c>
      <c r="E9" s="14" t="n">
        <v>30094</v>
      </c>
    </row>
    <row r="10">
      <c r="A10" s="17" t="inlineStr">
        <is>
          <t>2026-09-05</t>
        </is>
      </c>
      <c r="B10" s="17" t="inlineStr">
        <is>
          <t>Forecast</t>
        </is>
      </c>
      <c r="C10" s="14" t="n">
        <v>1265</v>
      </c>
      <c r="D10" s="14" t="n">
        <v>0</v>
      </c>
      <c r="E10" s="14" t="n">
        <v>31359</v>
      </c>
    </row>
    <row r="11">
      <c r="A11" s="17" t="inlineStr">
        <is>
          <t>2026-09-06</t>
        </is>
      </c>
      <c r="B11" s="17" t="inlineStr">
        <is>
          <t>Forecast</t>
        </is>
      </c>
      <c r="C11" s="14" t="n">
        <v>39765</v>
      </c>
      <c r="D11" s="14" t="n">
        <v>0</v>
      </c>
      <c r="E11" s="14" t="n">
        <v>71125</v>
      </c>
    </row>
    <row r="12">
      <c r="A12" s="17" t="inlineStr">
        <is>
          <t>2026-09-07</t>
        </is>
      </c>
      <c r="B12" s="17" t="inlineStr">
        <is>
          <t>Forecast</t>
        </is>
      </c>
      <c r="C12" s="14" t="n">
        <v>20219</v>
      </c>
      <c r="D12" s="14" t="n">
        <v>0</v>
      </c>
      <c r="E12" s="14" t="n">
        <v>91344</v>
      </c>
    </row>
    <row r="13">
      <c r="A13" s="17" t="inlineStr">
        <is>
          <t>2026-09-08</t>
        </is>
      </c>
      <c r="B13" s="17" t="inlineStr">
        <is>
          <t>Forecast</t>
        </is>
      </c>
      <c r="C13" s="14" t="n">
        <v>0</v>
      </c>
      <c r="D13" s="14" t="n">
        <v>0</v>
      </c>
      <c r="E13" s="14" t="n">
        <v>91344</v>
      </c>
    </row>
    <row r="14">
      <c r="A14" s="17" t="inlineStr">
        <is>
          <t>2026-09-09</t>
        </is>
      </c>
      <c r="B14" s="17" t="inlineStr">
        <is>
          <t>Forecast</t>
        </is>
      </c>
      <c r="C14" s="14" t="n">
        <v>1265</v>
      </c>
      <c r="D14" s="14" t="n">
        <v>0</v>
      </c>
      <c r="E14" s="14" t="n">
        <v>92609</v>
      </c>
    </row>
    <row r="15">
      <c r="A15" s="17" t="inlineStr">
        <is>
          <t>2026-09-10</t>
        </is>
      </c>
      <c r="B15" s="17" t="inlineStr">
        <is>
          <t>Forecast</t>
        </is>
      </c>
      <c r="C15" s="14" t="n">
        <v>1265</v>
      </c>
      <c r="D15" s="14" t="n">
        <v>0</v>
      </c>
      <c r="E15" s="14" t="n">
        <v>93874</v>
      </c>
    </row>
    <row r="16">
      <c r="A16" s="17" t="inlineStr">
        <is>
          <t>2026-09-11</t>
        </is>
      </c>
      <c r="B16" s="17" t="inlineStr">
        <is>
          <t>Forecast</t>
        </is>
      </c>
      <c r="C16" s="14" t="n">
        <v>1265</v>
      </c>
      <c r="D16" s="14" t="n">
        <v>0</v>
      </c>
      <c r="E16" s="14" t="n">
        <v>95140</v>
      </c>
    </row>
    <row r="17">
      <c r="A17" s="17" t="inlineStr">
        <is>
          <t>2026-09-12</t>
        </is>
      </c>
      <c r="B17" s="17" t="inlineStr">
        <is>
          <t>Forecast</t>
        </is>
      </c>
      <c r="C17" s="14" t="n">
        <v>1265</v>
      </c>
      <c r="D17" s="14" t="n">
        <v>0</v>
      </c>
      <c r="E17" s="14" t="n">
        <v>96405</v>
      </c>
    </row>
    <row r="18">
      <c r="A18" s="17" t="inlineStr">
        <is>
          <t>2026-09-13</t>
        </is>
      </c>
      <c r="B18" s="17" t="inlineStr">
        <is>
          <t>Forecast</t>
        </is>
      </c>
      <c r="C18" s="14" t="n">
        <v>22565</v>
      </c>
      <c r="D18" s="14" t="n">
        <v>0</v>
      </c>
      <c r="E18" s="14" t="n">
        <v>118970</v>
      </c>
    </row>
    <row r="19">
      <c r="A19" s="17" t="inlineStr">
        <is>
          <t>2026-09-14</t>
        </is>
      </c>
      <c r="B19" s="17" t="inlineStr">
        <is>
          <t>Forecast</t>
        </is>
      </c>
      <c r="C19" s="14" t="n">
        <v>0</v>
      </c>
      <c r="D19" s="14" t="n">
        <v>0</v>
      </c>
      <c r="E19" s="14" t="n">
        <v>118970</v>
      </c>
    </row>
    <row r="20">
      <c r="A20" s="17" t="inlineStr">
        <is>
          <t>2026-09-15</t>
        </is>
      </c>
      <c r="B20" s="17" t="inlineStr">
        <is>
          <t>Forecast</t>
        </is>
      </c>
      <c r="C20" s="14" t="n">
        <v>0</v>
      </c>
      <c r="D20" s="14" t="n">
        <v>-46515</v>
      </c>
      <c r="E20" s="14" t="n">
        <v>72455</v>
      </c>
    </row>
    <row r="21">
      <c r="A21" s="17" t="inlineStr">
        <is>
          <t>2026-09-16</t>
        </is>
      </c>
      <c r="B21" s="17" t="inlineStr">
        <is>
          <t>Forecast</t>
        </is>
      </c>
      <c r="C21" s="14" t="n">
        <v>1265</v>
      </c>
      <c r="D21" s="14" t="n">
        <v>0</v>
      </c>
      <c r="E21" s="14" t="n">
        <v>73721</v>
      </c>
    </row>
    <row r="22">
      <c r="A22" s="17" t="inlineStr">
        <is>
          <t>2026-09-17</t>
        </is>
      </c>
      <c r="B22" s="17" t="inlineStr">
        <is>
          <t>Forecast</t>
        </is>
      </c>
      <c r="C22" s="14" t="n">
        <v>1265</v>
      </c>
      <c r="D22" s="14" t="n">
        <v>-37700</v>
      </c>
      <c r="E22" s="14" t="n">
        <v>37286</v>
      </c>
    </row>
    <row r="23">
      <c r="A23" s="17" t="inlineStr">
        <is>
          <t>2026-09-18</t>
        </is>
      </c>
      <c r="B23" s="17" t="inlineStr">
        <is>
          <t>Forecast</t>
        </is>
      </c>
      <c r="C23" s="14" t="n">
        <v>18065</v>
      </c>
      <c r="D23" s="14" t="n">
        <v>0</v>
      </c>
      <c r="E23" s="14" t="n">
        <v>55352</v>
      </c>
    </row>
    <row r="24">
      <c r="A24" s="17" t="inlineStr">
        <is>
          <t>2026-09-19</t>
        </is>
      </c>
      <c r="B24" s="17" t="inlineStr">
        <is>
          <t>Forecast</t>
        </is>
      </c>
      <c r="C24" s="14" t="n">
        <v>1265</v>
      </c>
      <c r="D24" s="14" t="n">
        <v>0</v>
      </c>
      <c r="E24" s="14" t="n">
        <v>56617</v>
      </c>
    </row>
    <row r="25">
      <c r="A25" s="17" t="inlineStr">
        <is>
          <t>2026-09-20</t>
        </is>
      </c>
      <c r="B25" s="17" t="inlineStr">
        <is>
          <t>Forecast</t>
        </is>
      </c>
      <c r="C25" s="14" t="n">
        <v>1265</v>
      </c>
      <c r="D25" s="14" t="n">
        <v>0</v>
      </c>
      <c r="E25" s="14" t="n">
        <v>57882</v>
      </c>
    </row>
    <row r="26">
      <c r="A26" s="17" t="inlineStr">
        <is>
          <t>2026-09-21</t>
        </is>
      </c>
      <c r="B26" s="17" t="inlineStr">
        <is>
          <t>Forecast</t>
        </is>
      </c>
      <c r="C26" s="14" t="n">
        <v>0</v>
      </c>
      <c r="D26" s="14" t="n">
        <v>0</v>
      </c>
      <c r="E26" s="14" t="n">
        <v>57882</v>
      </c>
    </row>
    <row r="27">
      <c r="A27" s="17" t="inlineStr">
        <is>
          <t>2026-09-22</t>
        </is>
      </c>
      <c r="B27" s="17" t="inlineStr">
        <is>
          <t>Forecast</t>
        </is>
      </c>
      <c r="C27" s="14" t="n">
        <v>0</v>
      </c>
      <c r="D27" s="14" t="n">
        <v>0</v>
      </c>
      <c r="E27" s="14" t="n">
        <v>57882</v>
      </c>
    </row>
    <row r="28">
      <c r="A28" s="17" t="inlineStr">
        <is>
          <t>2026-09-23</t>
        </is>
      </c>
      <c r="B28" s="17" t="inlineStr">
        <is>
          <t>Forecast</t>
        </is>
      </c>
      <c r="C28" s="14" t="n">
        <v>20865</v>
      </c>
      <c r="D28" s="14" t="n">
        <v>0</v>
      </c>
      <c r="E28" s="14" t="n">
        <v>78748</v>
      </c>
    </row>
    <row r="29">
      <c r="A29" s="17" t="inlineStr">
        <is>
          <t>2026-09-24</t>
        </is>
      </c>
      <c r="B29" s="17" t="inlineStr">
        <is>
          <t>Forecast</t>
        </is>
      </c>
      <c r="C29" s="14" t="n">
        <v>1265</v>
      </c>
      <c r="D29" s="14" t="n">
        <v>0</v>
      </c>
      <c r="E29" s="14" t="n">
        <v>80013</v>
      </c>
    </row>
    <row r="30">
      <c r="A30" s="17" t="inlineStr">
        <is>
          <t>2026-09-25</t>
        </is>
      </c>
      <c r="B30" s="17" t="inlineStr">
        <is>
          <t>Forecast</t>
        </is>
      </c>
      <c r="C30" s="14" t="n">
        <v>1265</v>
      </c>
      <c r="D30" s="14" t="n">
        <v>0</v>
      </c>
      <c r="E30" s="14" t="n">
        <v>81278</v>
      </c>
    </row>
    <row r="31">
      <c r="A31" s="17" t="inlineStr">
        <is>
          <t>2026-09-26</t>
        </is>
      </c>
      <c r="B31" s="17" t="inlineStr">
        <is>
          <t>Forecast</t>
        </is>
      </c>
      <c r="C31" s="14" t="n">
        <v>1265</v>
      </c>
      <c r="D31" s="14" t="n">
        <v>0</v>
      </c>
      <c r="E31" s="14" t="n">
        <v>82544</v>
      </c>
    </row>
    <row r="32">
      <c r="A32" s="17" t="inlineStr">
        <is>
          <t>2026-09-27</t>
        </is>
      </c>
      <c r="B32" s="17" t="inlineStr">
        <is>
          <t>Forecast</t>
        </is>
      </c>
      <c r="C32" s="14" t="n">
        <v>14665</v>
      </c>
      <c r="D32" s="14" t="n">
        <v>0</v>
      </c>
      <c r="E32" s="14" t="n">
        <v>97209</v>
      </c>
    </row>
    <row r="33">
      <c r="A33" s="17" t="inlineStr">
        <is>
          <t>2026-09-28</t>
        </is>
      </c>
      <c r="B33" s="17" t="inlineStr">
        <is>
          <t>Forecast</t>
        </is>
      </c>
      <c r="C33" s="14" t="n">
        <v>0</v>
      </c>
      <c r="D33" s="14" t="n">
        <v>-5000</v>
      </c>
      <c r="E33" s="14" t="n">
        <v>92209</v>
      </c>
    </row>
    <row r="34">
      <c r="A34" s="17" t="inlineStr">
        <is>
          <t>2026-09-29</t>
        </is>
      </c>
      <c r="B34" s="17" t="inlineStr">
        <is>
          <t>Forecast</t>
        </is>
      </c>
      <c r="C34" s="14" t="n">
        <v>0</v>
      </c>
      <c r="D34" s="14" t="n">
        <v>0</v>
      </c>
      <c r="E34" s="14" t="n">
        <v>92209</v>
      </c>
    </row>
    <row r="35">
      <c r="A35" s="17" t="inlineStr">
        <is>
          <t>2026-09-30</t>
        </is>
      </c>
      <c r="B35" s="17" t="inlineStr">
        <is>
          <t>Forecast</t>
        </is>
      </c>
      <c r="C35" s="14" t="n">
        <v>1265</v>
      </c>
      <c r="D35" s="14" t="n">
        <v>-47615</v>
      </c>
      <c r="E35" s="14" t="n">
        <v>45860</v>
      </c>
    </row>
    <row r="36">
      <c r="A36" s="17" t="inlineStr">
        <is>
          <t>2026-10-01</t>
        </is>
      </c>
      <c r="B36" s="17" t="inlineStr">
        <is>
          <t>Forecast</t>
        </is>
      </c>
      <c r="C36" s="14" t="n">
        <v>46923</v>
      </c>
      <c r="D36" s="14" t="n">
        <v>-37700</v>
      </c>
      <c r="E36" s="14" t="n">
        <v>55083</v>
      </c>
    </row>
    <row r="37">
      <c r="A37" s="17" t="inlineStr">
        <is>
          <t>2026-10-02</t>
        </is>
      </c>
      <c r="B37" s="17" t="inlineStr">
        <is>
          <t>Forecast</t>
        </is>
      </c>
      <c r="C37" s="14" t="n">
        <v>6423</v>
      </c>
      <c r="D37" s="14" t="n">
        <v>0</v>
      </c>
      <c r="E37" s="14" t="n">
        <v>61505</v>
      </c>
    </row>
    <row r="38">
      <c r="A38" s="17" t="inlineStr">
        <is>
          <t>2026-10-03</t>
        </is>
      </c>
      <c r="B38" s="17" t="inlineStr">
        <is>
          <t>Forecast</t>
        </is>
      </c>
      <c r="C38" s="14" t="n">
        <v>6423</v>
      </c>
      <c r="D38" s="14" t="n">
        <v>0</v>
      </c>
      <c r="E38" s="14" t="n">
        <v>67928</v>
      </c>
    </row>
    <row r="39">
      <c r="A39" s="17" t="inlineStr">
        <is>
          <t>2026-10-04</t>
        </is>
      </c>
      <c r="B39" s="17" t="inlineStr">
        <is>
          <t>Forecast</t>
        </is>
      </c>
      <c r="C39" s="14" t="n">
        <v>6423</v>
      </c>
      <c r="D39" s="14" t="n">
        <v>0</v>
      </c>
      <c r="E39" s="14" t="n">
        <v>74351</v>
      </c>
    </row>
    <row r="40">
      <c r="A40" s="17" t="inlineStr">
        <is>
          <t>2026-10-05</t>
        </is>
      </c>
      <c r="B40" s="17" t="inlineStr">
        <is>
          <t>Forecast</t>
        </is>
      </c>
      <c r="C40" s="14" t="n">
        <v>0</v>
      </c>
      <c r="D40" s="14" t="n">
        <v>0</v>
      </c>
      <c r="E40" s="14" t="n">
        <v>74351</v>
      </c>
    </row>
    <row r="41">
      <c r="A41" s="17" t="inlineStr">
        <is>
          <t>2026-10-06</t>
        </is>
      </c>
      <c r="B41" s="17" t="inlineStr">
        <is>
          <t>Forecast</t>
        </is>
      </c>
      <c r="C41" s="14" t="n">
        <v>0</v>
      </c>
      <c r="D41" s="14" t="n">
        <v>0</v>
      </c>
      <c r="E41" s="14" t="n">
        <v>74351</v>
      </c>
    </row>
    <row r="42">
      <c r="A42" s="17" t="inlineStr">
        <is>
          <t>2026-10-07</t>
        </is>
      </c>
      <c r="B42" s="17" t="inlineStr">
        <is>
          <t>Forecast</t>
        </is>
      </c>
      <c r="C42" s="14" t="n">
        <v>6423</v>
      </c>
      <c r="D42" s="14" t="n">
        <v>0</v>
      </c>
      <c r="E42" s="14" t="n">
        <v>80774</v>
      </c>
    </row>
    <row r="43">
      <c r="A43" s="17" t="inlineStr">
        <is>
          <t>2026-10-08</t>
        </is>
      </c>
      <c r="B43" s="17" t="inlineStr">
        <is>
          <t>Forecast</t>
        </is>
      </c>
      <c r="C43" s="14" t="n">
        <v>6423</v>
      </c>
      <c r="D43" s="14" t="n">
        <v>0</v>
      </c>
      <c r="E43" s="14" t="n">
        <v>87197</v>
      </c>
    </row>
    <row r="44">
      <c r="A44" s="17" t="inlineStr">
        <is>
          <t>2026-10-09</t>
        </is>
      </c>
      <c r="B44" s="17" t="inlineStr">
        <is>
          <t>Forecast</t>
        </is>
      </c>
      <c r="C44" s="14" t="n">
        <v>6423</v>
      </c>
      <c r="D44" s="14" t="n">
        <v>0</v>
      </c>
      <c r="E44" s="14" t="n">
        <v>93620</v>
      </c>
    </row>
    <row r="45">
      <c r="A45" s="17" t="inlineStr">
        <is>
          <t>2026-10-10</t>
        </is>
      </c>
      <c r="B45" s="17" t="inlineStr">
        <is>
          <t>Forecast</t>
        </is>
      </c>
      <c r="C45" s="14" t="n">
        <v>6423</v>
      </c>
      <c r="D45" s="14" t="n">
        <v>0</v>
      </c>
      <c r="E45" s="14" t="n">
        <v>100043</v>
      </c>
    </row>
    <row r="46">
      <c r="A46" s="17" t="inlineStr">
        <is>
          <t>2026-10-11</t>
        </is>
      </c>
      <c r="B46" s="17" t="inlineStr">
        <is>
          <t>Forecast</t>
        </is>
      </c>
      <c r="C46" s="14" t="n">
        <v>6423</v>
      </c>
      <c r="D46" s="14" t="n">
        <v>0</v>
      </c>
      <c r="E46" s="14" t="n">
        <v>106466</v>
      </c>
    </row>
    <row r="47">
      <c r="A47" s="17" t="inlineStr">
        <is>
          <t>2026-10-12</t>
        </is>
      </c>
      <c r="B47" s="17" t="inlineStr">
        <is>
          <t>Forecast</t>
        </is>
      </c>
      <c r="C47" s="14" t="n">
        <v>0</v>
      </c>
      <c r="D47" s="14" t="n">
        <v>0</v>
      </c>
      <c r="E47" s="14" t="n">
        <v>106466</v>
      </c>
    </row>
    <row r="48">
      <c r="A48" s="17" t="inlineStr">
        <is>
          <t>2026-10-13</t>
        </is>
      </c>
      <c r="B48" s="17" t="inlineStr">
        <is>
          <t>Forecast</t>
        </is>
      </c>
      <c r="C48" s="14" t="n">
        <v>0</v>
      </c>
      <c r="D48" s="14" t="n">
        <v>0</v>
      </c>
      <c r="E48" s="14" t="n">
        <v>106466</v>
      </c>
    </row>
    <row r="49">
      <c r="A49" s="17" t="inlineStr">
        <is>
          <t>2026-10-14</t>
        </is>
      </c>
      <c r="B49" s="17" t="inlineStr">
        <is>
          <t>Forecast</t>
        </is>
      </c>
      <c r="C49" s="14" t="n">
        <v>6423</v>
      </c>
      <c r="D49" s="14" t="n">
        <v>0</v>
      </c>
      <c r="E49" s="14" t="n">
        <v>112889</v>
      </c>
    </row>
    <row r="50">
      <c r="A50" s="17" t="inlineStr">
        <is>
          <t>2026-10-15</t>
        </is>
      </c>
      <c r="B50" s="17" t="inlineStr">
        <is>
          <t>Forecast</t>
        </is>
      </c>
      <c r="C50" s="14" t="n">
        <v>6423</v>
      </c>
      <c r="D50" s="14" t="n">
        <v>-84215</v>
      </c>
      <c r="E50" s="14" t="n">
        <v>35097</v>
      </c>
    </row>
    <row r="51">
      <c r="A51" s="17" t="inlineStr">
        <is>
          <t>2026-10-16</t>
        </is>
      </c>
      <c r="B51" s="17" t="inlineStr">
        <is>
          <t>Forecast</t>
        </is>
      </c>
      <c r="C51" s="14" t="n">
        <v>6423</v>
      </c>
      <c r="D51" s="14" t="n">
        <v>0</v>
      </c>
      <c r="E51" s="14" t="n">
        <v>41520</v>
      </c>
    </row>
    <row r="52">
      <c r="A52" s="17" t="inlineStr">
        <is>
          <t>2026-10-17</t>
        </is>
      </c>
      <c r="B52" s="17" t="inlineStr">
        <is>
          <t>Forecast</t>
        </is>
      </c>
      <c r="C52" s="14" t="n">
        <v>6423</v>
      </c>
      <c r="D52" s="14" t="n">
        <v>0</v>
      </c>
      <c r="E52" s="14" t="n">
        <v>47943</v>
      </c>
    </row>
    <row r="53">
      <c r="A53" s="17" t="inlineStr">
        <is>
          <t>2026-10-18</t>
        </is>
      </c>
      <c r="B53" s="17" t="inlineStr">
        <is>
          <t>Forecast</t>
        </is>
      </c>
      <c r="C53" s="14" t="n">
        <v>6423</v>
      </c>
      <c r="D53" s="14" t="n">
        <v>0</v>
      </c>
      <c r="E53" s="14" t="n">
        <v>54366</v>
      </c>
    </row>
    <row r="54">
      <c r="A54" s="17" t="inlineStr">
        <is>
          <t>2026-10-19</t>
        </is>
      </c>
      <c r="B54" s="17" t="inlineStr">
        <is>
          <t>Forecast</t>
        </is>
      </c>
      <c r="C54" s="14" t="n">
        <v>0</v>
      </c>
      <c r="D54" s="14" t="n">
        <v>0</v>
      </c>
      <c r="E54" s="14" t="n">
        <v>54366</v>
      </c>
    </row>
    <row r="55">
      <c r="A55" s="17" t="inlineStr">
        <is>
          <t>2026-10-20</t>
        </is>
      </c>
      <c r="B55" s="17" t="inlineStr">
        <is>
          <t>Forecast</t>
        </is>
      </c>
      <c r="C55" s="14" t="n">
        <v>0</v>
      </c>
      <c r="D55" s="14" t="n">
        <v>0</v>
      </c>
      <c r="E55" s="14" t="n">
        <v>54366</v>
      </c>
    </row>
    <row r="56">
      <c r="A56" s="17" t="inlineStr">
        <is>
          <t>2026-10-21</t>
        </is>
      </c>
      <c r="B56" s="17" t="inlineStr">
        <is>
          <t>Forecast</t>
        </is>
      </c>
      <c r="C56" s="14" t="n">
        <v>6423</v>
      </c>
      <c r="D56" s="14" t="n">
        <v>0</v>
      </c>
      <c r="E56" s="14" t="n">
        <v>60789</v>
      </c>
    </row>
    <row r="57">
      <c r="A57" s="17" t="inlineStr">
        <is>
          <t>2026-10-22</t>
        </is>
      </c>
      <c r="B57" s="17" t="inlineStr">
        <is>
          <t>Forecast</t>
        </is>
      </c>
      <c r="C57" s="14" t="n">
        <v>6423</v>
      </c>
      <c r="D57" s="14" t="n">
        <v>0</v>
      </c>
      <c r="E57" s="14" t="n">
        <v>67212</v>
      </c>
    </row>
    <row r="58">
      <c r="A58" s="17" t="inlineStr">
        <is>
          <t>2026-10-23</t>
        </is>
      </c>
      <c r="B58" s="17" t="inlineStr">
        <is>
          <t>Forecast</t>
        </is>
      </c>
      <c r="C58" s="14" t="n">
        <v>6423</v>
      </c>
      <c r="D58" s="14" t="n">
        <v>0</v>
      </c>
      <c r="E58" s="14" t="n">
        <v>73635</v>
      </c>
    </row>
    <row r="59">
      <c r="A59" s="17" t="inlineStr">
        <is>
          <t>2026-10-24</t>
        </is>
      </c>
      <c r="B59" s="17" t="inlineStr">
        <is>
          <t>Forecast</t>
        </is>
      </c>
      <c r="C59" s="14" t="n">
        <v>6423</v>
      </c>
      <c r="D59" s="14" t="n">
        <v>0</v>
      </c>
      <c r="E59" s="14" t="n">
        <v>80058</v>
      </c>
    </row>
    <row r="60">
      <c r="A60" s="17" t="inlineStr">
        <is>
          <t>2026-10-25</t>
        </is>
      </c>
      <c r="B60" s="17" t="inlineStr">
        <is>
          <t>Forecast</t>
        </is>
      </c>
      <c r="C60" s="14" t="n">
        <v>6423</v>
      </c>
      <c r="D60" s="14" t="n">
        <v>0</v>
      </c>
      <c r="E60" s="14" t="n">
        <v>86481</v>
      </c>
    </row>
    <row r="61">
      <c r="A61" s="17" t="inlineStr">
        <is>
          <t>2026-10-26</t>
        </is>
      </c>
      <c r="B61" s="17" t="inlineStr">
        <is>
          <t>Forecast</t>
        </is>
      </c>
      <c r="C61" s="14" t="n">
        <v>0</v>
      </c>
      <c r="D61" s="14" t="n">
        <v>0</v>
      </c>
      <c r="E61" s="14" t="n">
        <v>86481</v>
      </c>
    </row>
    <row r="62">
      <c r="A62" s="17" t="inlineStr">
        <is>
          <t>2026-10-27</t>
        </is>
      </c>
      <c r="B62" s="17" t="inlineStr">
        <is>
          <t>Forecast</t>
        </is>
      </c>
      <c r="C62" s="14" t="n">
        <v>0</v>
      </c>
      <c r="D62" s="14" t="n">
        <v>0</v>
      </c>
      <c r="E62" s="14" t="n">
        <v>86481</v>
      </c>
    </row>
    <row r="63">
      <c r="A63" s="17" t="inlineStr">
        <is>
          <t>2026-10-28</t>
        </is>
      </c>
      <c r="B63" s="17" t="inlineStr">
        <is>
          <t>Forecast</t>
        </is>
      </c>
      <c r="C63" s="14" t="n">
        <v>6423</v>
      </c>
      <c r="D63" s="14" t="n">
        <v>-10512</v>
      </c>
      <c r="E63" s="14" t="n">
        <v>82392</v>
      </c>
    </row>
    <row r="64">
      <c r="A64" s="17" t="inlineStr">
        <is>
          <t>2026-10-29</t>
        </is>
      </c>
      <c r="B64" s="17" t="inlineStr">
        <is>
          <t>Forecast</t>
        </is>
      </c>
      <c r="C64" s="14" t="n">
        <v>6423</v>
      </c>
      <c r="D64" s="14" t="n">
        <v>-37700</v>
      </c>
      <c r="E64" s="14" t="n">
        <v>51115</v>
      </c>
    </row>
    <row r="65">
      <c r="A65" s="17" t="inlineStr">
        <is>
          <t>2026-10-30</t>
        </is>
      </c>
      <c r="B65" s="17" t="inlineStr">
        <is>
          <t>Forecast</t>
        </is>
      </c>
      <c r="C65" s="14" t="n">
        <v>6423</v>
      </c>
      <c r="D65" s="14" t="n">
        <v>0</v>
      </c>
      <c r="E65" s="14" t="n">
        <v>57538</v>
      </c>
    </row>
    <row r="66">
      <c r="A66" s="17" t="inlineStr">
        <is>
          <t>2026-10-31</t>
        </is>
      </c>
      <c r="B66" s="17" t="inlineStr">
        <is>
          <t>Forecast</t>
        </is>
      </c>
      <c r="C66" s="14" t="n">
        <v>46923</v>
      </c>
      <c r="D66" s="14" t="n">
        <v>0</v>
      </c>
      <c r="E66" s="14" t="n">
        <v>104461</v>
      </c>
    </row>
    <row r="67">
      <c r="A67" s="17" t="inlineStr">
        <is>
          <t>2026-11-01</t>
        </is>
      </c>
      <c r="B67" s="17" t="inlineStr">
        <is>
          <t>Forecast</t>
        </is>
      </c>
      <c r="C67" s="14" t="n">
        <v>6423</v>
      </c>
      <c r="D67" s="14" t="n">
        <v>0</v>
      </c>
      <c r="E67" s="14" t="n">
        <v>110883</v>
      </c>
    </row>
    <row r="68">
      <c r="A68" s="17" t="inlineStr">
        <is>
          <t>2026-11-02</t>
        </is>
      </c>
      <c r="B68" s="17" t="inlineStr">
        <is>
          <t>Forecast</t>
        </is>
      </c>
      <c r="C68" s="14" t="n">
        <v>0</v>
      </c>
      <c r="D68" s="14" t="n">
        <v>-47615</v>
      </c>
      <c r="E68" s="14" t="n">
        <v>63268</v>
      </c>
    </row>
    <row r="69">
      <c r="A69" s="17" t="inlineStr">
        <is>
          <t>2026-11-03</t>
        </is>
      </c>
      <c r="B69" s="17" t="inlineStr">
        <is>
          <t>Forecast</t>
        </is>
      </c>
      <c r="C69" s="14" t="n">
        <v>0</v>
      </c>
      <c r="D69" s="14" t="n">
        <v>0</v>
      </c>
      <c r="E69" s="14" t="n">
        <v>63268</v>
      </c>
    </row>
    <row r="70">
      <c r="A70" s="17" t="inlineStr">
        <is>
          <t>2026-11-04</t>
        </is>
      </c>
      <c r="B70" s="17" t="inlineStr">
        <is>
          <t>Forecast</t>
        </is>
      </c>
      <c r="C70" s="14" t="n">
        <v>6423</v>
      </c>
      <c r="D70" s="14" t="n">
        <v>0</v>
      </c>
      <c r="E70" s="14" t="n">
        <v>69691</v>
      </c>
    </row>
    <row r="71">
      <c r="A71" s="17" t="inlineStr">
        <is>
          <t>2026-11-05</t>
        </is>
      </c>
      <c r="B71" s="17" t="inlineStr">
        <is>
          <t>Forecast</t>
        </is>
      </c>
      <c r="C71" s="14" t="n">
        <v>6423</v>
      </c>
      <c r="D71" s="14" t="n">
        <v>0</v>
      </c>
      <c r="E71" s="14" t="n">
        <v>76114</v>
      </c>
    </row>
    <row r="72">
      <c r="A72" s="17" t="inlineStr">
        <is>
          <t>2026-11-06</t>
        </is>
      </c>
      <c r="B72" s="17" t="inlineStr">
        <is>
          <t>Forecast</t>
        </is>
      </c>
      <c r="C72" s="14" t="n">
        <v>6423</v>
      </c>
      <c r="D72" s="14" t="n">
        <v>0</v>
      </c>
      <c r="E72" s="14" t="n">
        <v>82537</v>
      </c>
    </row>
    <row r="73">
      <c r="A73" s="17" t="inlineStr">
        <is>
          <t>2026-11-07</t>
        </is>
      </c>
      <c r="B73" s="17" t="inlineStr">
        <is>
          <t>Forecast</t>
        </is>
      </c>
      <c r="C73" s="14" t="n">
        <v>6423</v>
      </c>
      <c r="D73" s="14" t="n">
        <v>0</v>
      </c>
      <c r="E73" s="14" t="n">
        <v>88960</v>
      </c>
    </row>
    <row r="74">
      <c r="A74" s="17" t="inlineStr">
        <is>
          <t>2026-11-08</t>
        </is>
      </c>
      <c r="B74" s="17" t="inlineStr">
        <is>
          <t>Forecast</t>
        </is>
      </c>
      <c r="C74" s="14" t="n">
        <v>6423</v>
      </c>
      <c r="D74" s="14" t="n">
        <v>0</v>
      </c>
      <c r="E74" s="14" t="n">
        <v>95383</v>
      </c>
    </row>
    <row r="75">
      <c r="A75" s="17" t="inlineStr">
        <is>
          <t>2026-11-09</t>
        </is>
      </c>
      <c r="B75" s="17" t="inlineStr">
        <is>
          <t>Forecast</t>
        </is>
      </c>
      <c r="C75" s="14" t="n">
        <v>0</v>
      </c>
      <c r="D75" s="14" t="n">
        <v>0</v>
      </c>
      <c r="E75" s="14" t="n">
        <v>95383</v>
      </c>
    </row>
    <row r="76">
      <c r="A76" s="17" t="inlineStr">
        <is>
          <t>2026-11-10</t>
        </is>
      </c>
      <c r="B76" s="17" t="inlineStr">
        <is>
          <t>Forecast</t>
        </is>
      </c>
      <c r="C76" s="14" t="n">
        <v>0</v>
      </c>
      <c r="D76" s="14" t="n">
        <v>0</v>
      </c>
      <c r="E76" s="14" t="n">
        <v>95383</v>
      </c>
    </row>
    <row r="77">
      <c r="A77" s="17" t="inlineStr">
        <is>
          <t>2026-11-11</t>
        </is>
      </c>
      <c r="B77" s="17" t="inlineStr">
        <is>
          <t>Forecast</t>
        </is>
      </c>
      <c r="C77" s="14" t="n">
        <v>6423</v>
      </c>
      <c r="D77" s="14" t="n">
        <v>0</v>
      </c>
      <c r="E77" s="14" t="n">
        <v>101806</v>
      </c>
    </row>
    <row r="78">
      <c r="A78" s="17" t="inlineStr">
        <is>
          <t>2026-11-12</t>
        </is>
      </c>
      <c r="B78" s="17" t="inlineStr">
        <is>
          <t>Forecast</t>
        </is>
      </c>
      <c r="C78" s="14" t="n">
        <v>6423</v>
      </c>
      <c r="D78" s="14" t="n">
        <v>-37700</v>
      </c>
      <c r="E78" s="14" t="n">
        <v>70529</v>
      </c>
    </row>
    <row r="79">
      <c r="A79" s="17" t="inlineStr">
        <is>
          <t>2026-11-13</t>
        </is>
      </c>
      <c r="B79" s="17" t="inlineStr">
        <is>
          <t>Forecast</t>
        </is>
      </c>
      <c r="C79" s="14" t="n">
        <v>6423</v>
      </c>
      <c r="D79" s="14" t="n">
        <v>0</v>
      </c>
      <c r="E79" s="14" t="n">
        <v>76952</v>
      </c>
    </row>
    <row r="80">
      <c r="A80" s="17" t="inlineStr">
        <is>
          <t>2026-11-14</t>
        </is>
      </c>
      <c r="B80" s="17" t="inlineStr">
        <is>
          <t>Forecast</t>
        </is>
      </c>
      <c r="C80" s="14" t="n">
        <v>6423</v>
      </c>
      <c r="D80" s="14" t="n">
        <v>0</v>
      </c>
      <c r="E80" s="14" t="n">
        <v>83375</v>
      </c>
    </row>
    <row r="81">
      <c r="A81" s="17" t="inlineStr">
        <is>
          <t>2026-11-15</t>
        </is>
      </c>
      <c r="B81" s="17" t="inlineStr">
        <is>
          <t>Forecast</t>
        </is>
      </c>
      <c r="C81" s="14" t="n">
        <v>6423</v>
      </c>
      <c r="D81" s="14" t="n">
        <v>0</v>
      </c>
      <c r="E81" s="14" t="n">
        <v>89798</v>
      </c>
    </row>
    <row r="82">
      <c r="A82" s="17" t="inlineStr">
        <is>
          <t>2026-11-16</t>
        </is>
      </c>
      <c r="B82" s="17" t="inlineStr">
        <is>
          <t>Forecast</t>
        </is>
      </c>
      <c r="C82" s="14" t="n">
        <v>0</v>
      </c>
      <c r="D82" s="14" t="n">
        <v>-46515</v>
      </c>
      <c r="E82" s="14" t="n">
        <v>43283</v>
      </c>
    </row>
    <row r="83">
      <c r="A83" s="17" t="inlineStr">
        <is>
          <t>2026-11-17</t>
        </is>
      </c>
      <c r="B83" s="17" t="inlineStr">
        <is>
          <t>Forecast</t>
        </is>
      </c>
      <c r="C83" s="14" t="n">
        <v>0</v>
      </c>
      <c r="D83" s="14" t="n">
        <v>0</v>
      </c>
      <c r="E83" s="14" t="n">
        <v>43283</v>
      </c>
    </row>
    <row r="84">
      <c r="A84" s="17" t="inlineStr">
        <is>
          <t>2026-11-18</t>
        </is>
      </c>
      <c r="B84" s="17" t="inlineStr">
        <is>
          <t>Forecast</t>
        </is>
      </c>
      <c r="C84" s="14" t="n">
        <v>6423</v>
      </c>
      <c r="D84" s="14" t="n">
        <v>0</v>
      </c>
      <c r="E84" s="14" t="n">
        <v>49706</v>
      </c>
    </row>
    <row r="85">
      <c r="A85" s="17" t="inlineStr">
        <is>
          <t>2026-11-19</t>
        </is>
      </c>
      <c r="B85" s="17" t="inlineStr">
        <is>
          <t>Forecast</t>
        </is>
      </c>
      <c r="C85" s="14" t="n">
        <v>6423</v>
      </c>
      <c r="D85" s="14" t="n">
        <v>0</v>
      </c>
      <c r="E85" s="14" t="n">
        <v>56129</v>
      </c>
    </row>
    <row r="86">
      <c r="A86" s="17" t="inlineStr">
        <is>
          <t>2026-11-20</t>
        </is>
      </c>
      <c r="B86" s="17" t="inlineStr">
        <is>
          <t>Forecast</t>
        </is>
      </c>
      <c r="C86" s="14" t="n">
        <v>6423</v>
      </c>
      <c r="D86" s="14" t="n">
        <v>0</v>
      </c>
      <c r="E86" s="14" t="n">
        <v>62552</v>
      </c>
    </row>
    <row r="87">
      <c r="A87" s="17" t="inlineStr">
        <is>
          <t>2026-11-21</t>
        </is>
      </c>
      <c r="B87" s="17" t="inlineStr">
        <is>
          <t>Forecast</t>
        </is>
      </c>
      <c r="C87" s="14" t="n">
        <v>6423</v>
      </c>
      <c r="D87" s="14" t="n">
        <v>0</v>
      </c>
      <c r="E87" s="14" t="n">
        <v>68975</v>
      </c>
    </row>
    <row r="88">
      <c r="A88" s="17" t="inlineStr">
        <is>
          <t>2026-11-22</t>
        </is>
      </c>
      <c r="B88" s="17" t="inlineStr">
        <is>
          <t>Forecast</t>
        </is>
      </c>
      <c r="C88" s="14" t="n">
        <v>6423</v>
      </c>
      <c r="D88" s="14" t="n">
        <v>0</v>
      </c>
      <c r="E88" s="14" t="n">
        <v>75398</v>
      </c>
    </row>
    <row r="89">
      <c r="A89" s="17" t="inlineStr">
        <is>
          <t>2026-11-23</t>
        </is>
      </c>
      <c r="B89" s="17" t="inlineStr">
        <is>
          <t>Forecast</t>
        </is>
      </c>
      <c r="C89" s="14" t="n">
        <v>0</v>
      </c>
      <c r="D89" s="14" t="n">
        <v>0</v>
      </c>
      <c r="E89" s="14" t="n">
        <v>75398</v>
      </c>
    </row>
    <row r="90">
      <c r="A90" s="17" t="inlineStr">
        <is>
          <t>2026-11-24</t>
        </is>
      </c>
      <c r="B90" s="17" t="inlineStr">
        <is>
          <t>Forecast</t>
        </is>
      </c>
      <c r="C90" s="14" t="n">
        <v>0</v>
      </c>
      <c r="D90" s="14" t="n">
        <v>0</v>
      </c>
      <c r="E90" s="14" t="n">
        <v>75398</v>
      </c>
    </row>
    <row r="91">
      <c r="A91" s="17" t="inlineStr">
        <is>
          <t>2026-11-25</t>
        </is>
      </c>
      <c r="B91" s="17" t="inlineStr">
        <is>
          <t>Forecast</t>
        </is>
      </c>
      <c r="C91" s="14" t="n">
        <v>6423</v>
      </c>
      <c r="D91" s="14" t="n">
        <v>0</v>
      </c>
      <c r="E91" s="14" t="n">
        <v>81821</v>
      </c>
    </row>
    <row r="92">
      <c r="A92" s="17" t="inlineStr">
        <is>
          <t>2026-11-26</t>
        </is>
      </c>
      <c r="B92" s="17" t="inlineStr">
        <is>
          <t>Forecast</t>
        </is>
      </c>
      <c r="C92" s="14" t="n">
        <v>6423</v>
      </c>
      <c r="D92" s="14" t="n">
        <v>-37700</v>
      </c>
      <c r="E92" s="14" t="n">
        <v>50544</v>
      </c>
    </row>
    <row r="93">
      <c r="A93" s="17" t="inlineStr">
        <is>
          <t>2026-11-27</t>
        </is>
      </c>
      <c r="B93" s="17" t="inlineStr">
        <is>
          <t>Forecast</t>
        </is>
      </c>
      <c r="C93" s="14" t="n">
        <v>6423</v>
      </c>
      <c r="D93" s="14" t="n">
        <v>0</v>
      </c>
      <c r="E93" s="14" t="n">
        <v>56967</v>
      </c>
    </row>
    <row r="94">
      <c r="A94" s="17" t="inlineStr">
        <is>
          <t>2026-11-28</t>
        </is>
      </c>
      <c r="B94" s="17" t="inlineStr">
        <is>
          <t>Forecast</t>
        </is>
      </c>
      <c r="C94" s="14" t="n">
        <v>6423</v>
      </c>
      <c r="D94" s="14" t="n">
        <v>0</v>
      </c>
      <c r="E94" s="14" t="n">
        <v>63390</v>
      </c>
    </row>
    <row r="95">
      <c r="A95" s="17" t="inlineStr">
        <is>
          <t>2026-11-29</t>
        </is>
      </c>
      <c r="B95" s="17" t="inlineStr">
        <is>
          <t>Forecast</t>
        </is>
      </c>
      <c r="C95" s="14" t="n">
        <v>6423</v>
      </c>
      <c r="D95" s="14" t="n">
        <v>0</v>
      </c>
      <c r="E95" s="14" t="n">
        <v>69813</v>
      </c>
    </row>
    <row r="96">
      <c r="A96" s="17" t="inlineStr">
        <is>
          <t>2026-11-30</t>
        </is>
      </c>
      <c r="B96" s="17" t="inlineStr">
        <is>
          <t>Forecast</t>
        </is>
      </c>
      <c r="C96" s="14" t="n">
        <v>0</v>
      </c>
      <c r="D96" s="14" t="n">
        <v>-52615</v>
      </c>
      <c r="E96" s="14" t="n">
        <v>17198</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cash-payroll.xlsx&amp;C&amp;"Roboto,Regular"&amp;8 Data retrieved 2pm, Tue 6 Oct 2026&amp;R&amp;"Roboto,Regular"&amp;8 Page &amp;P of &amp;N</oddFooter>
    <evenHeader/>
    <evenFooter/>
    <firstHeader/>
    <firstFooter/>
  </headerFooter>
  <rowBreaks count="3" manualBreakCount="3">
    <brk id="31" min="0" max="16383" man="1"/>
    <brk id="61" min="0" max="16383" man="1"/>
    <brk id="91"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2026-10-07T13:34:16Z</dcterms:created>
  <dcterms:modified xmlns:dcterms="http://purl.org/dc/terms/" xmlns:xsi="http://www.w3.org/2001/XMLSchema-instance" xsi:type="dcterms:W3CDTF">2026-10-07T13:34:16Z</dcterms:modified>
</cp:coreProperties>
</file>