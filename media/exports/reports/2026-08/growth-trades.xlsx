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tables/table1.xml" ContentType="application/vnd.openxmlformats-officedocument.spreadsheetml.table+xml"/>
  <Override PartName="/xl/worksheets/sheet4.xml" ContentType="application/vnd.openxmlformats-officedocument.spreadsheetml.worksheet+xml"/>
  <Override PartName="/xl/tables/table2.xml" ContentType="application/vnd.openxmlformats-officedocument.spreadsheetml.table+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port" sheetId="1" state="visible" r:id="rId1"/>
    <sheet xmlns:r="http://schemas.openxmlformats.org/officeDocument/2006/relationships" name="Workings" sheetId="2" state="visible" r:id="rId2"/>
    <sheet xmlns:r="http://schemas.openxmlformats.org/officeDocument/2006/relationships" name="Data Trades" sheetId="3" state="visible" r:id="rId3"/>
    <sheet xmlns:r="http://schemas.openxmlformats.org/officeDocument/2006/relationships" name="Year to date Trades" sheetId="4" state="visible" r:id="rId4"/>
  </sheets>
  <definedNames>
    <definedName name="Trades_August_against_August_last_year">'Report'!$B$16</definedName>
    <definedName name="Trades_Year_to_date_against_the_same_period_last_year">'Report'!$B$17</definedName>
    <definedName name="Trades_Gross_margin_year_to_date">'Report'!$B$18</definedName>
    <definedName name="Trades_August_against_August_last_year_2">'Report'!$B$28</definedName>
    <definedName name="Trades_Year_to_date_against_the_same_period_last_year_2">'Report'!$B$29</definedName>
    <definedName name="Trades_Gross_margin_year_to_date_2">'Report'!$B$30</definedName>
    <definedName name="Trades_August_against_August_last_year_3">'Report'!$B$40</definedName>
    <definedName name="Trades_Year_to_date_against_the_same_period_last_year_3">'Report'!$B$41</definedName>
    <definedName name="Trades_Gross_margin_year_to_date_3">'Report'!$B$42</definedName>
    <definedName name="Trades_August_against_August_last_year_4">'Report'!$B$52</definedName>
    <definedName name="Trades_Year_to_date_against_the_same_period_last_year_4">'Report'!$B$53</definedName>
    <definedName name="Trades_Gross_margin_year_to_date_4">'Report'!$B$54</definedName>
    <definedName name="_xlnm.Print_Area" localSheetId="0">'Report'!$A$1:$D$63</definedName>
    <definedName name="_xlnm.Print_Area" localSheetId="1">'Workings'!$A$1:$B$131</definedName>
    <definedName name="_xlnm.Print_Titles" localSheetId="2">'Data Trades'!$5:$5</definedName>
    <definedName name="_xlnm.Print_Area" localSheetId="2">'Data Trades'!$A$1:$G$97</definedName>
    <definedName name="_xlnm.Print_Titles" localSheetId="3">'Year to date Trades'!$5:$5</definedName>
    <definedName name="_xlnm.Print_Area" localSheetId="3">'Year to date Trades'!$A$1:$F$9</definedName>
  </definedNames>
  <calcPr calcId="124519" fullCalcOnLoad="1"/>
</workbook>
</file>

<file path=xl/styles.xml><?xml version="1.0" encoding="utf-8"?>
<styleSheet xmlns="http://schemas.openxmlformats.org/spreadsheetml/2006/main">
  <numFmts count="2">
    <numFmt numFmtId="164" formatCode="#,##0;[Red](#,##0);&quot;-&quot;"/>
    <numFmt numFmtId="165" formatCode="0.0%;[Red](0.0%);&quot;-&quot;"/>
  </numFmts>
  <fonts count="11">
    <font>
      <name val="Roboto"/>
      <sz val="11"/>
    </font>
    <font>
      <name val="Roboto"/>
      <sz val="11"/>
    </font>
    <font>
      <name val="Roboto"/>
      <b val="1"/>
      <color rgb="0025342A"/>
      <sz val="14"/>
    </font>
    <font>
      <name val="Roboto"/>
      <i val="1"/>
      <color rgb="005F6F63"/>
      <sz val="9"/>
    </font>
    <font>
      <name val="Roboto"/>
      <b val="1"/>
      <color rgb="002F7A5D"/>
      <sz val="13"/>
    </font>
    <font>
      <name val="Roboto"/>
      <b val="1"/>
      <color rgb="002F7A5D"/>
      <sz val="12"/>
    </font>
    <font>
      <name val="Roboto"/>
      <i val="1"/>
      <color rgb="005F6F63"/>
    </font>
    <font>
      <name val="Roboto"/>
      <b val="1"/>
      <color rgb="00FFFFFF"/>
    </font>
    <font>
      <name val="Roboto"/>
      <b val="1"/>
    </font>
    <font>
      <name val="Roboto"/>
      <b val="1"/>
      <color rgb="002F7A5D"/>
    </font>
    <font>
      <name val="Roboto"/>
      <color rgb="005F6F63"/>
    </font>
  </fonts>
  <fills count="3">
    <fill>
      <patternFill/>
    </fill>
    <fill>
      <patternFill patternType="gray125"/>
    </fill>
    <fill>
      <patternFill patternType="solid">
        <fgColor rgb="002F7A5D"/>
      </patternFill>
    </fill>
  </fills>
  <borders count="2">
    <border>
      <left/>
      <right/>
      <top/>
      <bottom/>
      <diagonal/>
    </border>
    <border>
      <top style="thin">
        <color rgb="00DCE8DC"/>
      </top>
    </border>
  </borders>
  <cellStyleXfs count="1">
    <xf numFmtId="0" fontId="1" fillId="0" borderId="0"/>
  </cellStyleXfs>
  <cellXfs count="17">
    <xf numFmtId="0" fontId="0" fillId="0" borderId="0" pivotButton="0" quotePrefix="0" xfId="0"/>
    <xf numFmtId="0" fontId="2" fillId="0" borderId="0" pivotButton="0" quotePrefix="0" xfId="0"/>
    <xf numFmtId="0" fontId="3" fillId="0" borderId="0" pivotButton="0" quotePrefix="0" xfId="0"/>
    <xf numFmtId="0" fontId="0" fillId="0" borderId="0" applyAlignment="1" pivotButton="0" quotePrefix="0" xfId="0">
      <alignment vertical="top" wrapText="1"/>
    </xf>
    <xf numFmtId="0" fontId="4" fillId="0" borderId="0" pivotButton="0" quotePrefix="0" xfId="0"/>
    <xf numFmtId="0" fontId="9" fillId="0" borderId="0" pivotButton="0" quotePrefix="0" xfId="0"/>
    <xf numFmtId="0" fontId="5" fillId="0" borderId="0" pivotButton="0" quotePrefix="0" xfId="0"/>
    <xf numFmtId="0" fontId="7" fillId="2" borderId="0" applyAlignment="1" pivotButton="0" quotePrefix="0" xfId="0">
      <alignment horizontal="left" vertical="center" wrapText="1"/>
    </xf>
    <xf numFmtId="0" fontId="7" fillId="2" borderId="0" applyAlignment="1" pivotButton="0" quotePrefix="0" xfId="0">
      <alignment horizontal="right" vertical="center" wrapText="1"/>
    </xf>
    <xf numFmtId="165" fontId="0" fillId="0" borderId="0" pivotButton="0" quotePrefix="0" xfId="0"/>
    <xf numFmtId="0" fontId="10" fillId="0" borderId="0" applyAlignment="1" pivotButton="0" quotePrefix="0" xfId="0">
      <alignment indent="1"/>
    </xf>
    <xf numFmtId="0" fontId="6" fillId="0" borderId="0" pivotButton="0" quotePrefix="0" xfId="0"/>
    <xf numFmtId="164" fontId="0" fillId="0" borderId="0" applyAlignment="1" pivotButton="0" quotePrefix="0" xfId="0">
      <alignment horizontal="right"/>
    </xf>
    <xf numFmtId="165" fontId="0" fillId="0" borderId="0" applyAlignment="1" pivotButton="0" quotePrefix="0" xfId="0">
      <alignment horizontal="right"/>
    </xf>
    <xf numFmtId="0" fontId="8" fillId="0" borderId="1" pivotButton="0" quotePrefix="0" xfId="0"/>
    <xf numFmtId="165" fontId="8" fillId="0" borderId="1" applyAlignment="1" pivotButton="0" quotePrefix="0" xfId="0">
      <alignment horizontal="right"/>
    </xf>
    <xf numFmtId="49"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harts/chart1.xml><?xml version="1.0" encoding="utf-8"?>
<chartSpace xmlns="http://schemas.openxmlformats.org/drawingml/2006/chart">
  <style val="2"/>
  <chart>
    <title>
      <tx>
        <rich>
          <a:bodyPr xmlns:a="http://schemas.openxmlformats.org/drawingml/2006/main"/>
          <a:p xmlns:a="http://schemas.openxmlformats.org/drawingml/2006/main">
            <a:pPr>
              <a:defRPr sz="1100" b="1">
                <a:solidFill>
                  <a:srgbClr val="25342A"/>
                </a:solidFill>
                <a:latin typeface="Roboto"/>
              </a:defRPr>
            </a:pPr>
            <a:r>
              <a:rPr sz="1100" b="1">
                <a:solidFill>
                  <a:srgbClr val="25342A"/>
                </a:solidFill>
                <a:latin typeface="Roboto"/>
              </a:rPr>
              <a:t>Revenue by month</a:t>
            </a:r>
          </a:p>
        </rich>
      </tx>
      <overlay val="0"/>
    </title>
    <plotArea>
      <lineChart>
        <grouping val="standard"/>
        <ser>
          <idx val="0"/>
          <order val="0"/>
          <tx>
            <v>All</v>
          </tx>
          <spPr>
            <a:ln xmlns:a="http://schemas.openxmlformats.org/drawingml/2006/main" w="22000">
              <a:solidFill>
                <a:srgbClr val="0E9F6E"/>
              </a:solidFill>
              <a:prstDash val="solid"/>
            </a:ln>
          </spPr>
          <marker>
            <symbol val="none"/>
            <spPr>
              <a:ln xmlns:a="http://schemas.openxmlformats.org/drawingml/2006/main">
                <a:prstDash val="solid"/>
              </a:ln>
            </spPr>
          </marker>
          <cat>
            <numRef>
              <f>'Data Trades'!$B$6:$B$28</f>
            </numRef>
          </cat>
          <val>
            <numRef>
              <f>'Data Trades'!$D$6:$D$28</f>
            </numRef>
          </val>
          <smooth val="0"/>
        </ser>
        <ser>
          <idx val="1"/>
          <order val="1"/>
          <tx>
            <v>Maintenance contracts</v>
          </tx>
          <spPr>
            <a:ln xmlns:a="http://schemas.openxmlformats.org/drawingml/2006/main" w="22000">
              <a:solidFill>
                <a:srgbClr val="2F7A5D"/>
              </a:solidFill>
              <a:prstDash val="solid"/>
            </a:ln>
          </spPr>
          <marker>
            <symbol val="none"/>
            <spPr>
              <a:ln xmlns:a="http://schemas.openxmlformats.org/drawingml/2006/main">
                <a:prstDash val="solid"/>
              </a:ln>
            </spPr>
          </marker>
          <cat>
            <numRef>
              <f>'Data Trades'!$B$6:$B$28</f>
            </numRef>
          </cat>
          <val>
            <numRef>
              <f>'Data Trades'!$D$29:$D$51</f>
            </numRef>
          </val>
          <smooth val="0"/>
        </ser>
        <ser>
          <idx val="2"/>
          <order val="2"/>
          <tx>
            <v>Installations</v>
          </tx>
          <spPr>
            <a:ln xmlns:a="http://schemas.openxmlformats.org/drawingml/2006/main" w="22000">
              <a:solidFill>
                <a:srgbClr val="8A6D3B"/>
              </a:solidFill>
              <a:prstDash val="solid"/>
            </a:ln>
          </spPr>
          <marker>
            <symbol val="none"/>
            <spPr>
              <a:ln xmlns:a="http://schemas.openxmlformats.org/drawingml/2006/main">
                <a:prstDash val="solid"/>
              </a:ln>
            </spPr>
          </marker>
          <cat>
            <numRef>
              <f>'Data Trades'!$B$6:$B$28</f>
            </numRef>
          </cat>
          <val>
            <numRef>
              <f>'Data Trades'!$D$52:$D$74</f>
            </numRef>
          </val>
          <smooth val="0"/>
        </ser>
        <ser>
          <idx val="3"/>
          <order val="3"/>
          <tx>
            <v>Call-outs and repairs</v>
          </tx>
          <spPr>
            <a:ln xmlns:a="http://schemas.openxmlformats.org/drawingml/2006/main" w="22000">
              <a:solidFill>
                <a:srgbClr val="5F6F63"/>
              </a:solidFill>
              <a:prstDash val="solid"/>
            </a:ln>
          </spPr>
          <marker>
            <symbol val="none"/>
            <spPr>
              <a:ln xmlns:a="http://schemas.openxmlformats.org/drawingml/2006/main">
                <a:prstDash val="solid"/>
              </a:ln>
            </spPr>
          </marker>
          <cat>
            <numRef>
              <f>'Data Trades'!$B$6:$B$28</f>
            </numRef>
          </cat>
          <val>
            <numRef>
              <f>'Data Trades'!$D$75:$D$97</f>
            </numRef>
          </val>
          <smooth val="0"/>
        </ser>
        <axId val="10"/>
        <axId val="100"/>
      </lineChart>
      <catAx>
        <axId val="10"/>
        <scaling>
          <orientation val="minMax"/>
        </scaling>
        <axPos val="l"/>
        <numFmt formatCode="@" sourceLinked="0"/>
        <majorTickMark val="none"/>
        <minorTickMark val="none"/>
        <crossAx val="100"/>
        <lblOffset val="100"/>
        <tickLblSkip val="1"/>
      </catAx>
      <valAx>
        <axId val="100"/>
        <scaling>
          <orientation val="minMax"/>
        </scaling>
        <axPos val="l"/>
        <majorGridlines/>
        <numFmt formatCode="#,##0;(#,##0)" sourceLinked="0"/>
        <majorTickMark val="none"/>
        <minorTickMark val="none"/>
        <crossAx val="10"/>
      </valAx>
    </plotArea>
    <legend>
      <legendPos val="b"/>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oneCellAnchor>
    <from>
      <col>8</col>
      <colOff>0</colOff>
      <row>4</row>
      <rowOff>0</rowOff>
    </from>
    <ext cx="648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ables/table1.xml><?xml version="1.0" encoding="utf-8"?>
<table xmlns="http://schemas.openxmlformats.org/spreadsheetml/2006/main" id="1" name="growth_Data_Trades" displayName="growth_Data_Trades" ref="A5:G97" headerRowCount="1">
  <autoFilter ref="A5:G97"/>
  <tableColumns count="7">
    <tableColumn id="1" name="Line"/>
    <tableColumn id="2" name="Month"/>
    <tableColumn id="3" name="Status"/>
    <tableColumn id="4" name="Revenue"/>
    <tableColumn id="5" name="Direct cost"/>
    <tableColumn id="6" name="Gross margin"/>
    <tableColumn id="7" name="Gross margin %"/>
  </tableColumns>
  <tableStyleInfo name="TableStyleLight1" showRowStripes="1"/>
</table>
</file>

<file path=xl/tables/table2.xml><?xml version="1.0" encoding="utf-8"?>
<table xmlns="http://schemas.openxmlformats.org/spreadsheetml/2006/main" id="2" name="growth_Year_to_date_Trades" displayName="growth_Year_to_date_Trades" ref="A5:F9" headerRowCount="1">
  <autoFilter ref="A5:F9"/>
  <tableColumns count="6">
    <tableColumn id="1" name="Line"/>
    <tableColumn id="2" name="Year to date"/>
    <tableColumn id="3" name="Same period last year"/>
    <tableColumn id="4" name="Growth"/>
    <tableColumn id="5" name="Gross margin $"/>
    <tableColumn id="6" name="Gross margin %"/>
  </tableColumns>
  <tableStyleInfo name="TableStyleLight1"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drawing" Target="/xl/drawings/drawing1.xml" Id="rId1"/><Relationship Type="http://schemas.openxmlformats.org/officeDocument/2006/relationships/table" Target="/xl/tables/table1.xml" Id="rId2"/></Relationships>
</file>

<file path=xl/worksheets/_rels/sheet4.xml.rels><Relationships xmlns="http://schemas.openxmlformats.org/package/2006/relationships"><Relationship Type="http://schemas.openxmlformats.org/officeDocument/2006/relationships/table" Target="/xl/tables/table2.xml" Id="rId1"/></Relationships>
</file>

<file path=xl/worksheets/sheet1.xml><?xml version="1.0" encoding="utf-8"?>
<worksheet xmlns="http://schemas.openxmlformats.org/spreadsheetml/2006/main">
  <sheetPr>
    <outlinePr summaryBelow="1" summaryRight="1"/>
    <pageSetUpPr fitToPage="1"/>
  </sheetPr>
  <dimension ref="A1:D65"/>
  <sheetViews>
    <sheetView showGridLines="0" workbookViewId="0">
      <selection activeCell="A1" sqref="A1"/>
    </sheetView>
  </sheetViews>
  <sheetFormatPr baseColWidth="8" defaultRowHeight="15"/>
  <cols>
    <col width="52" customWidth="1" min="1" max="1"/>
    <col width="20" customWidth="1" min="2" max="2"/>
    <col width="44" customWidth="1" min="3" max="3"/>
    <col width="18" customWidth="1" min="4" max="4"/>
  </cols>
  <sheetData>
    <row r="1">
      <c r="A1" s="1" t="inlineStr">
        <is>
          <t>Which products and services are growing?</t>
        </is>
      </c>
    </row>
    <row r="2">
      <c r="A2" s="2" t="inlineStr">
        <is>
          <t>Sample Electrical &amp; Air Pty Ltd · SAMPLE DATA (invented) · The Fourth Sheet · Made with Python (openpyxl)</t>
        </is>
      </c>
    </row>
    <row r="3">
      <c r="A3" s="2" t="inlineStr">
        <is>
          <t>Period: August 2026 · Data status: Jul 2026 locked · Aug 2026 locked · Oct 2026 incomplete (data retrieved 2pm, Tue 6 Oct 2026) · Generated 9 Oct 2026, 8:41am</t>
        </is>
      </c>
    </row>
    <row r="4"/>
    <row r="5" ht="32" customHeight="1">
      <c r="A5" s="3" t="inlineStr">
        <is>
          <t>Revenue, gross margin and growth (year on year) by product or service line over 24 months. Pick a line and every number, chart and note follows it.</t>
        </is>
      </c>
    </row>
    <row r="6"/>
    <row r="7">
      <c r="A7" s="4" t="inlineStr">
        <is>
          <t>Trades</t>
        </is>
      </c>
    </row>
    <row r="8">
      <c r="A8" s="5" t="inlineStr">
        <is>
          <t>From gross margin to profit</t>
        </is>
      </c>
    </row>
    <row r="9" ht="45" customHeight="1">
      <c r="A9" s="3" t="inlineStr">
        <is>
          <t>August's jobs made $94,153 gross margin (47.2%). Technician time not charged to jobs took $27,812 and overheads $59,500, leaving $6,841 profit before tax (3.4% of revenue). To cover overheads, jobs need a 43.8% gross margin on average. (Workings sheet: "From gross margin to profit".)</t>
        </is>
      </c>
    </row>
    <row r="10"/>
    <row r="11">
      <c r="A11" s="5" t="inlineStr">
        <is>
          <t>Gross margin, not profit</t>
        </is>
      </c>
    </row>
    <row r="12" ht="90" customHeight="1">
      <c r="A12" s="3" t="inlineStr">
        <is>
          <t>Gross margin is not profit. Job gross margin = revenue less materials, subcontractors and technician time charged to the job at $68 an hour (wages and all on-costs). Not included: technician time not charged to any job (travel, training, waiting), and overheads (office wages, marketing, vehicles, rent, insurance, IT, depreciation, interest). Profit is what's left after those. Wages include their on-costs: super (12%) and leave as it's earned. No payroll tax: wages are under Queensland's $1.3 million threshold.</t>
        </is>
      </c>
    </row>
    <row r="13"/>
    <row r="14">
      <c r="A14" s="6" t="inlineStr">
        <is>
          <t>Line: All</t>
        </is>
      </c>
    </row>
    <row r="15">
      <c r="A15" s="7" t="inlineStr">
        <is>
          <t>Headline number</t>
        </is>
      </c>
      <c r="B15" s="8" t="inlineStr">
        <is>
          <t>Value</t>
        </is>
      </c>
      <c r="C15" s="8" t="inlineStr">
        <is>
          <t>Compared with</t>
        </is>
      </c>
    </row>
    <row r="16">
      <c r="A16" t="inlineStr">
        <is>
          <t>August against August last year</t>
        </is>
      </c>
      <c r="B16" s="9">
        <f>Workings!B27</f>
        <v/>
      </c>
      <c r="C16" s="10" t="inlineStr">
        <is>
          <t>$199,523 against $155,118</t>
        </is>
      </c>
    </row>
    <row r="17">
      <c r="A17" t="inlineStr">
        <is>
          <t>Year to date against the same period last year</t>
        </is>
      </c>
      <c r="B17" s="9">
        <f>Workings!B37</f>
        <v/>
      </c>
      <c r="C17" s="10" t="inlineStr">
        <is>
          <t>$415,133 against $363,706</t>
        </is>
      </c>
    </row>
    <row r="18">
      <c r="A18" t="inlineStr">
        <is>
          <t>Gross margin, year to date</t>
        </is>
      </c>
      <c r="B18" s="9">
        <f>Workings!B47</f>
        <v/>
      </c>
      <c r="C18" s="10" t="inlineStr">
        <is>
          <t>$187,639 before overheads</t>
        </is>
      </c>
    </row>
    <row r="19"/>
    <row r="20">
      <c r="A20" s="5" t="inlineStr">
        <is>
          <t>What it shows</t>
        </is>
      </c>
    </row>
    <row r="21" ht="45" customHeight="1">
      <c r="A21" s="3" t="inlineStr">
        <is>
          <t>Revenue is 14.1% up on the same period last year, year to date ($415,133 against $363,706). Maintenance contracts make the highest gross margin (63.9%); Installations the lowest (38.2%). The business needs 43.8% gross margin just to cover overheads.</t>
        </is>
      </c>
    </row>
    <row r="22"/>
    <row r="23">
      <c r="A23" s="5" t="inlineStr">
        <is>
          <t>What you'd do about it</t>
        </is>
      </c>
    </row>
    <row r="24" ht="45" customHeight="1">
      <c r="A24" s="3" t="inlineStr">
        <is>
          <t>Installations: 38.2% gross margin, 3.2 points over the 35.0% target ($8,530 ahead on $265,800 this financial year to date). Maintenance contracts: 63.9% gross margin, 28.9 points over the 35.0% target ($26,187 ahead on $90,700 this financial year to date).</t>
        </is>
      </c>
    </row>
    <row r="25"/>
    <row r="26">
      <c r="A26" s="6" t="inlineStr">
        <is>
          <t>Line: Maintenance contracts</t>
        </is>
      </c>
    </row>
    <row r="27">
      <c r="A27" s="7" t="inlineStr">
        <is>
          <t>Headline number</t>
        </is>
      </c>
      <c r="B27" s="8" t="inlineStr">
        <is>
          <t>Value</t>
        </is>
      </c>
      <c r="C27" s="8" t="inlineStr">
        <is>
          <t>Compared with</t>
        </is>
      </c>
    </row>
    <row r="28">
      <c r="A28" t="inlineStr">
        <is>
          <t>August against August last year</t>
        </is>
      </c>
      <c r="B28" s="9">
        <f>Workings!B55</f>
        <v/>
      </c>
      <c r="C28" s="10" t="inlineStr">
        <is>
          <t>$45,350 against $37,200</t>
        </is>
      </c>
    </row>
    <row r="29">
      <c r="A29" t="inlineStr">
        <is>
          <t>Year to date against the same period last year</t>
        </is>
      </c>
      <c r="B29" s="9">
        <f>Workings!B65</f>
        <v/>
      </c>
      <c r="C29" s="10" t="inlineStr">
        <is>
          <t>$90,700 against $74,400</t>
        </is>
      </c>
    </row>
    <row r="30">
      <c r="A30" t="inlineStr">
        <is>
          <t>Gross margin, year to date</t>
        </is>
      </c>
      <c r="B30" s="9">
        <f>Workings!B75</f>
        <v/>
      </c>
      <c r="C30" s="10" t="inlineStr">
        <is>
          <t>$57,932 before overheads</t>
        </is>
      </c>
    </row>
    <row r="31"/>
    <row r="32">
      <c r="A32" s="5" t="inlineStr">
        <is>
          <t>What it shows</t>
        </is>
      </c>
    </row>
    <row r="33" ht="45" customHeight="1">
      <c r="A33" s="3" t="inlineStr">
        <is>
          <t>Maintenance contracts brought in $90,700 this financial year to date, 21.9% on the same period last year (faster than the business as a whole, 14.1%), at a 63.9% gross margin (above the 45.2% overall).</t>
        </is>
      </c>
    </row>
    <row r="34"/>
    <row r="35">
      <c r="A35" s="5" t="inlineStr">
        <is>
          <t>What you'd do about it</t>
        </is>
      </c>
    </row>
    <row r="36" ht="30" customHeight="1">
      <c r="A36" s="3" t="inlineStr">
        <is>
          <t>Maintenance contracts: 63.9% gross margin, 28.9 points over the 35.0% target ($26,187 ahead on $90,700 this financial year to date).</t>
        </is>
      </c>
    </row>
    <row r="37"/>
    <row r="38">
      <c r="A38" s="6" t="inlineStr">
        <is>
          <t>Line: Installations</t>
        </is>
      </c>
    </row>
    <row r="39">
      <c r="A39" s="7" t="inlineStr">
        <is>
          <t>Headline number</t>
        </is>
      </c>
      <c r="B39" s="8" t="inlineStr">
        <is>
          <t>Value</t>
        </is>
      </c>
      <c r="C39" s="8" t="inlineStr">
        <is>
          <t>Compared with</t>
        </is>
      </c>
    </row>
    <row r="40">
      <c r="A40" t="inlineStr">
        <is>
          <t>August against August last year</t>
        </is>
      </c>
      <c r="B40" s="9">
        <f>Workings!B83</f>
        <v/>
      </c>
      <c r="C40" s="10" t="inlineStr">
        <is>
          <t>$122,800 against $96,500</t>
        </is>
      </c>
    </row>
    <row r="41">
      <c r="A41" t="inlineStr">
        <is>
          <t>Year to date against the same period last year</t>
        </is>
      </c>
      <c r="B41" s="9">
        <f>Workings!B93</f>
        <v/>
      </c>
      <c r="C41" s="10" t="inlineStr">
        <is>
          <t>$265,800 against $248,600</t>
        </is>
      </c>
    </row>
    <row r="42">
      <c r="A42" t="inlineStr">
        <is>
          <t>Gross margin, year to date</t>
        </is>
      </c>
      <c r="B42" s="9">
        <f>Workings!B103</f>
        <v/>
      </c>
      <c r="C42" s="10" t="inlineStr">
        <is>
          <t>$101,560 before overheads</t>
        </is>
      </c>
    </row>
    <row r="43"/>
    <row r="44">
      <c r="A44" s="5" t="inlineStr">
        <is>
          <t>What it shows</t>
        </is>
      </c>
    </row>
    <row r="45" ht="45" customHeight="1">
      <c r="A45" s="3" t="inlineStr">
        <is>
          <t>Installations brought in $265,800 this financial year to date, 6.9% on the same period last year (slower than the business as a whole, 14.1%), at a 38.2% gross margin (below the 45.2% overall).</t>
        </is>
      </c>
    </row>
    <row r="46"/>
    <row r="47">
      <c r="A47" s="5" t="inlineStr">
        <is>
          <t>What you'd do about it</t>
        </is>
      </c>
    </row>
    <row r="48" ht="30" customHeight="1">
      <c r="A48" s="3" t="inlineStr">
        <is>
          <t>Installations: 38.2% gross margin, 3.2 points over the 35.0% target ($8,530 ahead on $265,800 this financial year to date).</t>
        </is>
      </c>
    </row>
    <row r="49"/>
    <row r="50">
      <c r="A50" s="6" t="inlineStr">
        <is>
          <t>Line: Call-outs and repairs</t>
        </is>
      </c>
    </row>
    <row r="51">
      <c r="A51" s="7" t="inlineStr">
        <is>
          <t>Headline number</t>
        </is>
      </c>
      <c r="B51" s="8" t="inlineStr">
        <is>
          <t>Value</t>
        </is>
      </c>
      <c r="C51" s="8" t="inlineStr">
        <is>
          <t>Compared with</t>
        </is>
      </c>
    </row>
    <row r="52">
      <c r="A52" t="inlineStr">
        <is>
          <t>August against August last year</t>
        </is>
      </c>
      <c r="B52" s="9">
        <f>Workings!B111</f>
        <v/>
      </c>
      <c r="C52" s="10" t="inlineStr">
        <is>
          <t>$31,373 against $21,418</t>
        </is>
      </c>
    </row>
    <row r="53">
      <c r="A53" t="inlineStr">
        <is>
          <t>Year to date against the same period last year</t>
        </is>
      </c>
      <c r="B53" s="9">
        <f>Workings!B121</f>
        <v/>
      </c>
      <c r="C53" s="10" t="inlineStr">
        <is>
          <t>$58,633 against $40,706</t>
        </is>
      </c>
    </row>
    <row r="54">
      <c r="A54" t="inlineStr">
        <is>
          <t>Gross margin, year to date</t>
        </is>
      </c>
      <c r="B54" s="9">
        <f>Workings!B131</f>
        <v/>
      </c>
      <c r="C54" s="10" t="inlineStr">
        <is>
          <t>$28,147 before overheads</t>
        </is>
      </c>
    </row>
    <row r="55"/>
    <row r="56">
      <c r="A56" s="5" t="inlineStr">
        <is>
          <t>What it shows</t>
        </is>
      </c>
    </row>
    <row r="57" ht="45" customHeight="1">
      <c r="A57" s="3" t="inlineStr">
        <is>
          <t>Call-outs and repairs brought in $58,633 this financial year to date, 44.0% on the same period last year (faster than the business as a whole, 14.1%), at a 48.0% gross margin (above the 45.2% overall).</t>
        </is>
      </c>
    </row>
    <row r="58"/>
    <row r="59">
      <c r="A59" s="5" t="inlineStr">
        <is>
          <t>What you'd do about it</t>
        </is>
      </c>
    </row>
    <row r="60" ht="30" customHeight="1">
      <c r="A60" s="3" t="inlineStr">
        <is>
          <t>Call-outs and repairs: 48.0% gross margin, 13.0 points over the 35.0% target ($7,625 ahead on $58,633 this financial year to date).</t>
        </is>
      </c>
    </row>
    <row r="61"/>
    <row r="62">
      <c r="A62" s="6" t="inlineStr">
        <is>
          <t>Every line at once</t>
        </is>
      </c>
    </row>
    <row r="63">
      <c r="A63" s="11" t="inlineStr">
        <is>
          <t>Revenue, gross margin and growth by line, by month: every month is on the Data sheet.</t>
        </is>
      </c>
    </row>
    <row r="64"/>
    <row r="65"/>
  </sheetData>
  <mergeCells count="11">
    <mergeCell ref="A5:D5"/>
    <mergeCell ref="A45:D45"/>
    <mergeCell ref="A9:D9"/>
    <mergeCell ref="A12:D12"/>
    <mergeCell ref="A48:D48"/>
    <mergeCell ref="A21:D21"/>
    <mergeCell ref="A57:D57"/>
    <mergeCell ref="A24:D24"/>
    <mergeCell ref="A33:D33"/>
    <mergeCell ref="A60:D60"/>
    <mergeCell ref="A36:D36"/>
  </mergeCells>
  <printOptions horizontalCentered="1"/>
  <pageMargins left="0.5" right="0.5" top="0.75" bottom="0.75" header="0.5" footer="0.5"/>
  <pageSetup orientation="landscape" paperSize="9" fitToHeight="0" fitToWidth="1"/>
  <headerFooter>
    <oddHeader>&amp;L&amp;"Roboto,Regular"&amp;8 Sample Electrical &amp;&amp; Air Pty Ltd&amp;R&amp;"Roboto,Regular"&amp;8 &amp;A</oddHeader>
    <oddFooter>&amp;L&amp;"Roboto,Regular"&amp;8 growth-trades.xlsx&amp;C&amp;"Roboto,Regular"&amp;8 Data retrieved 2pm, Tue 6 Oct 2026 · Generated 9 Oct 2026, 8:41am&amp;R&amp;"Roboto,Regular"&amp;8 Page &amp;P of &amp;N</oddFooter>
    <evenHeader/>
    <evenFooter/>
    <firstHeader/>
    <firstFooter/>
  </headerFooter>
  <rowBreaks count="2" manualBreakCount="2">
    <brk id="19" min="0" max="16383" man="1"/>
    <brk id="43" min="0" max="16383" man="1"/>
  </rowBreaks>
</worksheet>
</file>

<file path=xl/worksheets/sheet2.xml><?xml version="1.0" encoding="utf-8"?>
<worksheet xmlns="http://schemas.openxmlformats.org/spreadsheetml/2006/main">
  <sheetPr>
    <outlinePr summaryBelow="1" summaryRight="1"/>
    <pageSetUpPr fitToPage="1"/>
  </sheetPr>
  <dimension ref="A1:B134"/>
  <sheetViews>
    <sheetView showGridLines="0" workbookViewId="0">
      <selection activeCell="A1" sqref="A1"/>
    </sheetView>
  </sheetViews>
  <sheetFormatPr baseColWidth="8" defaultRowHeight="15"/>
  <cols>
    <col width="58" customWidth="1" min="1" max="1"/>
    <col width="20" customWidth="1" min="2" max="2"/>
    <col width="20" customWidth="1" min="3" max="3"/>
    <col width="20" customWidth="1" min="4" max="4"/>
  </cols>
  <sheetData>
    <row r="1">
      <c r="A1" s="1" t="inlineStr">
        <is>
          <t>How each number is worked out</t>
        </is>
      </c>
    </row>
    <row r="2">
      <c r="A2" s="2" t="inlineStr">
        <is>
          <t>Sample Electrical &amp; Air Pty Ltd · SAMPLE DATA (invented) · The Fourth Sheet · Made with Python (openpyxl)</t>
        </is>
      </c>
    </row>
    <row r="3">
      <c r="A3" s="2" t="inlineStr">
        <is>
          <t>Period: August 2026 · Data status: Jul 2026 locked · Aug 2026 locked · Oct 2026 incomplete (data retrieved 2pm, Tue 6 Oct 2026) · Generated 9 Oct 2026, 8:41am</t>
        </is>
      </c>
    </row>
    <row r="4"/>
    <row r="5">
      <c r="A5" s="6" t="inlineStr">
        <is>
          <t>Trades: From gross margin to profit, August 2026</t>
        </is>
      </c>
    </row>
    <row r="6">
      <c r="A6" s="11" t="inlineStr">
        <is>
          <t>Gross margin on the work − time not charged − overheads = profit before tax</t>
        </is>
      </c>
    </row>
    <row r="7">
      <c r="A7" s="7" t="inlineStr"/>
      <c r="B7" s="8" t="inlineStr">
        <is>
          <t>Aug 2026</t>
        </is>
      </c>
    </row>
    <row r="8">
      <c r="A8" t="inlineStr">
        <is>
          <t>Gross margin on jobs</t>
        </is>
      </c>
      <c r="B8" s="12" t="n">
        <v>94153</v>
      </c>
    </row>
    <row r="9">
      <c r="A9" t="inlineStr">
        <is>
          <t>Technician wages and on-costs</t>
        </is>
      </c>
      <c r="B9" s="12" t="n">
        <v>72352</v>
      </c>
    </row>
    <row r="10">
      <c r="A10" t="inlineStr">
        <is>
          <t>Technician time charged to jobs (at cost)</t>
        </is>
      </c>
      <c r="B10" s="12" t="n">
        <v>44540</v>
      </c>
    </row>
    <row r="11">
      <c r="A11" t="inlineStr">
        <is>
          <t>Technician time not charged to jobs</t>
        </is>
      </c>
      <c r="B11" s="12">
        <f>B9-B10</f>
        <v/>
      </c>
    </row>
    <row r="12">
      <c r="A12" t="inlineStr">
        <is>
          <t>Gross profit (the P&amp;L)</t>
        </is>
      </c>
      <c r="B12" s="12">
        <f>B8-B11</f>
        <v/>
      </c>
    </row>
    <row r="13">
      <c r="A13" t="inlineStr">
        <is>
          <t>Overheads (operating expenses, depreciation, interest)</t>
        </is>
      </c>
      <c r="B13" s="12" t="n">
        <v>59500</v>
      </c>
    </row>
    <row r="14">
      <c r="A14" t="inlineStr">
        <is>
          <t>Profit before tax (the P&amp;L)</t>
        </is>
      </c>
      <c r="B14" s="12">
        <f>B12-B13</f>
        <v/>
      </c>
    </row>
    <row r="15">
      <c r="A15" t="inlineStr">
        <is>
          <t>Revenue</t>
        </is>
      </c>
      <c r="B15" s="12" t="n">
        <v>199523</v>
      </c>
    </row>
    <row r="16">
      <c r="A16" t="inlineStr">
        <is>
          <t>Gross margin on jobs, %</t>
        </is>
      </c>
      <c r="B16" s="13">
        <f>B8/B15</f>
        <v/>
      </c>
    </row>
    <row r="17">
      <c r="A17" t="inlineStr">
        <is>
          <t>Profit before tax, % of revenue</t>
        </is>
      </c>
      <c r="B17" s="13">
        <f>B14/B15</f>
        <v/>
      </c>
    </row>
    <row r="18">
      <c r="A18" s="14" t="inlineStr">
        <is>
          <t>Gross margin jobs need just to cover overheads and time not charged</t>
        </is>
      </c>
      <c r="B18" s="15">
        <f>(B11+B13)/B15</f>
        <v/>
      </c>
    </row>
    <row r="19">
      <c r="A19" s="2" t="inlineStr">
        <is>
          <t>Ties to the August 2026 P&amp;L (locked). Wages include their on-costs: super (12%) and leave as it's earned. No payroll tax: wages are under Queensland's $1.3 million threshold.</t>
        </is>
      </c>
    </row>
    <row r="20"/>
    <row r="21"/>
    <row r="22">
      <c r="A22" s="6" t="inlineStr">
        <is>
          <t>Trades, all lines: August against August last year</t>
        </is>
      </c>
    </row>
    <row r="23">
      <c r="A23" s="11" t="inlineStr">
        <is>
          <t>August 2026 ÷ August 2025 − 1 (year on year)</t>
        </is>
      </c>
    </row>
    <row r="24">
      <c r="A24" s="7" t="inlineStr"/>
      <c r="B24" s="8" t="inlineStr">
        <is>
          <t>Aug</t>
        </is>
      </c>
    </row>
    <row r="25">
      <c r="A25" t="inlineStr">
        <is>
          <t>Revenue, Aug 2026</t>
        </is>
      </c>
      <c r="B25" s="12" t="n">
        <v>199523</v>
      </c>
    </row>
    <row r="26">
      <c r="A26" t="inlineStr">
        <is>
          <t>Revenue, Aug 2025</t>
        </is>
      </c>
      <c r="B26" s="12" t="n">
        <v>155118</v>
      </c>
    </row>
    <row r="27">
      <c r="A27" s="14" t="inlineStr">
        <is>
          <t>Growth</t>
        </is>
      </c>
      <c r="B27" s="15">
        <f>B25/B26-1</f>
        <v/>
      </c>
    </row>
    <row r="28"/>
    <row r="29"/>
    <row r="30">
      <c r="A30" s="6" t="inlineStr">
        <is>
          <t>Trades, all lines: year to date against the same period last year</t>
        </is>
      </c>
    </row>
    <row r="31">
      <c r="A31" s="11" t="inlineStr">
        <is>
          <t>Jul to Aug 2026 ÷ Jul to Aug 2025 − 1 (financial year to date)</t>
        </is>
      </c>
    </row>
    <row r="32">
      <c r="A32" s="7" t="inlineStr"/>
      <c r="B32" s="8" t="inlineStr">
        <is>
          <t>Year to date</t>
        </is>
      </c>
    </row>
    <row r="33">
      <c r="A33" t="inlineStr">
        <is>
          <t>Revenue, year to date (Jul to Aug 2026)</t>
        </is>
      </c>
      <c r="B33" s="12" t="n">
        <v>415133</v>
      </c>
    </row>
    <row r="34">
      <c r="A34" t="inlineStr">
        <is>
          <t>Revenue, same period last year (Jul to Aug 2025)</t>
        </is>
      </c>
      <c r="B34" s="12" t="n">
        <v>363706</v>
      </c>
    </row>
    <row r="35">
      <c r="A35" t="inlineStr">
        <is>
          <t>Growth</t>
        </is>
      </c>
      <c r="B35" s="13">
        <f>B33/B34-1</f>
        <v/>
      </c>
    </row>
    <row r="36">
      <c r="A36" t="inlineStr">
        <is>
          <t>Gross margin, year to date</t>
        </is>
      </c>
      <c r="B36" s="12" t="n">
        <v>187639</v>
      </c>
    </row>
    <row r="37">
      <c r="A37" s="14" t="inlineStr">
        <is>
          <t>Gross margin %, year to date</t>
        </is>
      </c>
      <c r="B37" s="15">
        <f>B36/B33</f>
        <v/>
      </c>
    </row>
    <row r="38"/>
    <row r="39"/>
    <row r="40">
      <c r="A40" s="6" t="inlineStr">
        <is>
          <t>Trades, all lines: year to date against the same period last year</t>
        </is>
      </c>
    </row>
    <row r="41">
      <c r="A41" s="11" t="inlineStr">
        <is>
          <t>Jul to Aug 2026 ÷ Jul to Aug 2025 − 1 (financial year to date)</t>
        </is>
      </c>
    </row>
    <row r="42">
      <c r="A42" s="7" t="inlineStr"/>
      <c r="B42" s="8" t="inlineStr">
        <is>
          <t>Year to date</t>
        </is>
      </c>
    </row>
    <row r="43">
      <c r="A43" t="inlineStr">
        <is>
          <t>Revenue, year to date (Jul to Aug 2026)</t>
        </is>
      </c>
      <c r="B43" s="12" t="n">
        <v>415133</v>
      </c>
    </row>
    <row r="44">
      <c r="A44" t="inlineStr">
        <is>
          <t>Revenue, same period last year (Jul to Aug 2025)</t>
        </is>
      </c>
      <c r="B44" s="12" t="n">
        <v>363706</v>
      </c>
    </row>
    <row r="45">
      <c r="A45" t="inlineStr">
        <is>
          <t>Growth</t>
        </is>
      </c>
      <c r="B45" s="13">
        <f>B43/B44-1</f>
        <v/>
      </c>
    </row>
    <row r="46">
      <c r="A46" t="inlineStr">
        <is>
          <t>Gross margin, year to date</t>
        </is>
      </c>
      <c r="B46" s="12" t="n">
        <v>187639</v>
      </c>
    </row>
    <row r="47">
      <c r="A47" s="14" t="inlineStr">
        <is>
          <t>Gross margin %, year to date</t>
        </is>
      </c>
      <c r="B47" s="15">
        <f>B46/B43</f>
        <v/>
      </c>
    </row>
    <row r="48"/>
    <row r="49"/>
    <row r="50">
      <c r="A50" s="6" t="inlineStr">
        <is>
          <t>Trades, Maintenance contracts: August against August last year</t>
        </is>
      </c>
    </row>
    <row r="51">
      <c r="A51" s="11" t="inlineStr">
        <is>
          <t>August 2026 ÷ August 2025 − 1 (year on year)</t>
        </is>
      </c>
    </row>
    <row r="52">
      <c r="A52" s="7" t="inlineStr"/>
      <c r="B52" s="8" t="inlineStr">
        <is>
          <t>Aug</t>
        </is>
      </c>
    </row>
    <row r="53">
      <c r="A53" t="inlineStr">
        <is>
          <t>Revenue, Aug 2026</t>
        </is>
      </c>
      <c r="B53" s="12" t="n">
        <v>45350</v>
      </c>
    </row>
    <row r="54">
      <c r="A54" t="inlineStr">
        <is>
          <t>Revenue, Aug 2025</t>
        </is>
      </c>
      <c r="B54" s="12" t="n">
        <v>37200</v>
      </c>
    </row>
    <row r="55">
      <c r="A55" s="14" t="inlineStr">
        <is>
          <t>Growth</t>
        </is>
      </c>
      <c r="B55" s="15">
        <f>B53/B54-1</f>
        <v/>
      </c>
    </row>
    <row r="56"/>
    <row r="57"/>
    <row r="58">
      <c r="A58" s="6" t="inlineStr">
        <is>
          <t>Trades, Maintenance contracts: year to date against the same period last year</t>
        </is>
      </c>
    </row>
    <row r="59">
      <c r="A59" s="11" t="inlineStr">
        <is>
          <t>Jul to Aug 2026 ÷ Jul to Aug 2025 − 1 (financial year to date)</t>
        </is>
      </c>
    </row>
    <row r="60">
      <c r="A60" s="7" t="inlineStr"/>
      <c r="B60" s="8" t="inlineStr">
        <is>
          <t>Year to date</t>
        </is>
      </c>
    </row>
    <row r="61">
      <c r="A61" t="inlineStr">
        <is>
          <t>Revenue, year to date (Jul to Aug 2026)</t>
        </is>
      </c>
      <c r="B61" s="12" t="n">
        <v>90700</v>
      </c>
    </row>
    <row r="62">
      <c r="A62" t="inlineStr">
        <is>
          <t>Revenue, same period last year (Jul to Aug 2025)</t>
        </is>
      </c>
      <c r="B62" s="12" t="n">
        <v>74400</v>
      </c>
    </row>
    <row r="63">
      <c r="A63" t="inlineStr">
        <is>
          <t>Growth</t>
        </is>
      </c>
      <c r="B63" s="13">
        <f>B61/B62-1</f>
        <v/>
      </c>
    </row>
    <row r="64">
      <c r="A64" t="inlineStr">
        <is>
          <t>Gross margin, year to date</t>
        </is>
      </c>
      <c r="B64" s="12" t="n">
        <v>57932</v>
      </c>
    </row>
    <row r="65">
      <c r="A65" s="14" t="inlineStr">
        <is>
          <t>Gross margin %, year to date</t>
        </is>
      </c>
      <c r="B65" s="15">
        <f>B64/B61</f>
        <v/>
      </c>
    </row>
    <row r="66"/>
    <row r="67"/>
    <row r="68">
      <c r="A68" s="6" t="inlineStr">
        <is>
          <t>Trades, Maintenance contracts: year to date against the same period last year</t>
        </is>
      </c>
    </row>
    <row r="69">
      <c r="A69" s="11" t="inlineStr">
        <is>
          <t>Jul to Aug 2026 ÷ Jul to Aug 2025 − 1 (financial year to date)</t>
        </is>
      </c>
    </row>
    <row r="70">
      <c r="A70" s="7" t="inlineStr"/>
      <c r="B70" s="8" t="inlineStr">
        <is>
          <t>Year to date</t>
        </is>
      </c>
    </row>
    <row r="71">
      <c r="A71" t="inlineStr">
        <is>
          <t>Revenue, year to date (Jul to Aug 2026)</t>
        </is>
      </c>
      <c r="B71" s="12" t="n">
        <v>90700</v>
      </c>
    </row>
    <row r="72">
      <c r="A72" t="inlineStr">
        <is>
          <t>Revenue, same period last year (Jul to Aug 2025)</t>
        </is>
      </c>
      <c r="B72" s="12" t="n">
        <v>74400</v>
      </c>
    </row>
    <row r="73">
      <c r="A73" t="inlineStr">
        <is>
          <t>Growth</t>
        </is>
      </c>
      <c r="B73" s="13">
        <f>B71/B72-1</f>
        <v/>
      </c>
    </row>
    <row r="74">
      <c r="A74" t="inlineStr">
        <is>
          <t>Gross margin, year to date</t>
        </is>
      </c>
      <c r="B74" s="12" t="n">
        <v>57932</v>
      </c>
    </row>
    <row r="75">
      <c r="A75" s="14" t="inlineStr">
        <is>
          <t>Gross margin %, year to date</t>
        </is>
      </c>
      <c r="B75" s="15">
        <f>B74/B71</f>
        <v/>
      </c>
    </row>
    <row r="76"/>
    <row r="77"/>
    <row r="78">
      <c r="A78" s="6" t="inlineStr">
        <is>
          <t>Trades, Installations: August against August last year</t>
        </is>
      </c>
    </row>
    <row r="79">
      <c r="A79" s="11" t="inlineStr">
        <is>
          <t>August 2026 ÷ August 2025 − 1 (year on year)</t>
        </is>
      </c>
    </row>
    <row r="80">
      <c r="A80" s="7" t="inlineStr"/>
      <c r="B80" s="8" t="inlineStr">
        <is>
          <t>Aug</t>
        </is>
      </c>
    </row>
    <row r="81">
      <c r="A81" t="inlineStr">
        <is>
          <t>Revenue, Aug 2026</t>
        </is>
      </c>
      <c r="B81" s="12" t="n">
        <v>122800</v>
      </c>
    </row>
    <row r="82">
      <c r="A82" t="inlineStr">
        <is>
          <t>Revenue, Aug 2025</t>
        </is>
      </c>
      <c r="B82" s="12" t="n">
        <v>96500</v>
      </c>
    </row>
    <row r="83">
      <c r="A83" s="14" t="inlineStr">
        <is>
          <t>Growth</t>
        </is>
      </c>
      <c r="B83" s="15">
        <f>B81/B82-1</f>
        <v/>
      </c>
    </row>
    <row r="84"/>
    <row r="85"/>
    <row r="86">
      <c r="A86" s="6" t="inlineStr">
        <is>
          <t>Trades, Installations: year to date against the same period last year</t>
        </is>
      </c>
    </row>
    <row r="87">
      <c r="A87" s="11" t="inlineStr">
        <is>
          <t>Jul to Aug 2026 ÷ Jul to Aug 2025 − 1 (financial year to date)</t>
        </is>
      </c>
    </row>
    <row r="88">
      <c r="A88" s="7" t="inlineStr"/>
      <c r="B88" s="8" t="inlineStr">
        <is>
          <t>Year to date</t>
        </is>
      </c>
    </row>
    <row r="89">
      <c r="A89" t="inlineStr">
        <is>
          <t>Revenue, year to date (Jul to Aug 2026)</t>
        </is>
      </c>
      <c r="B89" s="12" t="n">
        <v>265800</v>
      </c>
    </row>
    <row r="90">
      <c r="A90" t="inlineStr">
        <is>
          <t>Revenue, same period last year (Jul to Aug 2025)</t>
        </is>
      </c>
      <c r="B90" s="12" t="n">
        <v>248600</v>
      </c>
    </row>
    <row r="91">
      <c r="A91" t="inlineStr">
        <is>
          <t>Growth</t>
        </is>
      </c>
      <c r="B91" s="13">
        <f>B89/B90-1</f>
        <v/>
      </c>
    </row>
    <row r="92">
      <c r="A92" t="inlineStr">
        <is>
          <t>Gross margin, year to date</t>
        </is>
      </c>
      <c r="B92" s="12" t="n">
        <v>101560</v>
      </c>
    </row>
    <row r="93">
      <c r="A93" s="14" t="inlineStr">
        <is>
          <t>Gross margin %, year to date</t>
        </is>
      </c>
      <c r="B93" s="15">
        <f>B92/B89</f>
        <v/>
      </c>
    </row>
    <row r="94"/>
    <row r="95"/>
    <row r="96">
      <c r="A96" s="6" t="inlineStr">
        <is>
          <t>Trades, Installations: year to date against the same period last year</t>
        </is>
      </c>
    </row>
    <row r="97">
      <c r="A97" s="11" t="inlineStr">
        <is>
          <t>Jul to Aug 2026 ÷ Jul to Aug 2025 − 1 (financial year to date)</t>
        </is>
      </c>
    </row>
    <row r="98">
      <c r="A98" s="7" t="inlineStr"/>
      <c r="B98" s="8" t="inlineStr">
        <is>
          <t>Year to date</t>
        </is>
      </c>
    </row>
    <row r="99">
      <c r="A99" t="inlineStr">
        <is>
          <t>Revenue, year to date (Jul to Aug 2026)</t>
        </is>
      </c>
      <c r="B99" s="12" t="n">
        <v>265800</v>
      </c>
    </row>
    <row r="100">
      <c r="A100" t="inlineStr">
        <is>
          <t>Revenue, same period last year (Jul to Aug 2025)</t>
        </is>
      </c>
      <c r="B100" s="12" t="n">
        <v>248600</v>
      </c>
    </row>
    <row r="101">
      <c r="A101" t="inlineStr">
        <is>
          <t>Growth</t>
        </is>
      </c>
      <c r="B101" s="13">
        <f>B99/B100-1</f>
        <v/>
      </c>
    </row>
    <row r="102">
      <c r="A102" t="inlineStr">
        <is>
          <t>Gross margin, year to date</t>
        </is>
      </c>
      <c r="B102" s="12" t="n">
        <v>101560</v>
      </c>
    </row>
    <row r="103">
      <c r="A103" s="14" t="inlineStr">
        <is>
          <t>Gross margin %, year to date</t>
        </is>
      </c>
      <c r="B103" s="15">
        <f>B102/B99</f>
        <v/>
      </c>
    </row>
    <row r="104"/>
    <row r="105"/>
    <row r="106">
      <c r="A106" s="6" t="inlineStr">
        <is>
          <t>Trades, Call-outs and repairs: August against August last year</t>
        </is>
      </c>
    </row>
    <row r="107">
      <c r="A107" s="11" t="inlineStr">
        <is>
          <t>August 2026 ÷ August 2025 − 1 (year on year)</t>
        </is>
      </c>
    </row>
    <row r="108">
      <c r="A108" s="7" t="inlineStr"/>
      <c r="B108" s="8" t="inlineStr">
        <is>
          <t>Aug</t>
        </is>
      </c>
    </row>
    <row r="109">
      <c r="A109" t="inlineStr">
        <is>
          <t>Revenue, Aug 2026</t>
        </is>
      </c>
      <c r="B109" s="12" t="n">
        <v>31373</v>
      </c>
    </row>
    <row r="110">
      <c r="A110" t="inlineStr">
        <is>
          <t>Revenue, Aug 2025</t>
        </is>
      </c>
      <c r="B110" s="12" t="n">
        <v>21418</v>
      </c>
    </row>
    <row r="111">
      <c r="A111" s="14" t="inlineStr">
        <is>
          <t>Growth</t>
        </is>
      </c>
      <c r="B111" s="15">
        <f>B109/B110-1</f>
        <v/>
      </c>
    </row>
    <row r="112"/>
    <row r="113"/>
    <row r="114">
      <c r="A114" s="6" t="inlineStr">
        <is>
          <t>Trades, Call-outs and repairs: year to date against the same period last year</t>
        </is>
      </c>
    </row>
    <row r="115">
      <c r="A115" s="11" t="inlineStr">
        <is>
          <t>Jul to Aug 2026 ÷ Jul to Aug 2025 − 1 (financial year to date)</t>
        </is>
      </c>
    </row>
    <row r="116">
      <c r="A116" s="7" t="inlineStr"/>
      <c r="B116" s="8" t="inlineStr">
        <is>
          <t>Year to date</t>
        </is>
      </c>
    </row>
    <row r="117">
      <c r="A117" t="inlineStr">
        <is>
          <t>Revenue, year to date (Jul to Aug 2026)</t>
        </is>
      </c>
      <c r="B117" s="12" t="n">
        <v>58633</v>
      </c>
    </row>
    <row r="118">
      <c r="A118" t="inlineStr">
        <is>
          <t>Revenue, same period last year (Jul to Aug 2025)</t>
        </is>
      </c>
      <c r="B118" s="12" t="n">
        <v>40706</v>
      </c>
    </row>
    <row r="119">
      <c r="A119" t="inlineStr">
        <is>
          <t>Growth</t>
        </is>
      </c>
      <c r="B119" s="13">
        <f>B117/B118-1</f>
        <v/>
      </c>
    </row>
    <row r="120">
      <c r="A120" t="inlineStr">
        <is>
          <t>Gross margin, year to date</t>
        </is>
      </c>
      <c r="B120" s="12" t="n">
        <v>28147</v>
      </c>
    </row>
    <row r="121">
      <c r="A121" s="14" t="inlineStr">
        <is>
          <t>Gross margin %, year to date</t>
        </is>
      </c>
      <c r="B121" s="15">
        <f>B120/B117</f>
        <v/>
      </c>
    </row>
    <row r="122"/>
    <row r="123"/>
    <row r="124">
      <c r="A124" s="6" t="inlineStr">
        <is>
          <t>Trades, Call-outs and repairs: year to date against the same period last year</t>
        </is>
      </c>
    </row>
    <row r="125">
      <c r="A125" s="11" t="inlineStr">
        <is>
          <t>Jul to Aug 2026 ÷ Jul to Aug 2025 − 1 (financial year to date)</t>
        </is>
      </c>
    </row>
    <row r="126">
      <c r="A126" s="7" t="inlineStr"/>
      <c r="B126" s="8" t="inlineStr">
        <is>
          <t>Year to date</t>
        </is>
      </c>
    </row>
    <row r="127">
      <c r="A127" t="inlineStr">
        <is>
          <t>Revenue, year to date (Jul to Aug 2026)</t>
        </is>
      </c>
      <c r="B127" s="12" t="n">
        <v>58633</v>
      </c>
    </row>
    <row r="128">
      <c r="A128" t="inlineStr">
        <is>
          <t>Revenue, same period last year (Jul to Aug 2025)</t>
        </is>
      </c>
      <c r="B128" s="12" t="n">
        <v>40706</v>
      </c>
    </row>
    <row r="129">
      <c r="A129" t="inlineStr">
        <is>
          <t>Growth</t>
        </is>
      </c>
      <c r="B129" s="13">
        <f>B127/B128-1</f>
        <v/>
      </c>
    </row>
    <row r="130">
      <c r="A130" t="inlineStr">
        <is>
          <t>Gross margin, year to date</t>
        </is>
      </c>
      <c r="B130" s="12" t="n">
        <v>28147</v>
      </c>
    </row>
    <row r="131">
      <c r="A131" s="14" t="inlineStr">
        <is>
          <t>Gross margin %, year to date</t>
        </is>
      </c>
      <c r="B131" s="15">
        <f>B130/B127</f>
        <v/>
      </c>
    </row>
    <row r="132"/>
    <row r="133"/>
    <row r="134"/>
  </sheetData>
  <printOptions horizontalCentered="1"/>
  <pageMargins left="0.5" right="0.5" top="0.75" bottom="0.75" header="0.5" footer="0.5"/>
  <pageSetup orientation="landscape" paperSize="9" fitToHeight="0" fitToWidth="1"/>
  <headerFooter>
    <oddHeader>&amp;L&amp;"Roboto,Regular"&amp;8 Sample Electrical &amp;&amp; Air Pty Ltd&amp;R&amp;"Roboto,Regular"&amp;8 &amp;A</oddHeader>
    <oddFooter>&amp;L&amp;"Roboto,Regular"&amp;8 growth-trades.xlsx&amp;C&amp;"Roboto,Regular"&amp;8 Data retrieved 2pm, Tue 6 Oct 2026 · Generated 9 Oct 2026, 8:41am&amp;R&amp;"Roboto,Regular"&amp;8 Page &amp;P of &amp;N</oddFooter>
    <evenHeader/>
    <evenFooter/>
    <firstHeader/>
    <firstFooter/>
  </headerFooter>
  <rowBreaks count="4" manualBreakCount="4">
    <brk id="29" min="0" max="16383" man="1"/>
    <brk id="57" min="0" max="16383" man="1"/>
    <brk id="85" min="0" max="16383" man="1"/>
    <brk id="113" min="0" max="16383" man="1"/>
  </rowBreaks>
</worksheet>
</file>

<file path=xl/worksheets/sheet3.xml><?xml version="1.0" encoding="utf-8"?>
<worksheet xmlns="http://schemas.openxmlformats.org/spreadsheetml/2006/main">
  <sheetPr>
    <outlinePr summaryBelow="1" summaryRight="1"/>
    <pageSetUpPr fitToPage="1"/>
  </sheetPr>
  <dimension ref="A1:G97"/>
  <sheetViews>
    <sheetView showGridLines="0" workbookViewId="0">
      <pane xSplit="1" ySplit="5" topLeftCell="B6" activePane="bottomRight" state="frozen"/>
      <selection pane="topRight"/>
      <selection pane="bottomLeft"/>
      <selection pane="bottomRight" activeCell="A1" sqref="A1"/>
    </sheetView>
  </sheetViews>
  <sheetFormatPr baseColWidth="8" defaultRowHeight="15"/>
  <cols>
    <col width="34" customWidth="1" min="1" max="1"/>
    <col width="16" customWidth="1" min="2" max="2"/>
    <col width="16" customWidth="1" min="3" max="3"/>
    <col width="16" customWidth="1" min="4" max="4"/>
    <col width="16" customWidth="1" min="5" max="5"/>
    <col width="16" customWidth="1" min="6" max="6"/>
    <col width="16" customWidth="1" min="7" max="7"/>
  </cols>
  <sheetData>
    <row r="1">
      <c r="A1" s="1" t="inlineStr">
        <is>
          <t>Data Trades</t>
        </is>
      </c>
    </row>
    <row r="2">
      <c r="A2" s="2" t="inlineStr">
        <is>
          <t>Sample Electrical &amp; Air Pty Ltd · SAMPLE DATA (invented) · The Fourth Sheet · Made with Python (openpyxl)</t>
        </is>
      </c>
    </row>
    <row r="3">
      <c r="A3" s="2" t="inlineStr">
        <is>
          <t>Period: August 2026 · Data status: Jul 2026 locked · Aug 2026 locked · Oct 2026 incomplete (data retrieved 2pm, Tue 6 Oct 2026) · Generated 9 Oct 2026, 8:41am</t>
        </is>
      </c>
    </row>
    <row r="4"/>
    <row r="5">
      <c r="A5" s="7" t="inlineStr">
        <is>
          <t>Line</t>
        </is>
      </c>
      <c r="B5" s="8" t="inlineStr">
        <is>
          <t>Month</t>
        </is>
      </c>
      <c r="C5" s="8" t="inlineStr">
        <is>
          <t>Status</t>
        </is>
      </c>
      <c r="D5" s="8" t="inlineStr">
        <is>
          <t>Revenue</t>
        </is>
      </c>
      <c r="E5" s="8" t="inlineStr">
        <is>
          <t>Direct cost</t>
        </is>
      </c>
      <c r="F5" s="8" t="inlineStr">
        <is>
          <t>Gross margin</t>
        </is>
      </c>
      <c r="G5" s="8" t="inlineStr">
        <is>
          <t>Gross margin %</t>
        </is>
      </c>
    </row>
    <row r="6">
      <c r="A6" s="16" t="inlineStr">
        <is>
          <t>All</t>
        </is>
      </c>
      <c r="B6" s="16" t="inlineStr">
        <is>
          <t>Oct 24</t>
        </is>
      </c>
      <c r="C6" s="16" t="inlineStr">
        <is>
          <t>Locked</t>
        </is>
      </c>
      <c r="D6" s="12" t="n">
        <v>191014</v>
      </c>
      <c r="E6" s="12" t="n">
        <v>114334</v>
      </c>
      <c r="F6" s="12">
        <f>D6-E6</f>
        <v/>
      </c>
      <c r="G6" s="13">
        <f>IF(D6=0,"",F6/D6)</f>
        <v/>
      </c>
    </row>
    <row r="7">
      <c r="A7" s="16" t="inlineStr">
        <is>
          <t>All</t>
        </is>
      </c>
      <c r="B7" s="16" t="inlineStr">
        <is>
          <t>Nov 24</t>
        </is>
      </c>
      <c r="C7" s="16" t="inlineStr">
        <is>
          <t>Locked</t>
        </is>
      </c>
      <c r="D7" s="12" t="n">
        <v>200124</v>
      </c>
      <c r="E7" s="12" t="n">
        <v>113016</v>
      </c>
      <c r="F7" s="12">
        <f>D7-E7</f>
        <v/>
      </c>
      <c r="G7" s="13">
        <f>IF(D7=0,"",F7/D7)</f>
        <v/>
      </c>
    </row>
    <row r="8">
      <c r="A8" s="16" t="inlineStr">
        <is>
          <t>All</t>
        </is>
      </c>
      <c r="B8" s="16" t="inlineStr">
        <is>
          <t>Dec 24</t>
        </is>
      </c>
      <c r="C8" s="16" t="inlineStr">
        <is>
          <t>Locked</t>
        </is>
      </c>
      <c r="D8" s="12" t="n">
        <v>159406</v>
      </c>
      <c r="E8" s="12" t="n">
        <v>85316</v>
      </c>
      <c r="F8" s="12">
        <f>D8-E8</f>
        <v/>
      </c>
      <c r="G8" s="13">
        <f>IF(D8=0,"",F8/D8)</f>
        <v/>
      </c>
    </row>
    <row r="9">
      <c r="A9" s="16" t="inlineStr">
        <is>
          <t>All</t>
        </is>
      </c>
      <c r="B9" s="16" t="inlineStr">
        <is>
          <t>Jan 25</t>
        </is>
      </c>
      <c r="C9" s="16" t="inlineStr">
        <is>
          <t>Locked</t>
        </is>
      </c>
      <c r="D9" s="12" t="n">
        <v>156794</v>
      </c>
      <c r="E9" s="12" t="n">
        <v>80742</v>
      </c>
      <c r="F9" s="12">
        <f>D9-E9</f>
        <v/>
      </c>
      <c r="G9" s="13">
        <f>IF(D9=0,"",F9/D9)</f>
        <v/>
      </c>
    </row>
    <row r="10">
      <c r="A10" s="16" t="inlineStr">
        <is>
          <t>All</t>
        </is>
      </c>
      <c r="B10" s="16" t="inlineStr">
        <is>
          <t>Feb 25</t>
        </is>
      </c>
      <c r="C10" s="16" t="inlineStr">
        <is>
          <t>Locked</t>
        </is>
      </c>
      <c r="D10" s="12" t="n">
        <v>179190</v>
      </c>
      <c r="E10" s="12" t="n">
        <v>102348</v>
      </c>
      <c r="F10" s="12">
        <f>D10-E10</f>
        <v/>
      </c>
      <c r="G10" s="13">
        <f>IF(D10=0,"",F10/D10)</f>
        <v/>
      </c>
    </row>
    <row r="11">
      <c r="A11" s="16" t="inlineStr">
        <is>
          <t>All</t>
        </is>
      </c>
      <c r="B11" s="16" t="inlineStr">
        <is>
          <t>Mar 25</t>
        </is>
      </c>
      <c r="C11" s="16" t="inlineStr">
        <is>
          <t>Locked</t>
        </is>
      </c>
      <c r="D11" s="12" t="n">
        <v>150465</v>
      </c>
      <c r="E11" s="12" t="n">
        <v>85752</v>
      </c>
      <c r="F11" s="12">
        <f>D11-E11</f>
        <v/>
      </c>
      <c r="G11" s="13">
        <f>IF(D11=0,"",F11/D11)</f>
        <v/>
      </c>
    </row>
    <row r="12">
      <c r="A12" s="16" t="inlineStr">
        <is>
          <t>All</t>
        </is>
      </c>
      <c r="B12" s="16" t="inlineStr">
        <is>
          <t>Apr 25</t>
        </is>
      </c>
      <c r="C12" s="16" t="inlineStr">
        <is>
          <t>Locked</t>
        </is>
      </c>
      <c r="D12" s="12" t="n">
        <v>138865</v>
      </c>
      <c r="E12" s="12" t="n">
        <v>76808</v>
      </c>
      <c r="F12" s="12">
        <f>D12-E12</f>
        <v/>
      </c>
      <c r="G12" s="13">
        <f>IF(D12=0,"",F12/D12)</f>
        <v/>
      </c>
    </row>
    <row r="13">
      <c r="A13" s="16" t="inlineStr">
        <is>
          <t>All</t>
        </is>
      </c>
      <c r="B13" s="16" t="inlineStr">
        <is>
          <t>May 25</t>
        </is>
      </c>
      <c r="C13" s="16" t="inlineStr">
        <is>
          <t>Locked</t>
        </is>
      </c>
      <c r="D13" s="12" t="n">
        <v>144649</v>
      </c>
      <c r="E13" s="12" t="n">
        <v>83700</v>
      </c>
      <c r="F13" s="12">
        <f>D13-E13</f>
        <v/>
      </c>
      <c r="G13" s="13">
        <f>IF(D13=0,"",F13/D13)</f>
        <v/>
      </c>
    </row>
    <row r="14">
      <c r="A14" s="16" t="inlineStr">
        <is>
          <t>All</t>
        </is>
      </c>
      <c r="B14" s="16" t="inlineStr">
        <is>
          <t>Jun 25</t>
        </is>
      </c>
      <c r="C14" s="16" t="inlineStr">
        <is>
          <t>Locked</t>
        </is>
      </c>
      <c r="D14" s="12" t="n">
        <v>183265</v>
      </c>
      <c r="E14" s="12" t="n">
        <v>97584</v>
      </c>
      <c r="F14" s="12">
        <f>D14-E14</f>
        <v/>
      </c>
      <c r="G14" s="13">
        <f>IF(D14=0,"",F14/D14)</f>
        <v/>
      </c>
    </row>
    <row r="15">
      <c r="A15" s="16" t="inlineStr">
        <is>
          <t>All</t>
        </is>
      </c>
      <c r="B15" s="16" t="inlineStr">
        <is>
          <t>Jul 25</t>
        </is>
      </c>
      <c r="C15" s="16" t="inlineStr">
        <is>
          <t>Locked</t>
        </is>
      </c>
      <c r="D15" s="12" t="n">
        <v>208588</v>
      </c>
      <c r="E15" s="12" t="n">
        <v>120326</v>
      </c>
      <c r="F15" s="12">
        <f>D15-E15</f>
        <v/>
      </c>
      <c r="G15" s="13">
        <f>IF(D15=0,"",F15/D15)</f>
        <v/>
      </c>
    </row>
    <row r="16">
      <c r="A16" s="16" t="inlineStr">
        <is>
          <t>All</t>
        </is>
      </c>
      <c r="B16" s="16" t="inlineStr">
        <is>
          <t>Aug 25</t>
        </is>
      </c>
      <c r="C16" s="16" t="inlineStr">
        <is>
          <t>Locked</t>
        </is>
      </c>
      <c r="D16" s="12" t="n">
        <v>155118</v>
      </c>
      <c r="E16" s="12" t="n">
        <v>78258</v>
      </c>
      <c r="F16" s="12">
        <f>D16-E16</f>
        <v/>
      </c>
      <c r="G16" s="13">
        <f>IF(D16=0,"",F16/D16)</f>
        <v/>
      </c>
    </row>
    <row r="17">
      <c r="A17" s="16" t="inlineStr">
        <is>
          <t>All</t>
        </is>
      </c>
      <c r="B17" s="16" t="inlineStr">
        <is>
          <t>Sep 25</t>
        </is>
      </c>
      <c r="C17" s="16" t="inlineStr">
        <is>
          <t>Locked</t>
        </is>
      </c>
      <c r="D17" s="12" t="n">
        <v>143077</v>
      </c>
      <c r="E17" s="12" t="n">
        <v>80054</v>
      </c>
      <c r="F17" s="12">
        <f>D17-E17</f>
        <v/>
      </c>
      <c r="G17" s="13">
        <f>IF(D17=0,"",F17/D17)</f>
        <v/>
      </c>
    </row>
    <row r="18">
      <c r="A18" s="16" t="inlineStr">
        <is>
          <t>All</t>
        </is>
      </c>
      <c r="B18" s="16" t="inlineStr">
        <is>
          <t>Oct 25</t>
        </is>
      </c>
      <c r="C18" s="16" t="inlineStr">
        <is>
          <t>Locked</t>
        </is>
      </c>
      <c r="D18" s="12" t="n">
        <v>143566</v>
      </c>
      <c r="E18" s="12" t="n">
        <v>79452</v>
      </c>
      <c r="F18" s="12">
        <f>D18-E18</f>
        <v/>
      </c>
      <c r="G18" s="13">
        <f>IF(D18=0,"",F18/D18)</f>
        <v/>
      </c>
    </row>
    <row r="19">
      <c r="A19" s="16" t="inlineStr">
        <is>
          <t>All</t>
        </is>
      </c>
      <c r="B19" s="16" t="inlineStr">
        <is>
          <t>Nov 25</t>
        </is>
      </c>
      <c r="C19" s="16" t="inlineStr">
        <is>
          <t>Locked</t>
        </is>
      </c>
      <c r="D19" s="12" t="n">
        <v>194966</v>
      </c>
      <c r="E19" s="12" t="n">
        <v>115942</v>
      </c>
      <c r="F19" s="12">
        <f>D19-E19</f>
        <v/>
      </c>
      <c r="G19" s="13">
        <f>IF(D19=0,"",F19/D19)</f>
        <v/>
      </c>
    </row>
    <row r="20">
      <c r="A20" s="16" t="inlineStr">
        <is>
          <t>All</t>
        </is>
      </c>
      <c r="B20" s="16" t="inlineStr">
        <is>
          <t>Dec 25</t>
        </is>
      </c>
      <c r="C20" s="16" t="inlineStr">
        <is>
          <t>Locked</t>
        </is>
      </c>
      <c r="D20" s="12" t="n">
        <v>150283</v>
      </c>
      <c r="E20" s="12" t="n">
        <v>84626</v>
      </c>
      <c r="F20" s="12">
        <f>D20-E20</f>
        <v/>
      </c>
      <c r="G20" s="13">
        <f>IF(D20=0,"",F20/D20)</f>
        <v/>
      </c>
    </row>
    <row r="21">
      <c r="A21" s="16" t="inlineStr">
        <is>
          <t>All</t>
        </is>
      </c>
      <c r="B21" s="16" t="inlineStr">
        <is>
          <t>Jan 26</t>
        </is>
      </c>
      <c r="C21" s="16" t="inlineStr">
        <is>
          <t>Locked</t>
        </is>
      </c>
      <c r="D21" s="12" t="n">
        <v>183306</v>
      </c>
      <c r="E21" s="12" t="n">
        <v>106590</v>
      </c>
      <c r="F21" s="12">
        <f>D21-E21</f>
        <v/>
      </c>
      <c r="G21" s="13">
        <f>IF(D21=0,"",F21/D21)</f>
        <v/>
      </c>
    </row>
    <row r="22">
      <c r="A22" s="16" t="inlineStr">
        <is>
          <t>All</t>
        </is>
      </c>
      <c r="B22" s="16" t="inlineStr">
        <is>
          <t>Feb 26</t>
        </is>
      </c>
      <c r="C22" s="16" t="inlineStr">
        <is>
          <t>Locked</t>
        </is>
      </c>
      <c r="D22" s="12" t="n">
        <v>218908</v>
      </c>
      <c r="E22" s="12" t="n">
        <v>120662</v>
      </c>
      <c r="F22" s="12">
        <f>D22-E22</f>
        <v/>
      </c>
      <c r="G22" s="13">
        <f>IF(D22=0,"",F22/D22)</f>
        <v/>
      </c>
    </row>
    <row r="23">
      <c r="A23" s="16" t="inlineStr">
        <is>
          <t>All</t>
        </is>
      </c>
      <c r="B23" s="16" t="inlineStr">
        <is>
          <t>Mar 26</t>
        </is>
      </c>
      <c r="C23" s="16" t="inlineStr">
        <is>
          <t>Locked</t>
        </is>
      </c>
      <c r="D23" s="12" t="n">
        <v>213578</v>
      </c>
      <c r="E23" s="12" t="n">
        <v>123342</v>
      </c>
      <c r="F23" s="12">
        <f>D23-E23</f>
        <v/>
      </c>
      <c r="G23" s="13">
        <f>IF(D23=0,"",F23/D23)</f>
        <v/>
      </c>
    </row>
    <row r="24">
      <c r="A24" s="16" t="inlineStr">
        <is>
          <t>All</t>
        </is>
      </c>
      <c r="B24" s="16" t="inlineStr">
        <is>
          <t>Apr 26</t>
        </is>
      </c>
      <c r="C24" s="16" t="inlineStr">
        <is>
          <t>Locked</t>
        </is>
      </c>
      <c r="D24" s="12" t="n">
        <v>183967</v>
      </c>
      <c r="E24" s="12" t="n">
        <v>96144</v>
      </c>
      <c r="F24" s="12">
        <f>D24-E24</f>
        <v/>
      </c>
      <c r="G24" s="13">
        <f>IF(D24=0,"",F24/D24)</f>
        <v/>
      </c>
    </row>
    <row r="25">
      <c r="A25" s="16" t="inlineStr">
        <is>
          <t>All</t>
        </is>
      </c>
      <c r="B25" s="16" t="inlineStr">
        <is>
          <t>May 26</t>
        </is>
      </c>
      <c r="C25" s="16" t="inlineStr">
        <is>
          <t>Locked</t>
        </is>
      </c>
      <c r="D25" s="12" t="n">
        <v>180342</v>
      </c>
      <c r="E25" s="12" t="n">
        <v>98858</v>
      </c>
      <c r="F25" s="12">
        <f>D25-E25</f>
        <v/>
      </c>
      <c r="G25" s="13">
        <f>IF(D25=0,"",F25/D25)</f>
        <v/>
      </c>
    </row>
    <row r="26">
      <c r="A26" s="16" t="inlineStr">
        <is>
          <t>All</t>
        </is>
      </c>
      <c r="B26" s="16" t="inlineStr">
        <is>
          <t>Jun 26</t>
        </is>
      </c>
      <c r="C26" s="16" t="inlineStr">
        <is>
          <t>Locked</t>
        </is>
      </c>
      <c r="D26" s="12" t="n">
        <v>193032</v>
      </c>
      <c r="E26" s="12" t="n">
        <v>106500</v>
      </c>
      <c r="F26" s="12">
        <f>D26-E26</f>
        <v/>
      </c>
      <c r="G26" s="13">
        <f>IF(D26=0,"",F26/D26)</f>
        <v/>
      </c>
    </row>
    <row r="27">
      <c r="A27" s="16" t="inlineStr">
        <is>
          <t>All</t>
        </is>
      </c>
      <c r="B27" s="16" t="inlineStr">
        <is>
          <t>Jul 26</t>
        </is>
      </c>
      <c r="C27" s="16" t="inlineStr">
        <is>
          <t>Locked</t>
        </is>
      </c>
      <c r="D27" s="12" t="n">
        <v>215610</v>
      </c>
      <c r="E27" s="12" t="n">
        <v>122124</v>
      </c>
      <c r="F27" s="12">
        <f>D27-E27</f>
        <v/>
      </c>
      <c r="G27" s="13">
        <f>IF(D27=0,"",F27/D27)</f>
        <v/>
      </c>
    </row>
    <row r="28">
      <c r="A28" s="16" t="inlineStr">
        <is>
          <t>All</t>
        </is>
      </c>
      <c r="B28" s="16" t="inlineStr">
        <is>
          <t>Aug 26</t>
        </is>
      </c>
      <c r="C28" s="16" t="inlineStr">
        <is>
          <t>Locked</t>
        </is>
      </c>
      <c r="D28" s="12" t="n">
        <v>199523</v>
      </c>
      <c r="E28" s="12" t="n">
        <v>105370</v>
      </c>
      <c r="F28" s="12">
        <f>D28-E28</f>
        <v/>
      </c>
      <c r="G28" s="13">
        <f>IF(D28=0,"",F28/D28)</f>
        <v/>
      </c>
    </row>
    <row r="29">
      <c r="A29" s="16" t="inlineStr">
        <is>
          <t>Maintenance contracts</t>
        </is>
      </c>
      <c r="B29" s="16" t="inlineStr">
        <is>
          <t>Oct 24</t>
        </is>
      </c>
      <c r="C29" s="16" t="inlineStr">
        <is>
          <t>Locked</t>
        </is>
      </c>
      <c r="D29" s="12" t="n">
        <v>27650</v>
      </c>
      <c r="E29" s="12" t="n">
        <v>10420</v>
      </c>
      <c r="F29" s="12">
        <f>D29-E29</f>
        <v/>
      </c>
      <c r="G29" s="13">
        <f>IF(D29=0,"",F29/D29)</f>
        <v/>
      </c>
    </row>
    <row r="30">
      <c r="A30" s="16" t="inlineStr">
        <is>
          <t>Maintenance contracts</t>
        </is>
      </c>
      <c r="B30" s="16" t="inlineStr">
        <is>
          <t>Nov 24</t>
        </is>
      </c>
      <c r="C30" s="16" t="inlineStr">
        <is>
          <t>Locked</t>
        </is>
      </c>
      <c r="D30" s="12" t="n">
        <v>27650</v>
      </c>
      <c r="E30" s="12" t="n">
        <v>10420</v>
      </c>
      <c r="F30" s="12">
        <f>D30-E30</f>
        <v/>
      </c>
      <c r="G30" s="13">
        <f>IF(D30=0,"",F30/D30)</f>
        <v/>
      </c>
    </row>
    <row r="31">
      <c r="A31" s="16" t="inlineStr">
        <is>
          <t>Maintenance contracts</t>
        </is>
      </c>
      <c r="B31" s="16" t="inlineStr">
        <is>
          <t>Dec 24</t>
        </is>
      </c>
      <c r="C31" s="16" t="inlineStr">
        <is>
          <t>Locked</t>
        </is>
      </c>
      <c r="D31" s="12" t="n">
        <v>27650</v>
      </c>
      <c r="E31" s="12" t="n">
        <v>10420</v>
      </c>
      <c r="F31" s="12">
        <f>D31-E31</f>
        <v/>
      </c>
      <c r="G31" s="13">
        <f>IF(D31=0,"",F31/D31)</f>
        <v/>
      </c>
    </row>
    <row r="32">
      <c r="A32" s="16" t="inlineStr">
        <is>
          <t>Maintenance contracts</t>
        </is>
      </c>
      <c r="B32" s="16" t="inlineStr">
        <is>
          <t>Jan 25</t>
        </is>
      </c>
      <c r="C32" s="16" t="inlineStr">
        <is>
          <t>Locked</t>
        </is>
      </c>
      <c r="D32" s="12" t="n">
        <v>27650</v>
      </c>
      <c r="E32" s="12" t="n">
        <v>10420</v>
      </c>
      <c r="F32" s="12">
        <f>D32-E32</f>
        <v/>
      </c>
      <c r="G32" s="13">
        <f>IF(D32=0,"",F32/D32)</f>
        <v/>
      </c>
    </row>
    <row r="33">
      <c r="A33" s="16" t="inlineStr">
        <is>
          <t>Maintenance contracts</t>
        </is>
      </c>
      <c r="B33" s="16" t="inlineStr">
        <is>
          <t>Feb 25</t>
        </is>
      </c>
      <c r="C33" s="16" t="inlineStr">
        <is>
          <t>Locked</t>
        </is>
      </c>
      <c r="D33" s="12" t="n">
        <v>31300</v>
      </c>
      <c r="E33" s="12" t="n">
        <v>11782</v>
      </c>
      <c r="F33" s="12">
        <f>D33-E33</f>
        <v/>
      </c>
      <c r="G33" s="13">
        <f>IF(D33=0,"",F33/D33)</f>
        <v/>
      </c>
    </row>
    <row r="34">
      <c r="A34" s="16" t="inlineStr">
        <is>
          <t>Maintenance contracts</t>
        </is>
      </c>
      <c r="B34" s="16" t="inlineStr">
        <is>
          <t>Mar 25</t>
        </is>
      </c>
      <c r="C34" s="16" t="inlineStr">
        <is>
          <t>Locked</t>
        </is>
      </c>
      <c r="D34" s="12" t="n">
        <v>31300</v>
      </c>
      <c r="E34" s="12" t="n">
        <v>11782</v>
      </c>
      <c r="F34" s="12">
        <f>D34-E34</f>
        <v/>
      </c>
      <c r="G34" s="13">
        <f>IF(D34=0,"",F34/D34)</f>
        <v/>
      </c>
    </row>
    <row r="35">
      <c r="A35" s="16" t="inlineStr">
        <is>
          <t>Maintenance contracts</t>
        </is>
      </c>
      <c r="B35" s="16" t="inlineStr">
        <is>
          <t>Apr 25</t>
        </is>
      </c>
      <c r="C35" s="16" t="inlineStr">
        <is>
          <t>Locked</t>
        </is>
      </c>
      <c r="D35" s="12" t="n">
        <v>31300</v>
      </c>
      <c r="E35" s="12" t="n">
        <v>11782</v>
      </c>
      <c r="F35" s="12">
        <f>D35-E35</f>
        <v/>
      </c>
      <c r="G35" s="13">
        <f>IF(D35=0,"",F35/D35)</f>
        <v/>
      </c>
    </row>
    <row r="36">
      <c r="A36" s="16" t="inlineStr">
        <is>
          <t>Maintenance contracts</t>
        </is>
      </c>
      <c r="B36" s="16" t="inlineStr">
        <is>
          <t>May 25</t>
        </is>
      </c>
      <c r="C36" s="16" t="inlineStr">
        <is>
          <t>Locked</t>
        </is>
      </c>
      <c r="D36" s="12" t="n">
        <v>31300</v>
      </c>
      <c r="E36" s="12" t="n">
        <v>11782</v>
      </c>
      <c r="F36" s="12">
        <f>D36-E36</f>
        <v/>
      </c>
      <c r="G36" s="13">
        <f>IF(D36=0,"",F36/D36)</f>
        <v/>
      </c>
    </row>
    <row r="37">
      <c r="A37" s="16" t="inlineStr">
        <is>
          <t>Maintenance contracts</t>
        </is>
      </c>
      <c r="B37" s="16" t="inlineStr">
        <is>
          <t>Jun 25</t>
        </is>
      </c>
      <c r="C37" s="16" t="inlineStr">
        <is>
          <t>Locked</t>
        </is>
      </c>
      <c r="D37" s="12" t="n">
        <v>35720</v>
      </c>
      <c r="E37" s="12" t="n">
        <v>13446</v>
      </c>
      <c r="F37" s="12">
        <f>D37-E37</f>
        <v/>
      </c>
      <c r="G37" s="13">
        <f>IF(D37=0,"",F37/D37)</f>
        <v/>
      </c>
    </row>
    <row r="38">
      <c r="A38" s="16" t="inlineStr">
        <is>
          <t>Maintenance contracts</t>
        </is>
      </c>
      <c r="B38" s="16" t="inlineStr">
        <is>
          <t>Jul 25</t>
        </is>
      </c>
      <c r="C38" s="16" t="inlineStr">
        <is>
          <t>Locked</t>
        </is>
      </c>
      <c r="D38" s="12" t="n">
        <v>37200</v>
      </c>
      <c r="E38" s="12" t="n">
        <v>13446</v>
      </c>
      <c r="F38" s="12">
        <f>D38-E38</f>
        <v/>
      </c>
      <c r="G38" s="13">
        <f>IF(D38=0,"",F38/D38)</f>
        <v/>
      </c>
    </row>
    <row r="39">
      <c r="A39" s="16" t="inlineStr">
        <is>
          <t>Maintenance contracts</t>
        </is>
      </c>
      <c r="B39" s="16" t="inlineStr">
        <is>
          <t>Aug 25</t>
        </is>
      </c>
      <c r="C39" s="16" t="inlineStr">
        <is>
          <t>Locked</t>
        </is>
      </c>
      <c r="D39" s="12" t="n">
        <v>37200</v>
      </c>
      <c r="E39" s="12" t="n">
        <v>13446</v>
      </c>
      <c r="F39" s="12">
        <f>D39-E39</f>
        <v/>
      </c>
      <c r="G39" s="13">
        <f>IF(D39=0,"",F39/D39)</f>
        <v/>
      </c>
    </row>
    <row r="40">
      <c r="A40" s="16" t="inlineStr">
        <is>
          <t>Maintenance contracts</t>
        </is>
      </c>
      <c r="B40" s="16" t="inlineStr">
        <is>
          <t>Sep 25</t>
        </is>
      </c>
      <c r="C40" s="16" t="inlineStr">
        <is>
          <t>Locked</t>
        </is>
      </c>
      <c r="D40" s="12" t="n">
        <v>37200</v>
      </c>
      <c r="E40" s="12" t="n">
        <v>13446</v>
      </c>
      <c r="F40" s="12">
        <f>D40-E40</f>
        <v/>
      </c>
      <c r="G40" s="13">
        <f>IF(D40=0,"",F40/D40)</f>
        <v/>
      </c>
    </row>
    <row r="41">
      <c r="A41" s="16" t="inlineStr">
        <is>
          <t>Maintenance contracts</t>
        </is>
      </c>
      <c r="B41" s="16" t="inlineStr">
        <is>
          <t>Oct 25</t>
        </is>
      </c>
      <c r="C41" s="16" t="inlineStr">
        <is>
          <t>Locked</t>
        </is>
      </c>
      <c r="D41" s="12" t="n">
        <v>40100</v>
      </c>
      <c r="E41" s="12" t="n">
        <v>14516</v>
      </c>
      <c r="F41" s="12">
        <f>D41-E41</f>
        <v/>
      </c>
      <c r="G41" s="13">
        <f>IF(D41=0,"",F41/D41)</f>
        <v/>
      </c>
    </row>
    <row r="42">
      <c r="A42" s="16" t="inlineStr">
        <is>
          <t>Maintenance contracts</t>
        </is>
      </c>
      <c r="B42" s="16" t="inlineStr">
        <is>
          <t>Nov 25</t>
        </is>
      </c>
      <c r="C42" s="16" t="inlineStr">
        <is>
          <t>Locked</t>
        </is>
      </c>
      <c r="D42" s="12" t="n">
        <v>40100</v>
      </c>
      <c r="E42" s="12" t="n">
        <v>14516</v>
      </c>
      <c r="F42" s="12">
        <f>D42-E42</f>
        <v/>
      </c>
      <c r="G42" s="13">
        <f>IF(D42=0,"",F42/D42)</f>
        <v/>
      </c>
    </row>
    <row r="43">
      <c r="A43" s="16" t="inlineStr">
        <is>
          <t>Maintenance contracts</t>
        </is>
      </c>
      <c r="B43" s="16" t="inlineStr">
        <is>
          <t>Dec 25</t>
        </is>
      </c>
      <c r="C43" s="16" t="inlineStr">
        <is>
          <t>Locked</t>
        </is>
      </c>
      <c r="D43" s="12" t="n">
        <v>40100</v>
      </c>
      <c r="E43" s="12" t="n">
        <v>14516</v>
      </c>
      <c r="F43" s="12">
        <f>D43-E43</f>
        <v/>
      </c>
      <c r="G43" s="13">
        <f>IF(D43=0,"",F43/D43)</f>
        <v/>
      </c>
    </row>
    <row r="44">
      <c r="A44" s="16" t="inlineStr">
        <is>
          <t>Maintenance contracts</t>
        </is>
      </c>
      <c r="B44" s="16" t="inlineStr">
        <is>
          <t>Jan 26</t>
        </is>
      </c>
      <c r="C44" s="16" t="inlineStr">
        <is>
          <t>Locked</t>
        </is>
      </c>
      <c r="D44" s="12" t="n">
        <v>40100</v>
      </c>
      <c r="E44" s="12" t="n">
        <v>14516</v>
      </c>
      <c r="F44" s="12">
        <f>D44-E44</f>
        <v/>
      </c>
      <c r="G44" s="13">
        <f>IF(D44=0,"",F44/D44)</f>
        <v/>
      </c>
    </row>
    <row r="45">
      <c r="A45" s="16" t="inlineStr">
        <is>
          <t>Maintenance contracts</t>
        </is>
      </c>
      <c r="B45" s="16" t="inlineStr">
        <is>
          <t>Feb 26</t>
        </is>
      </c>
      <c r="C45" s="16" t="inlineStr">
        <is>
          <t>Locked</t>
        </is>
      </c>
      <c r="D45" s="12" t="n">
        <v>42000</v>
      </c>
      <c r="E45" s="12" t="n">
        <v>15158</v>
      </c>
      <c r="F45" s="12">
        <f>D45-E45</f>
        <v/>
      </c>
      <c r="G45" s="13">
        <f>IF(D45=0,"",F45/D45)</f>
        <v/>
      </c>
    </row>
    <row r="46">
      <c r="A46" s="16" t="inlineStr">
        <is>
          <t>Maintenance contracts</t>
        </is>
      </c>
      <c r="B46" s="16" t="inlineStr">
        <is>
          <t>Mar 26</t>
        </is>
      </c>
      <c r="C46" s="16" t="inlineStr">
        <is>
          <t>Locked</t>
        </is>
      </c>
      <c r="D46" s="12" t="n">
        <v>42000</v>
      </c>
      <c r="E46" s="12" t="n">
        <v>15158</v>
      </c>
      <c r="F46" s="12">
        <f>D46-E46</f>
        <v/>
      </c>
      <c r="G46" s="13">
        <f>IF(D46=0,"",F46/D46)</f>
        <v/>
      </c>
    </row>
    <row r="47">
      <c r="A47" s="16" t="inlineStr">
        <is>
          <t>Maintenance contracts</t>
        </is>
      </c>
      <c r="B47" s="16" t="inlineStr">
        <is>
          <t>Apr 26</t>
        </is>
      </c>
      <c r="C47" s="16" t="inlineStr">
        <is>
          <t>Locked</t>
        </is>
      </c>
      <c r="D47" s="12" t="n">
        <v>42000</v>
      </c>
      <c r="E47" s="12" t="n">
        <v>15158</v>
      </c>
      <c r="F47" s="12">
        <f>D47-E47</f>
        <v/>
      </c>
      <c r="G47" s="13">
        <f>IF(D47=0,"",F47/D47)</f>
        <v/>
      </c>
    </row>
    <row r="48">
      <c r="A48" s="16" t="inlineStr">
        <is>
          <t>Maintenance contracts</t>
        </is>
      </c>
      <c r="B48" s="16" t="inlineStr">
        <is>
          <t>May 26</t>
        </is>
      </c>
      <c r="C48" s="16" t="inlineStr">
        <is>
          <t>Locked</t>
        </is>
      </c>
      <c r="D48" s="12" t="n">
        <v>45350</v>
      </c>
      <c r="E48" s="12" t="n">
        <v>16384</v>
      </c>
      <c r="F48" s="12">
        <f>D48-E48</f>
        <v/>
      </c>
      <c r="G48" s="13">
        <f>IF(D48=0,"",F48/D48)</f>
        <v/>
      </c>
    </row>
    <row r="49">
      <c r="A49" s="16" t="inlineStr">
        <is>
          <t>Maintenance contracts</t>
        </is>
      </c>
      <c r="B49" s="16" t="inlineStr">
        <is>
          <t>Jun 26</t>
        </is>
      </c>
      <c r="C49" s="16" t="inlineStr">
        <is>
          <t>Locked</t>
        </is>
      </c>
      <c r="D49" s="12" t="n">
        <v>45350</v>
      </c>
      <c r="E49" s="12" t="n">
        <v>16384</v>
      </c>
      <c r="F49" s="12">
        <f>D49-E49</f>
        <v/>
      </c>
      <c r="G49" s="13">
        <f>IF(D49=0,"",F49/D49)</f>
        <v/>
      </c>
    </row>
    <row r="50">
      <c r="A50" s="16" t="inlineStr">
        <is>
          <t>Maintenance contracts</t>
        </is>
      </c>
      <c r="B50" s="16" t="inlineStr">
        <is>
          <t>Jul 26</t>
        </is>
      </c>
      <c r="C50" s="16" t="inlineStr">
        <is>
          <t>Locked</t>
        </is>
      </c>
      <c r="D50" s="12" t="n">
        <v>45350</v>
      </c>
      <c r="E50" s="12" t="n">
        <v>16384</v>
      </c>
      <c r="F50" s="12">
        <f>D50-E50</f>
        <v/>
      </c>
      <c r="G50" s="13">
        <f>IF(D50=0,"",F50/D50)</f>
        <v/>
      </c>
    </row>
    <row r="51">
      <c r="A51" s="16" t="inlineStr">
        <is>
          <t>Maintenance contracts</t>
        </is>
      </c>
      <c r="B51" s="16" t="inlineStr">
        <is>
          <t>Aug 26</t>
        </is>
      </c>
      <c r="C51" s="16" t="inlineStr">
        <is>
          <t>Locked</t>
        </is>
      </c>
      <c r="D51" s="12" t="n">
        <v>45350</v>
      </c>
      <c r="E51" s="12" t="n">
        <v>16384</v>
      </c>
      <c r="F51" s="12">
        <f>D51-E51</f>
        <v/>
      </c>
      <c r="G51" s="13">
        <f>IF(D51=0,"",F51/D51)</f>
        <v/>
      </c>
    </row>
    <row r="52">
      <c r="A52" s="16" t="inlineStr">
        <is>
          <t>Installations</t>
        </is>
      </c>
      <c r="B52" s="16" t="inlineStr">
        <is>
          <t>Oct 24</t>
        </is>
      </c>
      <c r="C52" s="16" t="inlineStr">
        <is>
          <t>Locked</t>
        </is>
      </c>
      <c r="D52" s="12" t="n">
        <v>141600</v>
      </c>
      <c r="E52" s="12" t="n">
        <v>92430</v>
      </c>
      <c r="F52" s="12">
        <f>D52-E52</f>
        <v/>
      </c>
      <c r="G52" s="13">
        <f>IF(D52=0,"",F52/D52)</f>
        <v/>
      </c>
    </row>
    <row r="53">
      <c r="A53" s="16" t="inlineStr">
        <is>
          <t>Installations</t>
        </is>
      </c>
      <c r="B53" s="16" t="inlineStr">
        <is>
          <t>Nov 24</t>
        </is>
      </c>
      <c r="C53" s="16" t="inlineStr">
        <is>
          <t>Locked</t>
        </is>
      </c>
      <c r="D53" s="12" t="n">
        <v>147100</v>
      </c>
      <c r="E53" s="12" t="n">
        <v>89070</v>
      </c>
      <c r="F53" s="12">
        <f>D53-E53</f>
        <v/>
      </c>
      <c r="G53" s="13">
        <f>IF(D53=0,"",F53/D53)</f>
        <v/>
      </c>
    </row>
    <row r="54">
      <c r="A54" s="16" t="inlineStr">
        <is>
          <t>Installations</t>
        </is>
      </c>
      <c r="B54" s="16" t="inlineStr">
        <is>
          <t>Dec 24</t>
        </is>
      </c>
      <c r="C54" s="16" t="inlineStr">
        <is>
          <t>Locked</t>
        </is>
      </c>
      <c r="D54" s="12" t="n">
        <v>103700</v>
      </c>
      <c r="E54" s="12" t="n">
        <v>59908</v>
      </c>
      <c r="F54" s="12">
        <f>D54-E54</f>
        <v/>
      </c>
      <c r="G54" s="13">
        <f>IF(D54=0,"",F54/D54)</f>
        <v/>
      </c>
    </row>
    <row r="55">
      <c r="A55" s="16" t="inlineStr">
        <is>
          <t>Installations</t>
        </is>
      </c>
      <c r="B55" s="16" t="inlineStr">
        <is>
          <t>Jan 25</t>
        </is>
      </c>
      <c r="C55" s="16" t="inlineStr">
        <is>
          <t>Locked</t>
        </is>
      </c>
      <c r="D55" s="12" t="n">
        <v>100100</v>
      </c>
      <c r="E55" s="12" t="n">
        <v>54678</v>
      </c>
      <c r="F55" s="12">
        <f>D55-E55</f>
        <v/>
      </c>
      <c r="G55" s="13">
        <f>IF(D55=0,"",F55/D55)</f>
        <v/>
      </c>
    </row>
    <row r="56">
      <c r="A56" s="16" t="inlineStr">
        <is>
          <t>Installations</t>
        </is>
      </c>
      <c r="B56" s="16" t="inlineStr">
        <is>
          <t>Feb 25</t>
        </is>
      </c>
      <c r="C56" s="16" t="inlineStr">
        <is>
          <t>Locked</t>
        </is>
      </c>
      <c r="D56" s="12" t="n">
        <v>118600</v>
      </c>
      <c r="E56" s="12" t="n">
        <v>74966</v>
      </c>
      <c r="F56" s="12">
        <f>D56-E56</f>
        <v/>
      </c>
      <c r="G56" s="13">
        <f>IF(D56=0,"",F56/D56)</f>
        <v/>
      </c>
    </row>
    <row r="57">
      <c r="A57" s="16" t="inlineStr">
        <is>
          <t>Installations</t>
        </is>
      </c>
      <c r="B57" s="16" t="inlineStr">
        <is>
          <t>Mar 25</t>
        </is>
      </c>
      <c r="C57" s="16" t="inlineStr">
        <is>
          <t>Locked</t>
        </is>
      </c>
      <c r="D57" s="12" t="n">
        <v>96400</v>
      </c>
      <c r="E57" s="12" t="n">
        <v>61664</v>
      </c>
      <c r="F57" s="12">
        <f>D57-E57</f>
        <v/>
      </c>
      <c r="G57" s="13">
        <f>IF(D57=0,"",F57/D57)</f>
        <v/>
      </c>
    </row>
    <row r="58">
      <c r="A58" s="16" t="inlineStr">
        <is>
          <t>Installations</t>
        </is>
      </c>
      <c r="B58" s="16" t="inlineStr">
        <is>
          <t>Apr 25</t>
        </is>
      </c>
      <c r="C58" s="16" t="inlineStr">
        <is>
          <t>Locked</t>
        </is>
      </c>
      <c r="D58" s="12" t="n">
        <v>83900</v>
      </c>
      <c r="E58" s="12" t="n">
        <v>52264</v>
      </c>
      <c r="F58" s="12">
        <f>D58-E58</f>
        <v/>
      </c>
      <c r="G58" s="13">
        <f>IF(D58=0,"",F58/D58)</f>
        <v/>
      </c>
    </row>
    <row r="59">
      <c r="A59" s="16" t="inlineStr">
        <is>
          <t>Installations</t>
        </is>
      </c>
      <c r="B59" s="16" t="inlineStr">
        <is>
          <t>May 25</t>
        </is>
      </c>
      <c r="C59" s="16" t="inlineStr">
        <is>
          <t>Locked</t>
        </is>
      </c>
      <c r="D59" s="12" t="n">
        <v>89900</v>
      </c>
      <c r="E59" s="12" t="n">
        <v>59534</v>
      </c>
      <c r="F59" s="12">
        <f>D59-E59</f>
        <v/>
      </c>
      <c r="G59" s="13">
        <f>IF(D59=0,"",F59/D59)</f>
        <v/>
      </c>
    </row>
    <row r="60">
      <c r="A60" s="16" t="inlineStr">
        <is>
          <t>Installations</t>
        </is>
      </c>
      <c r="B60" s="16" t="inlineStr">
        <is>
          <t>Jun 25</t>
        </is>
      </c>
      <c r="C60" s="16" t="inlineStr">
        <is>
          <t>Locked</t>
        </is>
      </c>
      <c r="D60" s="12" t="n">
        <v>126300</v>
      </c>
      <c r="E60" s="12" t="n">
        <v>72976</v>
      </c>
      <c r="F60" s="12">
        <f>D60-E60</f>
        <v/>
      </c>
      <c r="G60" s="13">
        <f>IF(D60=0,"",F60/D60)</f>
        <v/>
      </c>
    </row>
    <row r="61">
      <c r="A61" s="16" t="inlineStr">
        <is>
          <t>Installations</t>
        </is>
      </c>
      <c r="B61" s="16" t="inlineStr">
        <is>
          <t>Jul 25</t>
        </is>
      </c>
      <c r="C61" s="16" t="inlineStr">
        <is>
          <t>Locked</t>
        </is>
      </c>
      <c r="D61" s="12" t="n">
        <v>152100</v>
      </c>
      <c r="E61" s="12" t="n">
        <v>96920</v>
      </c>
      <c r="F61" s="12">
        <f>D61-E61</f>
        <v/>
      </c>
      <c r="G61" s="13">
        <f>IF(D61=0,"",F61/D61)</f>
        <v/>
      </c>
    </row>
    <row r="62">
      <c r="A62" s="16" t="inlineStr">
        <is>
          <t>Installations</t>
        </is>
      </c>
      <c r="B62" s="16" t="inlineStr">
        <is>
          <t>Aug 25</t>
        </is>
      </c>
      <c r="C62" s="16" t="inlineStr">
        <is>
          <t>Locked</t>
        </is>
      </c>
      <c r="D62" s="12" t="n">
        <v>96500</v>
      </c>
      <c r="E62" s="12" t="n">
        <v>53590</v>
      </c>
      <c r="F62" s="12">
        <f>D62-E62</f>
        <v/>
      </c>
      <c r="G62" s="13">
        <f>IF(D62=0,"",F62/D62)</f>
        <v/>
      </c>
    </row>
    <row r="63">
      <c r="A63" s="16" t="inlineStr">
        <is>
          <t>Installations</t>
        </is>
      </c>
      <c r="B63" s="16" t="inlineStr">
        <is>
          <t>Sep 25</t>
        </is>
      </c>
      <c r="C63" s="16" t="inlineStr">
        <is>
          <t>Locked</t>
        </is>
      </c>
      <c r="D63" s="12" t="n">
        <v>84200</v>
      </c>
      <c r="E63" s="12" t="n">
        <v>55440</v>
      </c>
      <c r="F63" s="12">
        <f>D63-E63</f>
        <v/>
      </c>
      <c r="G63" s="13">
        <f>IF(D63=0,"",F63/D63)</f>
        <v/>
      </c>
    </row>
    <row r="64">
      <c r="A64" s="16" t="inlineStr">
        <is>
          <t>Installations</t>
        </is>
      </c>
      <c r="B64" s="16" t="inlineStr">
        <is>
          <t>Oct 25</t>
        </is>
      </c>
      <c r="C64" s="16" t="inlineStr">
        <is>
          <t>Locked</t>
        </is>
      </c>
      <c r="D64" s="12" t="n">
        <v>79300</v>
      </c>
      <c r="E64" s="12" t="n">
        <v>52288</v>
      </c>
      <c r="F64" s="12">
        <f>D64-E64</f>
        <v/>
      </c>
      <c r="G64" s="13">
        <f>IF(D64=0,"",F64/D64)</f>
        <v/>
      </c>
    </row>
    <row r="65">
      <c r="A65" s="16" t="inlineStr">
        <is>
          <t>Installations</t>
        </is>
      </c>
      <c r="B65" s="16" t="inlineStr">
        <is>
          <t>Nov 25</t>
        </is>
      </c>
      <c r="C65" s="16" t="inlineStr">
        <is>
          <t>Locked</t>
        </is>
      </c>
      <c r="D65" s="12" t="n">
        <v>126900</v>
      </c>
      <c r="E65" s="12" t="n">
        <v>87174</v>
      </c>
      <c r="F65" s="12">
        <f>D65-E65</f>
        <v/>
      </c>
      <c r="G65" s="13">
        <f>IF(D65=0,"",F65/D65)</f>
        <v/>
      </c>
    </row>
    <row r="66">
      <c r="A66" s="16" t="inlineStr">
        <is>
          <t>Installations</t>
        </is>
      </c>
      <c r="B66" s="16" t="inlineStr">
        <is>
          <t>Dec 25</t>
        </is>
      </c>
      <c r="C66" s="16" t="inlineStr">
        <is>
          <t>Locked</t>
        </is>
      </c>
      <c r="D66" s="12" t="n">
        <v>78100</v>
      </c>
      <c r="E66" s="12" t="n">
        <v>53408</v>
      </c>
      <c r="F66" s="12">
        <f>D66-E66</f>
        <v/>
      </c>
      <c r="G66" s="13">
        <f>IF(D66=0,"",F66/D66)</f>
        <v/>
      </c>
    </row>
    <row r="67">
      <c r="A67" s="16" t="inlineStr">
        <is>
          <t>Installations</t>
        </is>
      </c>
      <c r="B67" s="16" t="inlineStr">
        <is>
          <t>Jan 26</t>
        </is>
      </c>
      <c r="C67" s="16" t="inlineStr">
        <is>
          <t>Locked</t>
        </is>
      </c>
      <c r="D67" s="12" t="n">
        <v>109100</v>
      </c>
      <c r="E67" s="12" t="n">
        <v>74216</v>
      </c>
      <c r="F67" s="12">
        <f>D67-E67</f>
        <v/>
      </c>
      <c r="G67" s="13">
        <f>IF(D67=0,"",F67/D67)</f>
        <v/>
      </c>
    </row>
    <row r="68">
      <c r="A68" s="16" t="inlineStr">
        <is>
          <t>Installations</t>
        </is>
      </c>
      <c r="B68" s="16" t="inlineStr">
        <is>
          <t>Feb 26</t>
        </is>
      </c>
      <c r="C68" s="16" t="inlineStr">
        <is>
          <t>Locked</t>
        </is>
      </c>
      <c r="D68" s="12" t="n">
        <v>144800</v>
      </c>
      <c r="E68" s="12" t="n">
        <v>88896</v>
      </c>
      <c r="F68" s="12">
        <f>D68-E68</f>
        <v/>
      </c>
      <c r="G68" s="13">
        <f>IF(D68=0,"",F68/D68)</f>
        <v/>
      </c>
    </row>
    <row r="69">
      <c r="A69" s="16" t="inlineStr">
        <is>
          <t>Installations</t>
        </is>
      </c>
      <c r="B69" s="16" t="inlineStr">
        <is>
          <t>Mar 26</t>
        </is>
      </c>
      <c r="C69" s="16" t="inlineStr">
        <is>
          <t>Locked</t>
        </is>
      </c>
      <c r="D69" s="12" t="n">
        <v>144900</v>
      </c>
      <c r="E69" s="12" t="n">
        <v>94290</v>
      </c>
      <c r="F69" s="12">
        <f>D69-E69</f>
        <v/>
      </c>
      <c r="G69" s="13">
        <f>IF(D69=0,"",F69/D69)</f>
        <v/>
      </c>
    </row>
    <row r="70">
      <c r="A70" s="16" t="inlineStr">
        <is>
          <t>Installations</t>
        </is>
      </c>
      <c r="B70" s="16" t="inlineStr">
        <is>
          <t>Apr 26</t>
        </is>
      </c>
      <c r="C70" s="16" t="inlineStr">
        <is>
          <t>Locked</t>
        </is>
      </c>
      <c r="D70" s="12" t="n">
        <v>116900</v>
      </c>
      <c r="E70" s="12" t="n">
        <v>68016</v>
      </c>
      <c r="F70" s="12">
        <f>D70-E70</f>
        <v/>
      </c>
      <c r="G70" s="13">
        <f>IF(D70=0,"",F70/D70)</f>
        <v/>
      </c>
    </row>
    <row r="71">
      <c r="A71" s="16" t="inlineStr">
        <is>
          <t>Installations</t>
        </is>
      </c>
      <c r="B71" s="16" t="inlineStr">
        <is>
          <t>May 26</t>
        </is>
      </c>
      <c r="C71" s="16" t="inlineStr">
        <is>
          <t>Locked</t>
        </is>
      </c>
      <c r="D71" s="12" t="n">
        <v>103400</v>
      </c>
      <c r="E71" s="12" t="n">
        <v>66240</v>
      </c>
      <c r="F71" s="12">
        <f>D71-E71</f>
        <v/>
      </c>
      <c r="G71" s="13">
        <f>IF(D71=0,"",F71/D71)</f>
        <v/>
      </c>
    </row>
    <row r="72">
      <c r="A72" s="16" t="inlineStr">
        <is>
          <t>Installations</t>
        </is>
      </c>
      <c r="B72" s="16" t="inlineStr">
        <is>
          <t>Jun 26</t>
        </is>
      </c>
      <c r="C72" s="16" t="inlineStr">
        <is>
          <t>Locked</t>
        </is>
      </c>
      <c r="D72" s="12" t="n">
        <v>115600</v>
      </c>
      <c r="E72" s="12" t="n">
        <v>73792</v>
      </c>
      <c r="F72" s="12">
        <f>D72-E72</f>
        <v/>
      </c>
      <c r="G72" s="13">
        <f>IF(D72=0,"",F72/D72)</f>
        <v/>
      </c>
    </row>
    <row r="73">
      <c r="A73" s="16" t="inlineStr">
        <is>
          <t>Installations</t>
        </is>
      </c>
      <c r="B73" s="16" t="inlineStr">
        <is>
          <t>Jul 26</t>
        </is>
      </c>
      <c r="C73" s="16" t="inlineStr">
        <is>
          <t>Locked</t>
        </is>
      </c>
      <c r="D73" s="12" t="n">
        <v>143000</v>
      </c>
      <c r="E73" s="12" t="n">
        <v>91520</v>
      </c>
      <c r="F73" s="12">
        <f>D73-E73</f>
        <v/>
      </c>
      <c r="G73" s="13">
        <f>IF(D73=0,"",F73/D73)</f>
        <v/>
      </c>
    </row>
    <row r="74">
      <c r="A74" s="16" t="inlineStr">
        <is>
          <t>Installations</t>
        </is>
      </c>
      <c r="B74" s="16" t="inlineStr">
        <is>
          <t>Aug 26</t>
        </is>
      </c>
      <c r="C74" s="16" t="inlineStr">
        <is>
          <t>Locked</t>
        </is>
      </c>
      <c r="D74" s="12" t="n">
        <v>122800</v>
      </c>
      <c r="E74" s="12" t="n">
        <v>72720</v>
      </c>
      <c r="F74" s="12">
        <f>D74-E74</f>
        <v/>
      </c>
      <c r="G74" s="13">
        <f>IF(D74=0,"",F74/D74)</f>
        <v/>
      </c>
    </row>
    <row r="75">
      <c r="A75" s="16" t="inlineStr">
        <is>
          <t>Call-outs and repairs</t>
        </is>
      </c>
      <c r="B75" s="16" t="inlineStr">
        <is>
          <t>Oct 24</t>
        </is>
      </c>
      <c r="C75" s="16" t="inlineStr">
        <is>
          <t>Locked</t>
        </is>
      </c>
      <c r="D75" s="12" t="n">
        <v>21764</v>
      </c>
      <c r="E75" s="12" t="n">
        <v>11484</v>
      </c>
      <c r="F75" s="12">
        <f>D75-E75</f>
        <v/>
      </c>
      <c r="G75" s="13">
        <f>IF(D75=0,"",F75/D75)</f>
        <v/>
      </c>
    </row>
    <row r="76">
      <c r="A76" s="16" t="inlineStr">
        <is>
          <t>Call-outs and repairs</t>
        </is>
      </c>
      <c r="B76" s="16" t="inlineStr">
        <is>
          <t>Nov 24</t>
        </is>
      </c>
      <c r="C76" s="16" t="inlineStr">
        <is>
          <t>Locked</t>
        </is>
      </c>
      <c r="D76" s="12" t="n">
        <v>25374</v>
      </c>
      <c r="E76" s="12" t="n">
        <v>13526</v>
      </c>
      <c r="F76" s="12">
        <f>D76-E76</f>
        <v/>
      </c>
      <c r="G76" s="13">
        <f>IF(D76=0,"",F76/D76)</f>
        <v/>
      </c>
    </row>
    <row r="77">
      <c r="A77" s="16" t="inlineStr">
        <is>
          <t>Call-outs and repairs</t>
        </is>
      </c>
      <c r="B77" s="16" t="inlineStr">
        <is>
          <t>Dec 24</t>
        </is>
      </c>
      <c r="C77" s="16" t="inlineStr">
        <is>
          <t>Locked</t>
        </is>
      </c>
      <c r="D77" s="12" t="n">
        <v>28056</v>
      </c>
      <c r="E77" s="12" t="n">
        <v>14988</v>
      </c>
      <c r="F77" s="12">
        <f>D77-E77</f>
        <v/>
      </c>
      <c r="G77" s="13">
        <f>IF(D77=0,"",F77/D77)</f>
        <v/>
      </c>
    </row>
    <row r="78">
      <c r="A78" s="16" t="inlineStr">
        <is>
          <t>Call-outs and repairs</t>
        </is>
      </c>
      <c r="B78" s="16" t="inlineStr">
        <is>
          <t>Jan 25</t>
        </is>
      </c>
      <c r="C78" s="16" t="inlineStr">
        <is>
          <t>Locked</t>
        </is>
      </c>
      <c r="D78" s="12" t="n">
        <v>29044</v>
      </c>
      <c r="E78" s="12" t="n">
        <v>15644</v>
      </c>
      <c r="F78" s="12">
        <f>D78-E78</f>
        <v/>
      </c>
      <c r="G78" s="13">
        <f>IF(D78=0,"",F78/D78)</f>
        <v/>
      </c>
    </row>
    <row r="79">
      <c r="A79" s="16" t="inlineStr">
        <is>
          <t>Call-outs and repairs</t>
        </is>
      </c>
      <c r="B79" s="16" t="inlineStr">
        <is>
          <t>Feb 25</t>
        </is>
      </c>
      <c r="C79" s="16" t="inlineStr">
        <is>
          <t>Locked</t>
        </is>
      </c>
      <c r="D79" s="12" t="n">
        <v>29290</v>
      </c>
      <c r="E79" s="12" t="n">
        <v>15600</v>
      </c>
      <c r="F79" s="12">
        <f>D79-E79</f>
        <v/>
      </c>
      <c r="G79" s="13">
        <f>IF(D79=0,"",F79/D79)</f>
        <v/>
      </c>
    </row>
    <row r="80">
      <c r="A80" s="16" t="inlineStr">
        <is>
          <t>Call-outs and repairs</t>
        </is>
      </c>
      <c r="B80" s="16" t="inlineStr">
        <is>
          <t>Mar 25</t>
        </is>
      </c>
      <c r="C80" s="16" t="inlineStr">
        <is>
          <t>Locked</t>
        </is>
      </c>
      <c r="D80" s="12" t="n">
        <v>22765</v>
      </c>
      <c r="E80" s="12" t="n">
        <v>12306</v>
      </c>
      <c r="F80" s="12">
        <f>D80-E80</f>
        <v/>
      </c>
      <c r="G80" s="13">
        <f>IF(D80=0,"",F80/D80)</f>
        <v/>
      </c>
    </row>
    <row r="81">
      <c r="A81" s="16" t="inlineStr">
        <is>
          <t>Call-outs and repairs</t>
        </is>
      </c>
      <c r="B81" s="16" t="inlineStr">
        <is>
          <t>Apr 25</t>
        </is>
      </c>
      <c r="C81" s="16" t="inlineStr">
        <is>
          <t>Locked</t>
        </is>
      </c>
      <c r="D81" s="12" t="n">
        <v>23665</v>
      </c>
      <c r="E81" s="12" t="n">
        <v>12762</v>
      </c>
      <c r="F81" s="12">
        <f>D81-E81</f>
        <v/>
      </c>
      <c r="G81" s="13">
        <f>IF(D81=0,"",F81/D81)</f>
        <v/>
      </c>
    </row>
    <row r="82">
      <c r="A82" s="16" t="inlineStr">
        <is>
          <t>Call-outs and repairs</t>
        </is>
      </c>
      <c r="B82" s="16" t="inlineStr">
        <is>
          <t>May 25</t>
        </is>
      </c>
      <c r="C82" s="16" t="inlineStr">
        <is>
          <t>Locked</t>
        </is>
      </c>
      <c r="D82" s="12" t="n">
        <v>23449</v>
      </c>
      <c r="E82" s="12" t="n">
        <v>12384</v>
      </c>
      <c r="F82" s="12">
        <f>D82-E82</f>
        <v/>
      </c>
      <c r="G82" s="13">
        <f>IF(D82=0,"",F82/D82)</f>
        <v/>
      </c>
    </row>
    <row r="83">
      <c r="A83" s="16" t="inlineStr">
        <is>
          <t>Call-outs and repairs</t>
        </is>
      </c>
      <c r="B83" s="16" t="inlineStr">
        <is>
          <t>Jun 25</t>
        </is>
      </c>
      <c r="C83" s="16" t="inlineStr">
        <is>
          <t>Locked</t>
        </is>
      </c>
      <c r="D83" s="12" t="n">
        <v>21245</v>
      </c>
      <c r="E83" s="12" t="n">
        <v>11162</v>
      </c>
      <c r="F83" s="12">
        <f>D83-E83</f>
        <v/>
      </c>
      <c r="G83" s="13">
        <f>IF(D83=0,"",F83/D83)</f>
        <v/>
      </c>
    </row>
    <row r="84">
      <c r="A84" s="16" t="inlineStr">
        <is>
          <t>Call-outs and repairs</t>
        </is>
      </c>
      <c r="B84" s="16" t="inlineStr">
        <is>
          <t>Jul 25</t>
        </is>
      </c>
      <c r="C84" s="16" t="inlineStr">
        <is>
          <t>Locked</t>
        </is>
      </c>
      <c r="D84" s="12" t="n">
        <v>19288</v>
      </c>
      <c r="E84" s="12" t="n">
        <v>9960</v>
      </c>
      <c r="F84" s="12">
        <f>D84-E84</f>
        <v/>
      </c>
      <c r="G84" s="13">
        <f>IF(D84=0,"",F84/D84)</f>
        <v/>
      </c>
    </row>
    <row r="85">
      <c r="A85" s="16" t="inlineStr">
        <is>
          <t>Call-outs and repairs</t>
        </is>
      </c>
      <c r="B85" s="16" t="inlineStr">
        <is>
          <t>Aug 25</t>
        </is>
      </c>
      <c r="C85" s="16" t="inlineStr">
        <is>
          <t>Locked</t>
        </is>
      </c>
      <c r="D85" s="12" t="n">
        <v>21418</v>
      </c>
      <c r="E85" s="12" t="n">
        <v>11222</v>
      </c>
      <c r="F85" s="12">
        <f>D85-E85</f>
        <v/>
      </c>
      <c r="G85" s="13">
        <f>IF(D85=0,"",F85/D85)</f>
        <v/>
      </c>
    </row>
    <row r="86">
      <c r="A86" s="16" t="inlineStr">
        <is>
          <t>Call-outs and repairs</t>
        </is>
      </c>
      <c r="B86" s="16" t="inlineStr">
        <is>
          <t>Sep 25</t>
        </is>
      </c>
      <c r="C86" s="16" t="inlineStr">
        <is>
          <t>Locked</t>
        </is>
      </c>
      <c r="D86" s="12" t="n">
        <v>21677</v>
      </c>
      <c r="E86" s="12" t="n">
        <v>11168</v>
      </c>
      <c r="F86" s="12">
        <f>D86-E86</f>
        <v/>
      </c>
      <c r="G86" s="13">
        <f>IF(D86=0,"",F86/D86)</f>
        <v/>
      </c>
    </row>
    <row r="87">
      <c r="A87" s="16" t="inlineStr">
        <is>
          <t>Call-outs and repairs</t>
        </is>
      </c>
      <c r="B87" s="16" t="inlineStr">
        <is>
          <t>Oct 25</t>
        </is>
      </c>
      <c r="C87" s="16" t="inlineStr">
        <is>
          <t>Locked</t>
        </is>
      </c>
      <c r="D87" s="12" t="n">
        <v>24166</v>
      </c>
      <c r="E87" s="12" t="n">
        <v>12648</v>
      </c>
      <c r="F87" s="12">
        <f>D87-E87</f>
        <v/>
      </c>
      <c r="G87" s="13">
        <f>IF(D87=0,"",F87/D87)</f>
        <v/>
      </c>
    </row>
    <row r="88">
      <c r="A88" s="16" t="inlineStr">
        <is>
          <t>Call-outs and repairs</t>
        </is>
      </c>
      <c r="B88" s="16" t="inlineStr">
        <is>
          <t>Nov 25</t>
        </is>
      </c>
      <c r="C88" s="16" t="inlineStr">
        <is>
          <t>Locked</t>
        </is>
      </c>
      <c r="D88" s="12" t="n">
        <v>27966</v>
      </c>
      <c r="E88" s="12" t="n">
        <v>14252</v>
      </c>
      <c r="F88" s="12">
        <f>D88-E88</f>
        <v/>
      </c>
      <c r="G88" s="13">
        <f>IF(D88=0,"",F88/D88)</f>
        <v/>
      </c>
    </row>
    <row r="89">
      <c r="A89" s="16" t="inlineStr">
        <is>
          <t>Call-outs and repairs</t>
        </is>
      </c>
      <c r="B89" s="16" t="inlineStr">
        <is>
          <t>Dec 25</t>
        </is>
      </c>
      <c r="C89" s="16" t="inlineStr">
        <is>
          <t>Locked</t>
        </is>
      </c>
      <c r="D89" s="12" t="n">
        <v>32083</v>
      </c>
      <c r="E89" s="12" t="n">
        <v>16702</v>
      </c>
      <c r="F89" s="12">
        <f>D89-E89</f>
        <v/>
      </c>
      <c r="G89" s="13">
        <f>IF(D89=0,"",F89/D89)</f>
        <v/>
      </c>
    </row>
    <row r="90">
      <c r="A90" s="16" t="inlineStr">
        <is>
          <t>Call-outs and repairs</t>
        </is>
      </c>
      <c r="B90" s="16" t="inlineStr">
        <is>
          <t>Jan 26</t>
        </is>
      </c>
      <c r="C90" s="16" t="inlineStr">
        <is>
          <t>Locked</t>
        </is>
      </c>
      <c r="D90" s="12" t="n">
        <v>34106</v>
      </c>
      <c r="E90" s="12" t="n">
        <v>17858</v>
      </c>
      <c r="F90" s="12">
        <f>D90-E90</f>
        <v/>
      </c>
      <c r="G90" s="13">
        <f>IF(D90=0,"",F90/D90)</f>
        <v/>
      </c>
    </row>
    <row r="91">
      <c r="A91" s="16" t="inlineStr">
        <is>
          <t>Call-outs and repairs</t>
        </is>
      </c>
      <c r="B91" s="16" t="inlineStr">
        <is>
          <t>Feb 26</t>
        </is>
      </c>
      <c r="C91" s="16" t="inlineStr">
        <is>
          <t>Locked</t>
        </is>
      </c>
      <c r="D91" s="12" t="n">
        <v>32108</v>
      </c>
      <c r="E91" s="12" t="n">
        <v>16608</v>
      </c>
      <c r="F91" s="12">
        <f>D91-E91</f>
        <v/>
      </c>
      <c r="G91" s="13">
        <f>IF(D91=0,"",F91/D91)</f>
        <v/>
      </c>
    </row>
    <row r="92">
      <c r="A92" s="16" t="inlineStr">
        <is>
          <t>Call-outs and repairs</t>
        </is>
      </c>
      <c r="B92" s="16" t="inlineStr">
        <is>
          <t>Mar 26</t>
        </is>
      </c>
      <c r="C92" s="16" t="inlineStr">
        <is>
          <t>Locked</t>
        </is>
      </c>
      <c r="D92" s="12" t="n">
        <v>26678</v>
      </c>
      <c r="E92" s="12" t="n">
        <v>13894</v>
      </c>
      <c r="F92" s="12">
        <f>D92-E92</f>
        <v/>
      </c>
      <c r="G92" s="13">
        <f>IF(D92=0,"",F92/D92)</f>
        <v/>
      </c>
    </row>
    <row r="93">
      <c r="A93" s="16" t="inlineStr">
        <is>
          <t>Call-outs and repairs</t>
        </is>
      </c>
      <c r="B93" s="16" t="inlineStr">
        <is>
          <t>Apr 26</t>
        </is>
      </c>
      <c r="C93" s="16" t="inlineStr">
        <is>
          <t>Locked</t>
        </is>
      </c>
      <c r="D93" s="12" t="n">
        <v>25067</v>
      </c>
      <c r="E93" s="12" t="n">
        <v>12970</v>
      </c>
      <c r="F93" s="12">
        <f>D93-E93</f>
        <v/>
      </c>
      <c r="G93" s="13">
        <f>IF(D93=0,"",F93/D93)</f>
        <v/>
      </c>
    </row>
    <row r="94">
      <c r="A94" s="16" t="inlineStr">
        <is>
          <t>Call-outs and repairs</t>
        </is>
      </c>
      <c r="B94" s="16" t="inlineStr">
        <is>
          <t>May 26</t>
        </is>
      </c>
      <c r="C94" s="16" t="inlineStr">
        <is>
          <t>Locked</t>
        </is>
      </c>
      <c r="D94" s="12" t="n">
        <v>31592</v>
      </c>
      <c r="E94" s="12" t="n">
        <v>16234</v>
      </c>
      <c r="F94" s="12">
        <f>D94-E94</f>
        <v/>
      </c>
      <c r="G94" s="13">
        <f>IF(D94=0,"",F94/D94)</f>
        <v/>
      </c>
    </row>
    <row r="95">
      <c r="A95" s="16" t="inlineStr">
        <is>
          <t>Call-outs and repairs</t>
        </is>
      </c>
      <c r="B95" s="16" t="inlineStr">
        <is>
          <t>Jun 26</t>
        </is>
      </c>
      <c r="C95" s="16" t="inlineStr">
        <is>
          <t>Locked</t>
        </is>
      </c>
      <c r="D95" s="12" t="n">
        <v>32082</v>
      </c>
      <c r="E95" s="12" t="n">
        <v>16324</v>
      </c>
      <c r="F95" s="12">
        <f>D95-E95</f>
        <v/>
      </c>
      <c r="G95" s="13">
        <f>IF(D95=0,"",F95/D95)</f>
        <v/>
      </c>
    </row>
    <row r="96">
      <c r="A96" s="16" t="inlineStr">
        <is>
          <t>Call-outs and repairs</t>
        </is>
      </c>
      <c r="B96" s="16" t="inlineStr">
        <is>
          <t>Jul 26</t>
        </is>
      </c>
      <c r="C96" s="16" t="inlineStr">
        <is>
          <t>Locked</t>
        </is>
      </c>
      <c r="D96" s="12" t="n">
        <v>27260</v>
      </c>
      <c r="E96" s="12" t="n">
        <v>14220</v>
      </c>
      <c r="F96" s="12">
        <f>D96-E96</f>
        <v/>
      </c>
      <c r="G96" s="13">
        <f>IF(D96=0,"",F96/D96)</f>
        <v/>
      </c>
    </row>
    <row r="97">
      <c r="A97" s="16" t="inlineStr">
        <is>
          <t>Call-outs and repairs</t>
        </is>
      </c>
      <c r="B97" s="16" t="inlineStr">
        <is>
          <t>Aug 26</t>
        </is>
      </c>
      <c r="C97" s="16" t="inlineStr">
        <is>
          <t>Locked</t>
        </is>
      </c>
      <c r="D97" s="12" t="n">
        <v>31373</v>
      </c>
      <c r="E97" s="12" t="n">
        <v>16266</v>
      </c>
      <c r="F97" s="12">
        <f>D97-E97</f>
        <v/>
      </c>
      <c r="G97" s="13">
        <f>IF(D97=0,"",F97/D97)</f>
        <v/>
      </c>
    </row>
  </sheetData>
  <printOptions horizontalCentered="1"/>
  <pageMargins left="0.5" right="0.5" top="0.75" bottom="0.75" header="0.5" footer="0.5"/>
  <pageSetup orientation="landscape" paperSize="9" fitToHeight="0" fitToWidth="1"/>
  <headerFooter>
    <oddHeader>&amp;L&amp;"Roboto,Regular"&amp;8 Sample Electrical &amp;&amp; Air Pty Ltd&amp;R&amp;"Roboto,Regular"&amp;8 &amp;A</oddHeader>
    <oddFooter>&amp;L&amp;"Roboto,Regular"&amp;8 growth-trades.xlsx&amp;C&amp;"Roboto,Regular"&amp;8 Data retrieved 2pm, Tue 6 Oct 2026 · Generated 9 Oct 2026, 8:41am&amp;R&amp;"Roboto,Regular"&amp;8 Page &amp;P of &amp;N</oddFooter>
    <evenHeader/>
    <evenFooter/>
    <firstHeader/>
    <firstFooter/>
  </headerFooter>
  <rowBreaks count="3" manualBreakCount="3">
    <brk id="28" min="0" max="16383" man="1"/>
    <brk id="51" min="0" max="16383" man="1"/>
    <brk id="74" min="0" max="16383" man="1"/>
  </rowBreaks>
  <drawing xmlns:r="http://schemas.openxmlformats.org/officeDocument/2006/relationships" r:id="rId1"/>
  <tableParts count="1">
    <tablePart xmlns:r="http://schemas.openxmlformats.org/officeDocument/2006/relationships" r:id="rId2"/>
  </tableParts>
</worksheet>
</file>

<file path=xl/worksheets/sheet4.xml><?xml version="1.0" encoding="utf-8"?>
<worksheet xmlns="http://schemas.openxmlformats.org/spreadsheetml/2006/main">
  <sheetPr>
    <outlinePr summaryBelow="1" summaryRight="1"/>
    <pageSetUpPr fitToPage="1"/>
  </sheetPr>
  <dimension ref="A1:F9"/>
  <sheetViews>
    <sheetView showGridLines="0" workbookViewId="0">
      <pane xSplit="1" ySplit="5" topLeftCell="B6" activePane="bottomRight" state="frozen"/>
      <selection pane="topRight"/>
      <selection pane="bottomLeft"/>
      <selection pane="bottomRight" activeCell="A1" sqref="A1"/>
    </sheetView>
  </sheetViews>
  <sheetFormatPr baseColWidth="8" defaultRowHeight="15"/>
  <cols>
    <col width="34" customWidth="1" min="1" max="1"/>
    <col width="16" customWidth="1" min="2" max="2"/>
    <col width="16" customWidth="1" min="3" max="3"/>
    <col width="16" customWidth="1" min="4" max="4"/>
    <col width="16" customWidth="1" min="5" max="5"/>
    <col width="16" customWidth="1" min="6" max="6"/>
  </cols>
  <sheetData>
    <row r="1">
      <c r="A1" s="1" t="inlineStr">
        <is>
          <t>Year to date Trades</t>
        </is>
      </c>
    </row>
    <row r="2">
      <c r="A2" s="2" t="inlineStr">
        <is>
          <t>Sample Electrical &amp; Air Pty Ltd · SAMPLE DATA (invented) · The Fourth Sheet · Made with Python (openpyxl)</t>
        </is>
      </c>
    </row>
    <row r="3">
      <c r="A3" s="2" t="inlineStr">
        <is>
          <t>Period: August 2026 · Data status: Jul 2026 locked · Aug 2026 locked · Oct 2026 incomplete (data retrieved 2pm, Tue 6 Oct 2026) · Generated 9 Oct 2026, 8:41am</t>
        </is>
      </c>
    </row>
    <row r="4"/>
    <row r="5">
      <c r="A5" s="7" t="inlineStr">
        <is>
          <t>Line</t>
        </is>
      </c>
      <c r="B5" s="8" t="inlineStr">
        <is>
          <t>Year to date</t>
        </is>
      </c>
      <c r="C5" s="8" t="inlineStr">
        <is>
          <t>Same period last year</t>
        </is>
      </c>
      <c r="D5" s="8" t="inlineStr">
        <is>
          <t>Growth</t>
        </is>
      </c>
      <c r="E5" s="8" t="inlineStr">
        <is>
          <t>Gross margin $</t>
        </is>
      </c>
      <c r="F5" s="8" t="inlineStr">
        <is>
          <t>Gross margin %</t>
        </is>
      </c>
    </row>
    <row r="6">
      <c r="A6" s="16" t="inlineStr">
        <is>
          <t>Maintenance contracts</t>
        </is>
      </c>
      <c r="B6" s="12" t="n">
        <v>90700</v>
      </c>
      <c r="C6" s="12" t="n">
        <v>74400</v>
      </c>
      <c r="D6" s="13">
        <f>IF(C6=0,"",B6/C6-1)</f>
        <v/>
      </c>
      <c r="E6" s="12" t="n">
        <v>57932</v>
      </c>
      <c r="F6" s="13">
        <f>IF(B6=0,"",E6/B6)</f>
        <v/>
      </c>
    </row>
    <row r="7">
      <c r="A7" s="16" t="inlineStr">
        <is>
          <t>Installations</t>
        </is>
      </c>
      <c r="B7" s="12" t="n">
        <v>265800</v>
      </c>
      <c r="C7" s="12" t="n">
        <v>248600</v>
      </c>
      <c r="D7" s="13">
        <f>IF(C7=0,"",B7/C7-1)</f>
        <v/>
      </c>
      <c r="E7" s="12" t="n">
        <v>101560</v>
      </c>
      <c r="F7" s="13">
        <f>IF(B7=0,"",E7/B7)</f>
        <v/>
      </c>
    </row>
    <row r="8">
      <c r="A8" s="16" t="inlineStr">
        <is>
          <t>Call-outs and repairs</t>
        </is>
      </c>
      <c r="B8" s="12" t="n">
        <v>58633</v>
      </c>
      <c r="C8" s="12" t="n">
        <v>40706</v>
      </c>
      <c r="D8" s="13">
        <f>IF(C8=0,"",B8/C8-1)</f>
        <v/>
      </c>
      <c r="E8" s="12" t="n">
        <v>28147</v>
      </c>
      <c r="F8" s="13">
        <f>IF(B8=0,"",E8/B8)</f>
        <v/>
      </c>
    </row>
    <row r="9">
      <c r="A9" s="16" t="inlineStr">
        <is>
          <t>Total</t>
        </is>
      </c>
      <c r="B9" s="12" t="n">
        <v>415133</v>
      </c>
      <c r="C9" s="12" t="n">
        <v>363706</v>
      </c>
      <c r="D9" s="13">
        <f>IF(C9=0,"",B9/C9-1)</f>
        <v/>
      </c>
      <c r="E9" s="12" t="n">
        <v>187639</v>
      </c>
      <c r="F9" s="13">
        <f>IF(B9=0,"",E9/B9)</f>
        <v/>
      </c>
    </row>
  </sheetData>
  <printOptions horizontalCentered="1"/>
  <pageMargins left="0.5" right="0.5" top="0.75" bottom="0.75" header="0.5" footer="0.5"/>
  <pageSetup orientation="landscape" paperSize="9" fitToHeight="0" fitToWidth="1"/>
  <headerFooter>
    <oddHeader>&amp;L&amp;"Roboto,Regular"&amp;8 Sample Electrical &amp;&amp; Air Pty Ltd&amp;R&amp;"Roboto,Regular"&amp;8 &amp;A</oddHeader>
    <oddFooter>&amp;L&amp;"Roboto,Regular"&amp;8 growth-trades.xlsx&amp;C&amp;"Roboto,Regular"&amp;8 Data retrieved 2pm, Tue 6 Oct 2026 · Generated 9 Oct 2026, 8:41am&amp;R&amp;"Roboto,Regular"&amp;8 Page &amp;P of &amp;N</oddFooter>
    <evenHeader/>
    <evenFooter/>
    <firstHeader/>
    <firstFooter/>
  </headerFooter>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2026-10-08T22:42:08Z</dcterms:created>
  <dcterms:modified xmlns:dcterms="http://purl.org/dc/terms/" xmlns:xsi="http://www.w3.org/2001/XMLSchema-instance" xsi:type="dcterms:W3CDTF">2026-10-08T22:42:08Z</dcterms:modified>
</cp:coreProperties>
</file>