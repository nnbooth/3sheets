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August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12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August it cost: Grants 10¢, donations 12¢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August: grants (10¢ a dollar). Dearest: donations (12¢).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$146,318 raised this financial year to date (81.7% of everything raised), $14,200 to raise it, so $132,118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$32,700 raised this financial year to date (18.3% of everything raised), $4,400 to raise it, so $28,300 left for programs: 13¢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$0 raised this financial year to date (0.0% of everything raised), $2,400 to raise it, so ($2,400) left for programs: –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Aug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$146,318</t>
        </is>
      </c>
      <c r="C43" s="11" t="inlineStr">
        <is>
          <t>$14,200</t>
        </is>
      </c>
      <c r="D43" s="11" t="inlineStr">
        <is>
          <t>$132,118</t>
        </is>
      </c>
      <c r="E43" s="11" t="inlineStr">
        <is>
          <t>10¢</t>
        </is>
      </c>
    </row>
    <row r="44">
      <c r="A44" s="10" t="inlineStr">
        <is>
          <t>Donations</t>
        </is>
      </c>
      <c r="B44" s="11" t="inlineStr">
        <is>
          <t>$32,700</t>
        </is>
      </c>
      <c r="C44" s="11" t="inlineStr">
        <is>
          <t>$4,400</t>
        </is>
      </c>
      <c r="D44" s="11" t="inlineStr">
        <is>
          <t>$28,300</t>
        </is>
      </c>
      <c r="E44" s="11" t="inlineStr">
        <is>
          <t>13¢</t>
        </is>
      </c>
    </row>
    <row r="45">
      <c r="A45" s="10" t="inlineStr">
        <is>
          <t>Fundraising events</t>
        </is>
      </c>
      <c r="B45" s="11" t="inlineStr">
        <is>
          <t>$0</t>
        </is>
      </c>
      <c r="C45" s="11" t="inlineStr">
        <is>
          <t>$2,400</t>
        </is>
      </c>
      <c r="D45" s="11" t="inlineStr">
        <is>
          <t>($2,400)</t>
        </is>
      </c>
      <c r="E45" s="11" t="inlineStr">
        <is>
          <t>–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Cost to raise a dollar, by source, August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73700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18400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August.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Grants</t>
        </is>
      </c>
      <c r="B27" s="17" t="inlineStr">
        <is>
          <t>Jul 26</t>
        </is>
      </c>
      <c r="C27" s="17" t="inlineStr">
        <is>
          <t>Locked</t>
        </is>
      </c>
      <c r="D27" s="13" t="n">
        <v>72618</v>
      </c>
      <c r="E27" s="13" t="n">
        <v>7100</v>
      </c>
      <c r="F27" s="13">
        <f>D27-E27</f>
        <v/>
      </c>
      <c r="G27" s="14">
        <f>IF(D27=0,"",E27/D27*100)</f>
        <v/>
      </c>
    </row>
    <row r="28">
      <c r="A28" s="17" t="inlineStr">
        <is>
          <t>Grants</t>
        </is>
      </c>
      <c r="B28" s="17" t="inlineStr">
        <is>
          <t>Aug 26</t>
        </is>
      </c>
      <c r="C28" s="17" t="inlineStr">
        <is>
          <t>Locked</t>
        </is>
      </c>
      <c r="D28" s="13" t="n">
        <v>73700</v>
      </c>
      <c r="E28" s="13" t="n">
        <v>7100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Oct 24</t>
        </is>
      </c>
      <c r="C29" s="17" t="inlineStr">
        <is>
          <t>Locked</t>
        </is>
      </c>
      <c r="D29" s="13" t="n">
        <v>15300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Nov 24</t>
        </is>
      </c>
      <c r="C30" s="17" t="inlineStr">
        <is>
          <t>Locked</t>
        </is>
      </c>
      <c r="D30" s="13" t="n">
        <v>17700</v>
      </c>
      <c r="E30" s="13" t="n">
        <v>3100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Dec 24</t>
        </is>
      </c>
      <c r="C31" s="17" t="inlineStr">
        <is>
          <t>Locked</t>
        </is>
      </c>
      <c r="D31" s="13" t="n">
        <v>24700</v>
      </c>
      <c r="E31" s="13" t="n">
        <v>4400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Jan 25</t>
        </is>
      </c>
      <c r="C32" s="17" t="inlineStr">
        <is>
          <t>Locked</t>
        </is>
      </c>
      <c r="D32" s="13" t="n">
        <v>12400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Feb 25</t>
        </is>
      </c>
      <c r="C33" s="17" t="inlineStr">
        <is>
          <t>Locked</t>
        </is>
      </c>
      <c r="D33" s="13" t="n">
        <v>15600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Mar 25</t>
        </is>
      </c>
      <c r="C34" s="17" t="inlineStr">
        <is>
          <t>Locked</t>
        </is>
      </c>
      <c r="D34" s="13" t="n">
        <v>15700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Apr 25</t>
        </is>
      </c>
      <c r="C35" s="17" t="inlineStr">
        <is>
          <t>Locked</t>
        </is>
      </c>
      <c r="D35" s="13" t="n">
        <v>15700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May 25</t>
        </is>
      </c>
      <c r="C36" s="17" t="inlineStr">
        <is>
          <t>Locked</t>
        </is>
      </c>
      <c r="D36" s="13" t="n">
        <v>15800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Jun 25</t>
        </is>
      </c>
      <c r="C37" s="17" t="inlineStr">
        <is>
          <t>Locked</t>
        </is>
      </c>
      <c r="D37" s="13" t="n">
        <v>38100</v>
      </c>
      <c r="E37" s="13" t="n">
        <v>5500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Jul 25</t>
        </is>
      </c>
      <c r="C38" s="17" t="inlineStr">
        <is>
          <t>Locked</t>
        </is>
      </c>
      <c r="D38" s="13" t="n">
        <v>13500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Aug 25</t>
        </is>
      </c>
      <c r="C39" s="17" t="inlineStr">
        <is>
          <t>Locked</t>
        </is>
      </c>
      <c r="D39" s="13" t="n">
        <v>16000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Sep 25</t>
        </is>
      </c>
      <c r="C40" s="17" t="inlineStr">
        <is>
          <t>Locked</t>
        </is>
      </c>
      <c r="D40" s="13" t="n">
        <v>16100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Oct 25</t>
        </is>
      </c>
      <c r="C41" s="17" t="inlineStr">
        <is>
          <t>Locked</t>
        </is>
      </c>
      <c r="D41" s="13" t="n">
        <v>16200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Nov 25</t>
        </is>
      </c>
      <c r="C42" s="17" t="inlineStr">
        <is>
          <t>Locked</t>
        </is>
      </c>
      <c r="D42" s="13" t="n">
        <v>18700</v>
      </c>
      <c r="E42" s="13" t="n">
        <v>3100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Dec 25</t>
        </is>
      </c>
      <c r="C43" s="17" t="inlineStr">
        <is>
          <t>Locked</t>
        </is>
      </c>
      <c r="D43" s="13" t="n">
        <v>26100</v>
      </c>
      <c r="E43" s="13" t="n">
        <v>4400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Jan 26</t>
        </is>
      </c>
      <c r="C44" s="17" t="inlineStr">
        <is>
          <t>Locked</t>
        </is>
      </c>
      <c r="D44" s="13" t="n">
        <v>13100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Feb 26</t>
        </is>
      </c>
      <c r="C45" s="17" t="inlineStr">
        <is>
          <t>Locked</t>
        </is>
      </c>
      <c r="D45" s="13" t="n">
        <v>16400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Mar 26</t>
        </is>
      </c>
      <c r="C46" s="17" t="inlineStr">
        <is>
          <t>Locked</t>
        </is>
      </c>
      <c r="D46" s="13" t="n">
        <v>16500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Apr 26</t>
        </is>
      </c>
      <c r="C47" s="17" t="inlineStr">
        <is>
          <t>Locked</t>
        </is>
      </c>
      <c r="D47" s="13" t="n">
        <v>16600</v>
      </c>
      <c r="E47" s="13" t="n">
        <v>2200</v>
      </c>
      <c r="F47" s="13">
        <f>D47-E47</f>
        <v/>
      </c>
      <c r="G47" s="14">
        <f>IF(D47=0,"",E47/D47*100)</f>
        <v/>
      </c>
    </row>
    <row r="48">
      <c r="A48" s="17" t="inlineStr">
        <is>
          <t>Donations</t>
        </is>
      </c>
      <c r="B48" s="17" t="inlineStr">
        <is>
          <t>May 26</t>
        </is>
      </c>
      <c r="C48" s="17" t="inlineStr">
        <is>
          <t>Locked</t>
        </is>
      </c>
      <c r="D48" s="13" t="n">
        <v>16600</v>
      </c>
      <c r="E48" s="13" t="n">
        <v>2200</v>
      </c>
      <c r="F48" s="13">
        <f>D48-E48</f>
        <v/>
      </c>
      <c r="G48" s="14">
        <f>IF(D48=0,"",E48/D48*100)</f>
        <v/>
      </c>
    </row>
    <row r="49">
      <c r="A49" s="17" t="inlineStr">
        <is>
          <t>Donations</t>
        </is>
      </c>
      <c r="B49" s="17" t="inlineStr">
        <is>
          <t>Jun 26</t>
        </is>
      </c>
      <c r="C49" s="17" t="inlineStr">
        <is>
          <t>Locked</t>
        </is>
      </c>
      <c r="D49" s="13" t="n">
        <v>40100</v>
      </c>
      <c r="E49" s="13" t="n">
        <v>5500</v>
      </c>
      <c r="F49" s="13">
        <f>D49-E49</f>
        <v/>
      </c>
      <c r="G49" s="14">
        <f>IF(D49=0,"",E49/D49*100)</f>
        <v/>
      </c>
    </row>
    <row r="50">
      <c r="A50" s="17" t="inlineStr">
        <is>
          <t>Donations</t>
        </is>
      </c>
      <c r="B50" s="17" t="inlineStr">
        <is>
          <t>Jul 26</t>
        </is>
      </c>
      <c r="C50" s="17" t="inlineStr">
        <is>
          <t>Locked</t>
        </is>
      </c>
      <c r="D50" s="13" t="n">
        <v>14300</v>
      </c>
      <c r="E50" s="13" t="n">
        <v>2200</v>
      </c>
      <c r="F50" s="13">
        <f>D50-E50</f>
        <v/>
      </c>
      <c r="G50" s="14">
        <f>IF(D50=0,"",E50/D50*100)</f>
        <v/>
      </c>
    </row>
    <row r="51">
      <c r="A51" s="17" t="inlineStr">
        <is>
          <t>Donations</t>
        </is>
      </c>
      <c r="B51" s="17" t="inlineStr">
        <is>
          <t>Aug 26</t>
        </is>
      </c>
      <c r="C51" s="17" t="inlineStr">
        <is>
          <t>Locked</t>
        </is>
      </c>
      <c r="D51" s="13" t="n">
        <v>18400</v>
      </c>
      <c r="E51" s="13" t="n">
        <v>2200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Oct 24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Nov 24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Dec 24</t>
        </is>
      </c>
      <c r="C54" s="17" t="inlineStr">
        <is>
          <t>Locked</t>
        </is>
      </c>
      <c r="D54" s="13" t="n">
        <v>6200</v>
      </c>
      <c r="E54" s="13" t="n">
        <v>2600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Jan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Feb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Mar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Apr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May 25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Jun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Jul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Aug 25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Sep 25</t>
        </is>
      </c>
      <c r="C63" s="17" t="inlineStr">
        <is>
          <t>Locked</t>
        </is>
      </c>
      <c r="D63" s="13" t="n">
        <v>36800</v>
      </c>
      <c r="E63" s="13" t="n">
        <v>15200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Oct 25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Nov 25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Dec 25</t>
        </is>
      </c>
      <c r="C66" s="17" t="inlineStr">
        <is>
          <t>Locked</t>
        </is>
      </c>
      <c r="D66" s="13" t="n">
        <v>6200</v>
      </c>
      <c r="E66" s="13" t="n">
        <v>2600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Jan 26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Feb 26</t>
        </is>
      </c>
      <c r="C68" s="17" t="inlineStr">
        <is>
          <t>Locked</t>
        </is>
      </c>
      <c r="D68" s="13" t="n">
        <v>0</v>
      </c>
      <c r="E68" s="13" t="n">
        <v>0</v>
      </c>
      <c r="F68" s="13">
        <f>D68-E68</f>
        <v/>
      </c>
      <c r="G68" s="14">
        <f>IF(D68=0,"",E68/D68*100)</f>
        <v/>
      </c>
    </row>
    <row r="69">
      <c r="A69" s="17" t="inlineStr">
        <is>
          <t>Fundraising events</t>
        </is>
      </c>
      <c r="B69" s="17" t="inlineStr">
        <is>
          <t>Mar 26</t>
        </is>
      </c>
      <c r="C69" s="17" t="inlineStr">
        <is>
          <t>Locked</t>
        </is>
      </c>
      <c r="D69" s="13" t="n">
        <v>0</v>
      </c>
      <c r="E69" s="13" t="n">
        <v>0</v>
      </c>
      <c r="F69" s="13">
        <f>D69-E69</f>
        <v/>
      </c>
      <c r="G69" s="14">
        <f>IF(D69=0,"",E69/D69*100)</f>
        <v/>
      </c>
    </row>
    <row r="70">
      <c r="A70" s="17" t="inlineStr">
        <is>
          <t>Fundraising events</t>
        </is>
      </c>
      <c r="B70" s="17" t="inlineStr">
        <is>
          <t>Apr 26</t>
        </is>
      </c>
      <c r="C70" s="17" t="inlineStr">
        <is>
          <t>Locked</t>
        </is>
      </c>
      <c r="D70" s="13" t="n">
        <v>0</v>
      </c>
      <c r="E70" s="13" t="n">
        <v>0</v>
      </c>
      <c r="F70" s="13">
        <f>D70-E70</f>
        <v/>
      </c>
      <c r="G70" s="14">
        <f>IF(D70=0,"",E70/D70*100)</f>
        <v/>
      </c>
    </row>
    <row r="71">
      <c r="A71" s="17" t="inlineStr">
        <is>
          <t>Fundraising events</t>
        </is>
      </c>
      <c r="B71" s="17" t="inlineStr">
        <is>
          <t>May 26</t>
        </is>
      </c>
      <c r="C71" s="17" t="inlineStr">
        <is>
          <t>Locked</t>
        </is>
      </c>
      <c r="D71" s="13" t="n">
        <v>0</v>
      </c>
      <c r="E71" s="13" t="n">
        <v>0</v>
      </c>
      <c r="F71" s="13">
        <f>D71-E71</f>
        <v/>
      </c>
      <c r="G71" s="14">
        <f>IF(D71=0,"",E71/D71*100)</f>
        <v/>
      </c>
    </row>
    <row r="72">
      <c r="A72" s="17" t="inlineStr">
        <is>
          <t>Fundraising events</t>
        </is>
      </c>
      <c r="B72" s="17" t="inlineStr">
        <is>
          <t>Jun 26</t>
        </is>
      </c>
      <c r="C72" s="17" t="inlineStr">
        <is>
          <t>Locked</t>
        </is>
      </c>
      <c r="D72" s="13" t="n">
        <v>0</v>
      </c>
      <c r="E72" s="13" t="n">
        <v>0</v>
      </c>
      <c r="F72" s="13">
        <f>D72-E72</f>
        <v/>
      </c>
      <c r="G72" s="14">
        <f>IF(D72=0,"",E72/D72*100)</f>
        <v/>
      </c>
    </row>
    <row r="73">
      <c r="A73" s="17" t="inlineStr">
        <is>
          <t>Fundraising events</t>
        </is>
      </c>
      <c r="B73" s="17" t="inlineStr">
        <is>
          <t>Jul 26</t>
        </is>
      </c>
      <c r="C73" s="17" t="inlineStr">
        <is>
          <t>Locked</t>
        </is>
      </c>
      <c r="D73" s="13" t="n">
        <v>0</v>
      </c>
      <c r="E73" s="13" t="n">
        <v>0</v>
      </c>
      <c r="F73" s="13">
        <f>D73-E73</f>
        <v/>
      </c>
      <c r="G73" s="14">
        <f>IF(D73=0,"",E73/D73*100)</f>
        <v/>
      </c>
    </row>
    <row r="74">
      <c r="A74" s="17" t="inlineStr">
        <is>
          <t>Fundraising events</t>
        </is>
      </c>
      <c r="B74" s="17" t="inlineStr">
        <is>
          <t>Aug 26</t>
        </is>
      </c>
      <c r="C74" s="17" t="inlineStr">
        <is>
          <t>Locked</t>
        </is>
      </c>
      <c r="D74" s="13" t="n">
        <v>0</v>
      </c>
      <c r="E74" s="13" t="n">
        <v>2400</v>
      </c>
      <c r="F74" s="13">
        <f>D74-E74</f>
        <v/>
      </c>
      <c r="G74" s="14">
        <f>IF(D74=0,"",E74/D74*100)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8" min="0" max="16383" man="1"/>
    <brk id="5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