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'Data'!$9:$9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June 2026 · Data status: May 2026 locked · Jun 2026 locked · Oct 2026 incomplete (data retrieved 2pm, Tue 6 Oct 2026)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June 2026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Mental health first aid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 (2025-26)</t>
        </is>
      </c>
      <c r="B14" s="8">
        <f>Workings!B67</f>
        <v/>
      </c>
      <c r="C14" s="9">
        <f>Workings!B62</f>
        <v/>
      </c>
    </row>
    <row r="15">
      <c r="A15" t="inlineStr">
        <is>
          <t>Volunteer coordinator</t>
        </is>
      </c>
      <c r="B15" s="8">
        <f>Workings!B80</f>
        <v/>
      </c>
      <c r="C15" s="9">
        <f>Workings!B75</f>
        <v/>
      </c>
    </row>
    <row r="16"/>
    <row r="17">
      <c r="A17" s="10" t="inlineStr">
        <is>
          <t>What it shows</t>
        </is>
      </c>
    </row>
    <row r="18" ht="45" customHeight="1">
      <c r="A18" s="3" t="inlineStr">
        <is>
          <t>Housing support is the biggest program: $52,424 in June once its share of untied program costs and administration is added to $29,994 of grant spending. Shared costs add 74.8% on top of grant spending across all programs.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2"/>
    <row r="23">
      <c r="A23" s="4" t="inlineStr">
        <is>
          <t>Program: Housing support</t>
        </is>
      </c>
    </row>
    <row r="24">
      <c r="A24" s="10" t="inlineStr">
        <is>
          <t>What it shows</t>
        </is>
      </c>
    </row>
    <row r="25" ht="45" customHeight="1">
      <c r="A25" s="3" t="inlineStr">
        <is>
          <t>Housing support cost $52,424 in full in June: $29,994 paid by the State Housing Program grant, and $22,430 of shared costs no grant covers. It has spent 92.7% of its budget to date, with $193,097 left and 6 months to go.</t>
        </is>
      </c>
    </row>
    <row r="26"/>
    <row r="27">
      <c r="A27" s="10" t="inlineStr">
        <is>
          <t>What you'd do about it</t>
        </is>
      </c>
    </row>
    <row r="28" ht="30" customHeight="1">
      <c r="A28" s="3" t="inlineStr">
        <is>
          <t>The full cost is $52,424 a month; $22,430 of it is shared cost the grant doesn't pay for. Worth asking for as much of it as the funder allows at renewal.</t>
        </is>
      </c>
    </row>
    <row r="29"/>
    <row r="30">
      <c r="A30" s="4" t="inlineStr">
        <is>
          <t>Program: Youth outreach</t>
        </is>
      </c>
    </row>
    <row r="31">
      <c r="A31" s="10" t="inlineStr">
        <is>
          <t>What it shows</t>
        </is>
      </c>
    </row>
    <row r="32" ht="45" customHeight="1">
      <c r="A32" s="3" t="inlineStr">
        <is>
          <t>Youth outreach cost $35,596 in full in June: $20,366 paid by the State Department of Families grant, and $15,230 of shared costs no grant covers. It has spent 99.5% of its budget to date, with $241,274 left and 12 months to go.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The full cost is $35,596 a month; $15,230 of it is shared cost the grant doesn't pay for. Worth asking for as much of it as the funder allows at renewal.</t>
        </is>
      </c>
    </row>
    <row r="36"/>
    <row r="37">
      <c r="A37" s="4" t="inlineStr">
        <is>
          <t>Program: Mental health first aid</t>
        </is>
      </c>
    </row>
    <row r="38">
      <c r="A38" s="10" t="inlineStr">
        <is>
          <t>What it shows</t>
        </is>
      </c>
    </row>
    <row r="39" ht="45" customHeight="1">
      <c r="A39" s="3" t="inlineStr">
        <is>
          <t>Mental health first aid cost $17,123 in full in June: $9,797 paid by the Federal health program grant, and $7,326 of shared costs no grant covers. It has spent 94.4% of its budget to date, with $91,669 left and 9 months to go.</t>
        </is>
      </c>
    </row>
    <row r="40"/>
    <row r="41">
      <c r="A41" s="10" t="inlineStr">
        <is>
          <t>What you'd do about it</t>
        </is>
      </c>
    </row>
    <row r="42" ht="30" customHeight="1">
      <c r="A42" s="3" t="inlineStr">
        <is>
          <t>The full cost is $17,123 a month; $7,326 of it is shared cost the grant doesn't pay for. Worth asking for as much of it as the funder allows at renewal.</t>
        </is>
      </c>
    </row>
    <row r="43"/>
    <row r="44">
      <c r="A44" s="4" t="inlineStr">
        <is>
          <t>Program: Digital literacy</t>
        </is>
      </c>
    </row>
    <row r="45">
      <c r="A45" s="10" t="inlineStr">
        <is>
          <t>What it shows</t>
        </is>
      </c>
    </row>
    <row r="46" ht="45" customHeight="1">
      <c r="A46" s="3" t="inlineStr">
        <is>
          <t>Digital literacy cost $7,544 in full in June: $4,316 paid by the Philanthropic foundation grant, and $3,228 of shared costs no grant covers. It has spent 99.3% of its budget to date, with $45,313 left and 9 months to go.</t>
        </is>
      </c>
    </row>
    <row r="47"/>
    <row r="48">
      <c r="A48" s="10" t="inlineStr">
        <is>
          <t>What you'd do about it</t>
        </is>
      </c>
    </row>
    <row r="49" ht="30" customHeight="1">
      <c r="A49" s="3" t="inlineStr">
        <is>
          <t>The full cost is $7,544 a month; $3,228 of it is shared cost the grant doesn't pay for. Worth asking for as much of it as the funder allows at renewal.</t>
        </is>
      </c>
    </row>
    <row r="50"/>
    <row r="51">
      <c r="A51" s="4" t="inlineStr">
        <is>
          <t>Program: Community meals (2025-26)</t>
        </is>
      </c>
    </row>
    <row r="52">
      <c r="A52" s="10" t="inlineStr">
        <is>
          <t>What it shows</t>
        </is>
      </c>
    </row>
    <row r="53" ht="45" customHeight="1">
      <c r="A53" s="3" t="inlineStr">
        <is>
          <t>Community meals (2025-26) cost $6,467 in full in June: $3,700 paid by the Local council community grant grant, and $2,767 of shared costs no grant covers. It has spent 97.7% of its budget to date, with $1,000 left and 0 months to go.</t>
        </is>
      </c>
    </row>
    <row r="54"/>
    <row r="55">
      <c r="A55" s="10" t="inlineStr">
        <is>
          <t>What you'd do about it</t>
        </is>
      </c>
    </row>
    <row r="56" ht="30" customHeight="1">
      <c r="A56" s="3" t="inlineStr">
        <is>
          <t>The full cost is $6,467 a month; $2,767 of it is shared cost the grant doesn't pay for. Worth asking for as much of it as the funder allows at renewal.</t>
        </is>
      </c>
    </row>
    <row r="57"/>
    <row r="58">
      <c r="A58" s="4" t="inlineStr">
        <is>
          <t>Program: Volunteer coordinator</t>
        </is>
      </c>
    </row>
    <row r="59">
      <c r="A59" s="10" t="inlineStr">
        <is>
          <t>What it shows</t>
        </is>
      </c>
    </row>
    <row r="60" ht="45" customHeight="1">
      <c r="A60" s="3" t="inlineStr">
        <is>
          <t>Volunteer coordinator cost $4,717 in full in June: $2,699 paid by the State volunteering grant grant, and $2,018 of shared costs no grant covers. It has spent 98.6% of its budget to date, with $24,165 left and 8 months to go.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The full cost is $4,717 a month; $2,018 of it is shared cost the grant doesn't pay for. Worth asking for as much of it as the funder allows at renewal.</t>
        </is>
      </c>
    </row>
    <row r="64"/>
    <row r="65">
      <c r="A65" s="4" t="inlineStr">
        <is>
          <t>Every program at once</t>
        </is>
      </c>
    </row>
    <row r="66">
      <c r="A66" s="11" t="inlineStr">
        <is>
          <t>Grant spending, by month: every month is on the Data sheet.</t>
        </is>
      </c>
    </row>
    <row r="67"/>
    <row r="68"/>
  </sheetData>
  <mergeCells count="15">
    <mergeCell ref="A5:D5"/>
    <mergeCell ref="A18:D18"/>
    <mergeCell ref="A56:D56"/>
    <mergeCell ref="A42:D42"/>
    <mergeCell ref="A53:D53"/>
    <mergeCell ref="A60:D60"/>
    <mergeCell ref="A35:D35"/>
    <mergeCell ref="A63:D63"/>
    <mergeCell ref="A21:D21"/>
    <mergeCell ref="A39:D39"/>
    <mergeCell ref="A25:D25"/>
    <mergeCell ref="A49:D49"/>
    <mergeCell ref="A28:D28"/>
    <mergeCell ref="A46:D46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  <rowBreaks count="3" manualBreakCount="3">
    <brk id="23" min="0" max="16383" man="1"/>
    <brk id="44" min="0" max="16383" man="1"/>
    <brk id="6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June 2026 · Data status: May 2026 locked · Jun 2026 locked · Oct 2026 incomplete (data retrieved 2pm, Tue 6 Oct 2026)</t>
        </is>
      </c>
    </row>
    <row r="4"/>
    <row r="5">
      <c r="A5" s="4" t="inlineStr">
        <is>
          <t>Housing support: full cost, June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Jun 2026</t>
        </is>
      </c>
    </row>
    <row r="8">
      <c r="A8" t="inlineStr">
        <is>
          <t>Grant spending on the program</t>
        </is>
      </c>
      <c r="B8" s="12" t="n">
        <v>29994</v>
      </c>
    </row>
    <row r="9">
      <c r="A9" t="inlineStr">
        <is>
          <t>All grant-funded program spending</t>
        </is>
      </c>
      <c r="B9" s="12" t="n">
        <v>70872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17400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35600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June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Jun 2026</t>
        </is>
      </c>
    </row>
    <row r="21">
      <c r="A21" t="inlineStr">
        <is>
          <t>Grant spending on the program</t>
        </is>
      </c>
      <c r="B21" s="12" t="n">
        <v>20366</v>
      </c>
    </row>
    <row r="22">
      <c r="A22" t="inlineStr">
        <is>
          <t>All grant-funded program spending</t>
        </is>
      </c>
      <c r="B22" s="12" t="n">
        <v>70872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17400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35600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Mental health first aid: full cost, June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Jun 2026</t>
        </is>
      </c>
    </row>
    <row r="34">
      <c r="A34" t="inlineStr">
        <is>
          <t>Grant spending on the program</t>
        </is>
      </c>
      <c r="B34" s="12" t="n">
        <v>9797</v>
      </c>
    </row>
    <row r="35">
      <c r="A35" t="inlineStr">
        <is>
          <t>All grant-funded program spending</t>
        </is>
      </c>
      <c r="B35" s="12" t="n">
        <v>70872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17400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35600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June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Jun 2026</t>
        </is>
      </c>
    </row>
    <row r="47">
      <c r="A47" t="inlineStr">
        <is>
          <t>Grant spending on the program</t>
        </is>
      </c>
      <c r="B47" s="12" t="n">
        <v>4316</v>
      </c>
    </row>
    <row r="48">
      <c r="A48" t="inlineStr">
        <is>
          <t>All grant-funded program spending</t>
        </is>
      </c>
      <c r="B48" s="12" t="n">
        <v>70872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17400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35600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 (2025-26): full cost, June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Jun 2026</t>
        </is>
      </c>
    </row>
    <row r="60">
      <c r="A60" t="inlineStr">
        <is>
          <t>Grant spending on the program</t>
        </is>
      </c>
      <c r="B60" s="12" t="n">
        <v>3700</v>
      </c>
    </row>
    <row r="61">
      <c r="A61" t="inlineStr">
        <is>
          <t>All grant-funded program spending</t>
        </is>
      </c>
      <c r="B61" s="12" t="n">
        <v>70872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17400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35600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>
      <c r="A70" s="4" t="inlineStr">
        <is>
          <t>Volunteer coordinator: full cost, June</t>
        </is>
      </c>
    </row>
    <row r="71">
      <c r="A71" s="11" t="inlineStr">
        <is>
          <t>Grant spending + its share of untied program costs and administration (shared by grant spending)</t>
        </is>
      </c>
    </row>
    <row r="72">
      <c r="A72" s="6" t="inlineStr"/>
      <c r="B72" s="7" t="inlineStr">
        <is>
          <t>Jun 2026</t>
        </is>
      </c>
    </row>
    <row r="73">
      <c r="A73" t="inlineStr">
        <is>
          <t>Grant spending on the program</t>
        </is>
      </c>
      <c r="B73" s="12" t="n">
        <v>2699</v>
      </c>
    </row>
    <row r="74">
      <c r="A74" t="inlineStr">
        <is>
          <t>All grant-funded program spending</t>
        </is>
      </c>
      <c r="B74" s="12" t="n">
        <v>70872</v>
      </c>
    </row>
    <row r="75">
      <c r="A75" t="inlineStr">
        <is>
          <t>Share of program spending</t>
        </is>
      </c>
      <c r="B75" s="13">
        <f>B73/B74</f>
        <v/>
      </c>
    </row>
    <row r="76">
      <c r="A76" t="inlineStr">
        <is>
          <t>Untied program costs (all programs)</t>
        </is>
      </c>
      <c r="B76" s="12" t="n">
        <v>17400</v>
      </c>
    </row>
    <row r="77">
      <c r="A77" t="inlineStr">
        <is>
          <t>Share of untied program costs</t>
        </is>
      </c>
      <c r="B77" s="12">
        <f>B75*B76</f>
        <v/>
      </c>
    </row>
    <row r="78">
      <c r="A78" t="inlineStr">
        <is>
          <t>Administration (all)</t>
        </is>
      </c>
      <c r="B78" s="12" t="n">
        <v>35600</v>
      </c>
    </row>
    <row r="79">
      <c r="A79" t="inlineStr">
        <is>
          <t>Share of administration</t>
        </is>
      </c>
      <c r="B79" s="12">
        <f>B75*B78</f>
        <v/>
      </c>
    </row>
    <row r="80">
      <c r="A80" s="14" t="inlineStr">
        <is>
          <t>Full cost of the program</t>
        </is>
      </c>
      <c r="B80" s="15">
        <f>B73+B77+B79</f>
        <v/>
      </c>
    </row>
    <row r="81"/>
    <row r="82"/>
    <row r="8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June 2026 · Data status: May 2026 locked · Jun 2026 locked · Oct 2026 incomplete (data retrieved 2pm, Tue 6 Oct 2026)</t>
        </is>
      </c>
    </row>
    <row r="4"/>
    <row r="5">
      <c r="A5" t="inlineStr">
        <is>
          <t>All grant-funded program spending, June 2026</t>
        </is>
      </c>
      <c r="B5" s="8" t="n">
        <v>70872</v>
      </c>
    </row>
    <row r="6">
      <c r="A6" t="inlineStr">
        <is>
          <t>Untied program costs, June 2026 (all programs)</t>
        </is>
      </c>
      <c r="B6" s="8" t="n">
        <v>17400</v>
      </c>
    </row>
    <row r="7">
      <c r="A7" t="inlineStr">
        <is>
          <t>Administration, June 2026 (all)</t>
        </is>
      </c>
      <c r="B7" s="8" t="n">
        <v>35600</v>
      </c>
    </row>
    <row r="8"/>
    <row r="9">
      <c r="A9" s="6" t="inlineStr">
        <is>
          <t>Program</t>
        </is>
      </c>
      <c r="B9" s="7" t="inlineStr">
        <is>
          <t>Grant spending, Jun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29994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20366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Mental health first aid</t>
        </is>
      </c>
      <c r="B12" s="12" t="n">
        <v>9797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4316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 (2025-26)</t>
        </is>
      </c>
      <c r="B14" s="12" t="n">
        <v>3700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  <row r="15">
      <c r="A15" s="16" t="inlineStr">
        <is>
          <t>Volunteer coordinator</t>
        </is>
      </c>
      <c r="B15" s="12" t="n">
        <v>2699</v>
      </c>
      <c r="C15" s="13">
        <f>B15/$B$5</f>
        <v/>
      </c>
      <c r="D15" s="12">
        <f>C15*$B$6</f>
        <v/>
      </c>
      <c r="E15" s="12">
        <f>C15*$B$7</f>
        <v/>
      </c>
      <c r="F15" s="12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2026-10-07T07:37:18Z</dcterms:created>
  <dcterms:modified xmlns:dcterms="http://purl.org/dc/terms/" xmlns:xsi="http://www.w3.org/2001/XMLSchema-instance" xsi:type="dcterms:W3CDTF">2026-10-07T07:37:18Z</dcterms:modified>
</cp:coreProperties>
</file>