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June">'Report'!$B$9</definedName>
    <definedName name="Overtime_hours_June">'Report'!$B$10</definedName>
    <definedName name="June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June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6" headerRowCount="1">
  <autoFilter ref="A5:E26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 ht="32" customHeight="1">
      <c r="A5" s="3" t="inlineStr">
        <is>
          <t>In short: Overtime was 7.2% of ordinary hours in June (target under 5.0%), up from 2.8%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June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June</t>
        </is>
      </c>
      <c r="B10" s="9">
        <f>Workings!B16</f>
        <v/>
      </c>
      <c r="C10" s="8" t="inlineStr">
        <is>
          <t>May 68.0 h</t>
        </is>
      </c>
    </row>
    <row r="11">
      <c r="A11" t="inlineStr">
        <is>
          <t>June last year</t>
        </is>
      </c>
      <c r="B11" s="7">
        <f>Workings!B26</f>
        <v/>
      </c>
      <c r="C11" s="8" t="inlineStr">
        <is>
          <t>26.5 h of overtime</t>
        </is>
      </c>
    </row>
    <row r="12"/>
    <row r="13">
      <c r="A13" s="10" t="inlineStr">
        <is>
          <t>Why the overtime, June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Installation ran over</t>
        </is>
      </c>
      <c r="B15" s="9">
        <f>Workings!B33</f>
        <v/>
      </c>
    </row>
    <row r="16">
      <c r="A16" t="inlineStr">
        <is>
          <t>After-hours call-out</t>
        </is>
      </c>
      <c r="B16" s="9">
        <f>Workings!B41</f>
        <v/>
      </c>
    </row>
    <row r="17">
      <c r="A17" t="inlineStr">
        <is>
          <t>Paperwork and quotes</t>
        </is>
      </c>
      <c r="B17" s="9">
        <f>Workings!B49</f>
        <v/>
      </c>
    </row>
    <row r="18">
      <c r="A18" t="inlineStr">
        <is>
          <t>Short-staffed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June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T1</t>
        </is>
      </c>
      <c r="B29" s="9">
        <f>Workings!B65</f>
        <v/>
      </c>
    </row>
    <row r="30">
      <c r="A30" t="inlineStr">
        <is>
          <t>Technician T5</t>
        </is>
      </c>
      <c r="B30" s="9">
        <f>Workings!B71</f>
        <v/>
      </c>
    </row>
    <row r="31">
      <c r="A31" t="inlineStr">
        <is>
          <t>Technician T4</t>
        </is>
      </c>
      <c r="B31" s="9">
        <f>Workings!B77</f>
        <v/>
      </c>
    </row>
    <row r="32">
      <c r="A32" t="inlineStr">
        <is>
          <t>Technician T6</t>
        </is>
      </c>
      <c r="B32" s="9">
        <f>Workings!B83</f>
        <v/>
      </c>
    </row>
    <row r="33">
      <c r="A33" t="inlineStr">
        <is>
          <t>Technician T2</t>
        </is>
      </c>
      <c r="B33" s="9">
        <f>Workings!B89</f>
        <v/>
      </c>
    </row>
    <row r="34">
      <c r="A34" t="inlineStr">
        <is>
          <t>Technician T7</t>
        </is>
      </c>
      <c r="B34" s="9">
        <f>Workings!B95</f>
        <v/>
      </c>
    </row>
    <row r="35">
      <c r="A35" t="inlineStr">
        <is>
          <t>Technician T3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81.0 h of overtime in June, 7.2% of ordinary hours (target under 5.0%), against 6.7% in May. Over the last year it has gone from 2.8% to 7.2%.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Installation ran over is the main reason: 46.5 h, 57.4% of the overtime. Technician T1 carried the most (18.0 h). Above target by 24.8 h.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13" t="inlineStr">
        <is>
          <t>Overtime, June and May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Jun 26</t>
        </is>
      </c>
      <c r="C7" s="6" t="inlineStr">
        <is>
          <t>May 26</t>
        </is>
      </c>
    </row>
    <row r="8">
      <c r="A8" t="inlineStr">
        <is>
          <t>Overtime hours</t>
        </is>
      </c>
      <c r="B8" s="14" t="n">
        <v>81</v>
      </c>
      <c r="C8" s="14" t="n">
        <v>68</v>
      </c>
    </row>
    <row r="9">
      <c r="A9" t="inlineStr">
        <is>
          <t>Ordinary hours</t>
        </is>
      </c>
      <c r="B9" s="14" t="n">
        <v>1124.800000000001</v>
      </c>
      <c r="C9" s="14" t="n">
        <v>1018.400000000002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June and May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Jun 26</t>
        </is>
      </c>
      <c r="C15" s="6" t="inlineStr">
        <is>
          <t>May 26</t>
        </is>
      </c>
    </row>
    <row r="16">
      <c r="A16" t="inlineStr">
        <is>
          <t>Overtime hours</t>
        </is>
      </c>
      <c r="B16" s="14" t="n">
        <v>81</v>
      </c>
      <c r="C16" s="14" t="n">
        <v>68</v>
      </c>
    </row>
    <row r="17">
      <c r="A17" t="inlineStr">
        <is>
          <t>Ordinary hours</t>
        </is>
      </c>
      <c r="B17" s="14" t="n">
        <v>1124.800000000001</v>
      </c>
      <c r="C17" s="14" t="n">
        <v>1018.400000000002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Jun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Jun 25</t>
        </is>
      </c>
    </row>
    <row r="24">
      <c r="A24" t="inlineStr">
        <is>
          <t>Overtime hours</t>
        </is>
      </c>
      <c r="B24" s="14" t="n">
        <v>26.5</v>
      </c>
    </row>
    <row r="25">
      <c r="A25" t="inlineStr">
        <is>
          <t>Ordinary hours</t>
        </is>
      </c>
      <c r="B25" s="14" t="n">
        <v>942.4000000000019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Installation ran over: overtime, June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Jun 2026</t>
        </is>
      </c>
    </row>
    <row r="33">
      <c r="A33" t="inlineStr">
        <is>
          <t>Overtime hours</t>
        </is>
      </c>
      <c r="B33" s="14" t="n">
        <v>46.5</v>
      </c>
    </row>
    <row r="34">
      <c r="A34" t="inlineStr">
        <is>
          <t>All overtime hours</t>
        </is>
      </c>
      <c r="B34" s="14" t="n">
        <v>81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After-hours call-out: overtime, June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Jun 2026</t>
        </is>
      </c>
    </row>
    <row r="41">
      <c r="A41" t="inlineStr">
        <is>
          <t>Overtime hours</t>
        </is>
      </c>
      <c r="B41" s="14" t="n">
        <v>21.5</v>
      </c>
    </row>
    <row r="42">
      <c r="A42" t="inlineStr">
        <is>
          <t>All overtime hours</t>
        </is>
      </c>
      <c r="B42" s="14" t="n">
        <v>81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Paperwork and quotes: overtime, June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Jun 2026</t>
        </is>
      </c>
    </row>
    <row r="49">
      <c r="A49" t="inlineStr">
        <is>
          <t>Overtime hours</t>
        </is>
      </c>
      <c r="B49" s="14" t="n">
        <v>9</v>
      </c>
    </row>
    <row r="50">
      <c r="A50" t="inlineStr">
        <is>
          <t>All overtime hours</t>
        </is>
      </c>
      <c r="B50" s="14" t="n">
        <v>81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Short-staffed: overtime, June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Jun 2026</t>
        </is>
      </c>
    </row>
    <row r="57">
      <c r="A57" t="inlineStr">
        <is>
          <t>Overtime hours</t>
        </is>
      </c>
      <c r="B57" s="14" t="n">
        <v>4</v>
      </c>
    </row>
    <row r="58">
      <c r="A58" t="inlineStr">
        <is>
          <t>All overtime hours</t>
        </is>
      </c>
      <c r="B58" s="14" t="n">
        <v>81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T1: overtime, June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Jun 2026</t>
        </is>
      </c>
    </row>
    <row r="65">
      <c r="A65" s="15" t="inlineStr">
        <is>
          <t>Overtime hours</t>
        </is>
      </c>
      <c r="B65" s="17" t="n">
        <v>18</v>
      </c>
    </row>
    <row r="66"/>
    <row r="67"/>
    <row r="68">
      <c r="A68" s="13" t="inlineStr">
        <is>
          <t>Technician T5: overtime, June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Jun 2026</t>
        </is>
      </c>
    </row>
    <row r="71">
      <c r="A71" s="15" t="inlineStr">
        <is>
          <t>Overtime hours</t>
        </is>
      </c>
      <c r="B71" s="17" t="n">
        <v>17.5</v>
      </c>
    </row>
    <row r="72"/>
    <row r="73"/>
    <row r="74">
      <c r="A74" s="13" t="inlineStr">
        <is>
          <t>Technician T4: overtime, June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Jun 2026</t>
        </is>
      </c>
    </row>
    <row r="77">
      <c r="A77" s="15" t="inlineStr">
        <is>
          <t>Overtime hours</t>
        </is>
      </c>
      <c r="B77" s="17" t="n">
        <v>13.5</v>
      </c>
    </row>
    <row r="78"/>
    <row r="79"/>
    <row r="80">
      <c r="A80" s="13" t="inlineStr">
        <is>
          <t>Technician T6: overtime, June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Jun 2026</t>
        </is>
      </c>
    </row>
    <row r="83">
      <c r="A83" s="15" t="inlineStr">
        <is>
          <t>Overtime hours</t>
        </is>
      </c>
      <c r="B83" s="17" t="n">
        <v>13.5</v>
      </c>
    </row>
    <row r="84"/>
    <row r="85"/>
    <row r="86">
      <c r="A86" s="13" t="inlineStr">
        <is>
          <t>Technician T2: overtime, June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Jun 2026</t>
        </is>
      </c>
    </row>
    <row r="89">
      <c r="A89" s="15" t="inlineStr">
        <is>
          <t>Overtime hours</t>
        </is>
      </c>
      <c r="B89" s="17" t="n">
        <v>8</v>
      </c>
    </row>
    <row r="90"/>
    <row r="91"/>
    <row r="92">
      <c r="A92" s="13" t="inlineStr">
        <is>
          <t>Technician T7: overtime, June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Jun 2026</t>
        </is>
      </c>
    </row>
    <row r="95">
      <c r="A95" s="15" t="inlineStr">
        <is>
          <t>Overtime hours</t>
        </is>
      </c>
      <c r="B95" s="17" t="n">
        <v>6</v>
      </c>
    </row>
    <row r="96"/>
    <row r="97"/>
    <row r="98">
      <c r="A98" s="13" t="inlineStr">
        <is>
          <t>Technician T3: overtime, June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Jun 2026</t>
        </is>
      </c>
    </row>
    <row r="101">
      <c r="A101" s="15" t="inlineStr">
        <is>
          <t>Overtime hours</t>
        </is>
      </c>
      <c r="B101" s="17" t="n">
        <v>4.5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June 2026 · Data status: May 2026 locked · Jun 2026 locked · Oct 2026 incomplete (data retrieved 2pm, Tue 6 Oct 2026) · Generated 10 Oct 2026, 9:55pm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  <row r="25">
      <c r="A25" s="18" t="inlineStr">
        <is>
          <t>May 26</t>
        </is>
      </c>
      <c r="B25" s="18" t="inlineStr">
        <is>
          <t>Locked</t>
        </is>
      </c>
      <c r="C25" s="14" t="n">
        <v>1018.400000000002</v>
      </c>
      <c r="D25" s="14" t="n">
        <v>68</v>
      </c>
      <c r="E25" s="19">
        <f>IF(C25=0,"",D25/C25)</f>
        <v/>
      </c>
    </row>
    <row r="26">
      <c r="A26" s="18" t="inlineStr">
        <is>
          <t>Jun 26</t>
        </is>
      </c>
      <c r="B26" s="18" t="inlineStr">
        <is>
          <t>Locked</t>
        </is>
      </c>
      <c r="C26" s="14" t="n">
        <v>1124.800000000001</v>
      </c>
      <c r="D26" s="14" t="n">
        <v>81</v>
      </c>
      <c r="E26" s="19">
        <f>IF(C26=0,"",D26/C26)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10 Oct 2026, 9:55pm&amp;R&amp;"Roboto,Regular"&amp;8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2026-10-10T11:56:56Z</dcterms:created>
  <dcterms:modified xmlns:dcterms="http://purl.org/dc/terms/" xmlns:xsi="http://www.w3.org/2001/XMLSchema-instance" xsi:type="dcterms:W3CDTF">2026-10-10T11:56:56Z</dcterms:modified>
</cp:coreProperties>
</file>