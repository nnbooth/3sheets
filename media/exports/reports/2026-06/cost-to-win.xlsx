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June_2026">'Report'!$B$9</definedName>
    <definedName name="June_last_year">'Report'!$B$10</definedName>
    <definedName name="Year_to_date_Jul_to_Jun_2026">'Report'!$B$11</definedName>
    <definedName name="_xlnm.Print_Area" localSheetId="0">'Report'!$A$1:$D$19</definedName>
    <definedName name="_xlnm.Print_Area" localSheetId="1">'Workings'!$A$1:$C$27</definedName>
    <definedName name="_xlnm.Print_Titles" localSheetId="2">'Data'!$5:$5</definedName>
    <definedName name="_xlnm.Print_Area" localSheetId="2">'Data'!$A$1:$E$26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[Red](#,##0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5342A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6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9" fillId="0" borderId="0" applyAlignment="1" pivotButton="0" quotePrefix="0" xfId="0">
      <alignment indent="1"/>
    </xf>
    <xf numFmtId="0" fontId="7" fillId="0" borderId="0" pivotButton="0" quotePrefix="0" xfId="0"/>
    <xf numFmtId="0" fontId="10" fillId="0" borderId="0" pivotButton="0" quotePrefix="0" xfId="0"/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0" fontId="8" fillId="0" borderId="1" pivotButton="0" quotePrefix="0" xfId="0"/>
    <xf numFmtId="164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Marketing spend by month</a:t>
            </a:r>
          </a:p>
        </rich>
      </tx>
      <overlay val="0"/>
    </title>
    <plotArea>
      <lineChart>
        <grouping val="standard"/>
        <ser>
          <idx val="0"/>
          <order val="0"/>
          <tx>
            <v>Marketing spend</v>
          </tx>
          <spPr>
            <a:ln xmlns:a="http://schemas.openxmlformats.org/drawingml/2006/main" w="22000">
              <a:solidFill>
                <a:srgbClr val="0E9F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'Data'!$A$6:$A$26</f>
            </numRef>
          </cat>
          <val>
            <numRef>
              <f>'Data'!$C$6:$C$26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@" sourceLinked="0"/>
        <majorTickMark val="none"/>
        <minorTickMark val="none"/>
        <crossAx val="100"/>
        <lblOffset val="100"/>
        <tickLblSkip val="1"/>
      </catAx>
      <valAx>
        <axId val="100"/>
        <scaling>
          <orientation val="minMax"/>
        </scaling>
        <axPos val="l"/>
        <majorGridlines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ost_to_win_Data" displayName="cost_to_win_Data" ref="A5:E26" headerRowCount="1">
  <autoFilter ref="A5:E26"/>
  <tableColumns count="5">
    <tableColumn id="1" name="Month"/>
    <tableColumn id="2" name="Status"/>
    <tableColumn id="3" name="Marketing spend"/>
    <tableColumn id="4" name="New customers"/>
    <tableColumn id="5" name="Cost per new custome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it cost to win a customer?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June 2026 · Data status: May 2026 locked · Jun 2026 locked · Oct 2026 incomplete (data retrieved 2pm, Tue 6 Oct 2026) · Generated 10 Oct 2026, 9:55pm</t>
        </is>
      </c>
    </row>
    <row r="4"/>
    <row r="5" ht="32" customHeight="1">
      <c r="A5" s="3" t="inlineStr">
        <is>
          <t>In short: $215 per new customer in June: 39 new customers from $8,400 of marketing.</t>
        </is>
      </c>
    </row>
    <row r="6" ht="32" customHeight="1">
      <c r="A6" s="4" t="inlineStr">
        <is>
          <t>Marketing spend divided by the customers it actually brought in (a customer's first ever job), month by month.</t>
        </is>
      </c>
    </row>
    <row r="7"/>
    <row r="8">
      <c r="A8" s="5" t="inlineStr">
        <is>
          <t>Headline number</t>
        </is>
      </c>
      <c r="B8" s="6" t="inlineStr">
        <is>
          <t>Value</t>
        </is>
      </c>
      <c r="C8" s="6" t="inlineStr">
        <is>
          <t>Compared with</t>
        </is>
      </c>
    </row>
    <row r="9">
      <c r="A9" t="inlineStr">
        <is>
          <t>June 2026</t>
        </is>
      </c>
      <c r="B9" s="7">
        <f>Workings!B10</f>
        <v/>
      </c>
      <c r="C9" s="8" t="inlineStr">
        <is>
          <t>May $233</t>
        </is>
      </c>
    </row>
    <row r="10">
      <c r="A10" t="inlineStr">
        <is>
          <t>June last year</t>
        </is>
      </c>
      <c r="B10" s="7">
        <f>Workings!B18</f>
        <v/>
      </c>
      <c r="C10" s="8" t="inlineStr">
        <is>
          <t>32 new customers from $8,400</t>
        </is>
      </c>
    </row>
    <row r="11">
      <c r="A11" t="inlineStr">
        <is>
          <t>Year to date (Jul to Jun 2026)</t>
        </is>
      </c>
      <c r="B11" s="7">
        <f>Workings!B26</f>
        <v/>
      </c>
      <c r="C11" s="8" t="inlineStr">
        <is>
          <t>same period last year: not in the data</t>
        </is>
      </c>
    </row>
    <row r="12"/>
    <row r="13">
      <c r="A13" s="9" t="inlineStr">
        <is>
          <t>Cost to win a customer, by month: every month is on the Data sheet.</t>
        </is>
      </c>
    </row>
    <row r="14"/>
    <row r="15">
      <c r="A15" s="10" t="inlineStr">
        <is>
          <t>What it shows</t>
        </is>
      </c>
    </row>
    <row r="16" ht="30" customHeight="1">
      <c r="A16" s="4" t="inlineStr">
        <is>
          <t>39 new customers came from $8,400 of marketing in June, against 36 from $8,400 in May: $215 each, down from $233.</t>
        </is>
      </c>
    </row>
    <row r="17"/>
    <row r="18">
      <c r="A18" s="10" t="inlineStr">
        <is>
          <t>What you'd do about it</t>
        </is>
      </c>
    </row>
    <row r="19" ht="30" customHeight="1">
      <c r="A19" s="4" t="inlineStr">
        <is>
          <t>A lower cost per customer with steady spend usually means the marketing mix is working. Recording where each new customer came from shows the cost per channel.</t>
        </is>
      </c>
    </row>
    <row r="20"/>
    <row r="21"/>
  </sheetData>
  <mergeCells count="4">
    <mergeCell ref="A5:D5"/>
    <mergeCell ref="A19:D19"/>
    <mergeCell ref="A16:D16"/>
    <mergeCell ref="A6:D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cost-to-win.xlsx&amp;C&amp;"Roboto,Regular"&amp;8 Data retrieved 2pm, Tue 6 Oct 2026 · Generated 10 Oct 2026, 9:55pm&amp;R&amp;"Roboto,Regular"&amp;8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30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June 2026 · Data status: May 2026 locked · Jun 2026 locked · Oct 2026 incomplete (data retrieved 2pm, Tue 6 Oct 2026) · Generated 10 Oct 2026, 9:55pm</t>
        </is>
      </c>
    </row>
    <row r="4"/>
    <row r="5">
      <c r="A5" s="11" t="inlineStr">
        <is>
          <t>Cost to win a customer, June and May</t>
        </is>
      </c>
    </row>
    <row r="6">
      <c r="A6" s="9" t="inlineStr">
        <is>
          <t>Marketing spend ÷ new customers</t>
        </is>
      </c>
    </row>
    <row r="7">
      <c r="A7" s="5" t="inlineStr"/>
      <c r="B7" s="6" t="inlineStr">
        <is>
          <t>Jun 26</t>
        </is>
      </c>
      <c r="C7" s="6" t="inlineStr">
        <is>
          <t>May 26</t>
        </is>
      </c>
    </row>
    <row r="8">
      <c r="A8" t="inlineStr">
        <is>
          <t>Marketing spend (ledger)</t>
        </is>
      </c>
      <c r="B8" s="12" t="n">
        <v>8400</v>
      </c>
      <c r="C8" s="12" t="n">
        <v>8400</v>
      </c>
    </row>
    <row r="9">
      <c r="A9" t="inlineStr">
        <is>
          <t>New customers (first job ever)</t>
        </is>
      </c>
      <c r="B9" s="12" t="n">
        <v>39</v>
      </c>
      <c r="C9" s="12" t="n">
        <v>36</v>
      </c>
    </row>
    <row r="10">
      <c r="A10" s="13" t="inlineStr">
        <is>
          <t>Cost per new customer</t>
        </is>
      </c>
      <c r="B10" s="14">
        <f>B8/B9</f>
        <v/>
      </c>
      <c r="C10" s="14">
        <f>C8/C9</f>
        <v/>
      </c>
    </row>
    <row r="11"/>
    <row r="12"/>
    <row r="13">
      <c r="A13" s="11" t="inlineStr">
        <is>
          <t>Cost to win a customer, Jun 25</t>
        </is>
      </c>
    </row>
    <row r="14">
      <c r="A14" s="9" t="inlineStr">
        <is>
          <t>Marketing spend ÷ new customers</t>
        </is>
      </c>
    </row>
    <row r="15">
      <c r="A15" s="5" t="inlineStr"/>
      <c r="B15" s="6" t="inlineStr">
        <is>
          <t>Jun 25</t>
        </is>
      </c>
    </row>
    <row r="16">
      <c r="A16" t="inlineStr">
        <is>
          <t>Marketing spend (ledger)</t>
        </is>
      </c>
      <c r="B16" s="12" t="n">
        <v>8400</v>
      </c>
    </row>
    <row r="17">
      <c r="A17" t="inlineStr">
        <is>
          <t>New customers (first job ever)</t>
        </is>
      </c>
      <c r="B17" s="12" t="n">
        <v>32</v>
      </c>
    </row>
    <row r="18">
      <c r="A18" s="13" t="inlineStr">
        <is>
          <t>Cost per new customer</t>
        </is>
      </c>
      <c r="B18" s="14">
        <f>B16/B17</f>
        <v/>
      </c>
    </row>
    <row r="19"/>
    <row r="20"/>
    <row r="21">
      <c r="A21" s="11" t="inlineStr">
        <is>
          <t>Cost to win a customer, FY2026 to date</t>
        </is>
      </c>
    </row>
    <row r="22">
      <c r="A22" s="9" t="inlineStr">
        <is>
          <t>Total marketing ÷ total new customers</t>
        </is>
      </c>
    </row>
    <row r="23">
      <c r="A23" s="5" t="inlineStr"/>
      <c r="B23" s="6" t="inlineStr">
        <is>
          <t>Year to date</t>
        </is>
      </c>
    </row>
    <row r="24">
      <c r="A24" t="inlineStr">
        <is>
          <t>Marketing, Jul to Jun 2026</t>
        </is>
      </c>
      <c r="B24" s="12" t="n">
        <v>100400</v>
      </c>
    </row>
    <row r="25">
      <c r="A25" t="inlineStr">
        <is>
          <t>New customers, Jul to Jun 2026</t>
        </is>
      </c>
      <c r="B25" s="12" t="n">
        <v>441</v>
      </c>
    </row>
    <row r="26">
      <c r="A26" s="13" t="inlineStr">
        <is>
          <t>Cost per customer, year to date</t>
        </is>
      </c>
      <c r="B26" s="14">
        <f>B24/B25</f>
        <v/>
      </c>
    </row>
    <row r="27">
      <c r="A27" s="2" t="inlineStr">
        <is>
          <t>The same period last year is not available: the data starts October 2024.</t>
        </is>
      </c>
    </row>
    <row r="28"/>
    <row r="29"/>
    <row r="30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cost-to-win.xlsx&amp;C&amp;"Roboto,Regular"&amp;8 Data retrieved 2pm, Tue 6 Oct 2026 · Generated 10 Oct 2026, 9:55pm&amp;R&amp;"Roboto,Regular"&amp;8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June 2026 · Data status: May 2026 locked · Jun 2026 locked · Oct 2026 incomplete (data retrieved 2pm, Tue 6 Oct 2026) · Generated 10 Oct 2026, 9:55pm</t>
        </is>
      </c>
    </row>
    <row r="4"/>
    <row r="5">
      <c r="A5" s="5" t="inlineStr">
        <is>
          <t>Month</t>
        </is>
      </c>
      <c r="B5" s="6" t="inlineStr">
        <is>
          <t>Status</t>
        </is>
      </c>
      <c r="C5" s="6" t="inlineStr">
        <is>
          <t>Marketing spend</t>
        </is>
      </c>
      <c r="D5" s="6" t="inlineStr">
        <is>
          <t>New customers</t>
        </is>
      </c>
      <c r="E5" s="6" t="inlineStr">
        <is>
          <t>Cost per new customer</t>
        </is>
      </c>
    </row>
    <row r="6">
      <c r="A6" s="15" t="inlineStr">
        <is>
          <t>Oct 24</t>
        </is>
      </c>
      <c r="B6" s="15" t="inlineStr">
        <is>
          <t>Locked</t>
        </is>
      </c>
      <c r="C6" s="12" t="n">
        <v>8600</v>
      </c>
      <c r="D6" s="12" t="n">
        <v>34</v>
      </c>
      <c r="E6" s="12">
        <f>C6/D6</f>
        <v/>
      </c>
    </row>
    <row r="7">
      <c r="A7" s="15" t="inlineStr">
        <is>
          <t>Nov 24</t>
        </is>
      </c>
      <c r="B7" s="15" t="inlineStr">
        <is>
          <t>Locked</t>
        </is>
      </c>
      <c r="C7" s="12" t="n">
        <v>8400</v>
      </c>
      <c r="D7" s="12" t="n">
        <v>33</v>
      </c>
      <c r="E7" s="12">
        <f>C7/D7</f>
        <v/>
      </c>
    </row>
    <row r="8">
      <c r="A8" s="15" t="inlineStr">
        <is>
          <t>Dec 24</t>
        </is>
      </c>
      <c r="B8" s="15" t="inlineStr">
        <is>
          <t>Locked</t>
        </is>
      </c>
      <c r="C8" s="12" t="n">
        <v>7800</v>
      </c>
      <c r="D8" s="12" t="n">
        <v>37</v>
      </c>
      <c r="E8" s="12">
        <f>C8/D8</f>
        <v/>
      </c>
    </row>
    <row r="9">
      <c r="A9" s="15" t="inlineStr">
        <is>
          <t>Jan 25</t>
        </is>
      </c>
      <c r="B9" s="15" t="inlineStr">
        <is>
          <t>Locked</t>
        </is>
      </c>
      <c r="C9" s="12" t="n">
        <v>8000</v>
      </c>
      <c r="D9" s="12" t="n">
        <v>40</v>
      </c>
      <c r="E9" s="12">
        <f>C9/D9</f>
        <v/>
      </c>
    </row>
    <row r="10">
      <c r="A10" s="15" t="inlineStr">
        <is>
          <t>Feb 25</t>
        </is>
      </c>
      <c r="B10" s="15" t="inlineStr">
        <is>
          <t>Locked</t>
        </is>
      </c>
      <c r="C10" s="12" t="n">
        <v>8600</v>
      </c>
      <c r="D10" s="12" t="n">
        <v>35</v>
      </c>
      <c r="E10" s="12">
        <f>C10/D10</f>
        <v/>
      </c>
    </row>
    <row r="11">
      <c r="A11" s="15" t="inlineStr">
        <is>
          <t>Mar 25</t>
        </is>
      </c>
      <c r="B11" s="15" t="inlineStr">
        <is>
          <t>Locked</t>
        </is>
      </c>
      <c r="C11" s="12" t="n">
        <v>8400</v>
      </c>
      <c r="D11" s="12" t="n">
        <v>34</v>
      </c>
      <c r="E11" s="12">
        <f>C11/D11</f>
        <v/>
      </c>
    </row>
    <row r="12">
      <c r="A12" s="15" t="inlineStr">
        <is>
          <t>Apr 25</t>
        </is>
      </c>
      <c r="B12" s="15" t="inlineStr">
        <is>
          <t>Locked</t>
        </is>
      </c>
      <c r="C12" s="12" t="n">
        <v>8400</v>
      </c>
      <c r="D12" s="12" t="n">
        <v>30</v>
      </c>
      <c r="E12" s="12">
        <f>C12/D12</f>
        <v/>
      </c>
    </row>
    <row r="13">
      <c r="A13" s="15" t="inlineStr">
        <is>
          <t>May 25</t>
        </is>
      </c>
      <c r="B13" s="15" t="inlineStr">
        <is>
          <t>Locked</t>
        </is>
      </c>
      <c r="C13" s="12" t="n">
        <v>8400</v>
      </c>
      <c r="D13" s="12" t="n">
        <v>31</v>
      </c>
      <c r="E13" s="12">
        <f>C13/D13</f>
        <v/>
      </c>
    </row>
    <row r="14">
      <c r="A14" s="15" t="inlineStr">
        <is>
          <t>Jun 25</t>
        </is>
      </c>
      <c r="B14" s="15" t="inlineStr">
        <is>
          <t>Locked</t>
        </is>
      </c>
      <c r="C14" s="12" t="n">
        <v>8400</v>
      </c>
      <c r="D14" s="12" t="n">
        <v>32</v>
      </c>
      <c r="E14" s="12">
        <f>C14/D14</f>
        <v/>
      </c>
    </row>
    <row r="15">
      <c r="A15" s="15" t="inlineStr">
        <is>
          <t>Jul 25</t>
        </is>
      </c>
      <c r="B15" s="15" t="inlineStr">
        <is>
          <t>Locked</t>
        </is>
      </c>
      <c r="C15" s="12" t="n">
        <v>8400</v>
      </c>
      <c r="D15" s="12" t="n">
        <v>28</v>
      </c>
      <c r="E15" s="12">
        <f>C15/D15</f>
        <v/>
      </c>
    </row>
    <row r="16">
      <c r="A16" s="15" t="inlineStr">
        <is>
          <t>Aug 25</t>
        </is>
      </c>
      <c r="B16" s="15" t="inlineStr">
        <is>
          <t>Locked</t>
        </is>
      </c>
      <c r="C16" s="12" t="n">
        <v>8400</v>
      </c>
      <c r="D16" s="12" t="n">
        <v>36</v>
      </c>
      <c r="E16" s="12">
        <f>C16/D16</f>
        <v/>
      </c>
    </row>
    <row r="17">
      <c r="A17" s="15" t="inlineStr">
        <is>
          <t>Sep 25</t>
        </is>
      </c>
      <c r="B17" s="15" t="inlineStr">
        <is>
          <t>Locked</t>
        </is>
      </c>
      <c r="C17" s="12" t="n">
        <v>8600</v>
      </c>
      <c r="D17" s="12" t="n">
        <v>32</v>
      </c>
      <c r="E17" s="12">
        <f>C17/D17</f>
        <v/>
      </c>
    </row>
    <row r="18">
      <c r="A18" s="15" t="inlineStr">
        <is>
          <t>Oct 25</t>
        </is>
      </c>
      <c r="B18" s="15" t="inlineStr">
        <is>
          <t>Locked</t>
        </is>
      </c>
      <c r="C18" s="12" t="n">
        <v>8600</v>
      </c>
      <c r="D18" s="12" t="n">
        <v>33</v>
      </c>
      <c r="E18" s="12">
        <f>C18/D18</f>
        <v/>
      </c>
    </row>
    <row r="19">
      <c r="A19" s="15" t="inlineStr">
        <is>
          <t>Nov 25</t>
        </is>
      </c>
      <c r="B19" s="15" t="inlineStr">
        <is>
          <t>Locked</t>
        </is>
      </c>
      <c r="C19" s="12" t="n">
        <v>8400</v>
      </c>
      <c r="D19" s="12" t="n">
        <v>37</v>
      </c>
      <c r="E19" s="12">
        <f>C19/D19</f>
        <v/>
      </c>
    </row>
    <row r="20">
      <c r="A20" s="15" t="inlineStr">
        <is>
          <t>Dec 25</t>
        </is>
      </c>
      <c r="B20" s="15" t="inlineStr">
        <is>
          <t>Locked</t>
        </is>
      </c>
      <c r="C20" s="12" t="n">
        <v>7800</v>
      </c>
      <c r="D20" s="12" t="n">
        <v>45</v>
      </c>
      <c r="E20" s="12">
        <f>C20/D20</f>
        <v/>
      </c>
    </row>
    <row r="21">
      <c r="A21" s="15" t="inlineStr">
        <is>
          <t>Jan 26</t>
        </is>
      </c>
      <c r="B21" s="15" t="inlineStr">
        <is>
          <t>Locked</t>
        </is>
      </c>
      <c r="C21" s="12" t="n">
        <v>8000</v>
      </c>
      <c r="D21" s="12" t="n">
        <v>44</v>
      </c>
      <c r="E21" s="12">
        <f>C21/D21</f>
        <v/>
      </c>
    </row>
    <row r="22">
      <c r="A22" s="15" t="inlineStr">
        <is>
          <t>Feb 26</t>
        </is>
      </c>
      <c r="B22" s="15" t="inlineStr">
        <is>
          <t>Locked</t>
        </is>
      </c>
      <c r="C22" s="12" t="n">
        <v>8600</v>
      </c>
      <c r="D22" s="12" t="n">
        <v>39</v>
      </c>
      <c r="E22" s="12">
        <f>C22/D22</f>
        <v/>
      </c>
    </row>
    <row r="23">
      <c r="A23" s="15" t="inlineStr">
        <is>
          <t>Mar 26</t>
        </is>
      </c>
      <c r="B23" s="15" t="inlineStr">
        <is>
          <t>Locked</t>
        </is>
      </c>
      <c r="C23" s="12" t="n">
        <v>8400</v>
      </c>
      <c r="D23" s="12" t="n">
        <v>37</v>
      </c>
      <c r="E23" s="12">
        <f>C23/D23</f>
        <v/>
      </c>
    </row>
    <row r="24">
      <c r="A24" s="15" t="inlineStr">
        <is>
          <t>Apr 26</t>
        </is>
      </c>
      <c r="B24" s="15" t="inlineStr">
        <is>
          <t>Locked</t>
        </is>
      </c>
      <c r="C24" s="12" t="n">
        <v>8400</v>
      </c>
      <c r="D24" s="12" t="n">
        <v>35</v>
      </c>
      <c r="E24" s="12">
        <f>C24/D24</f>
        <v/>
      </c>
    </row>
    <row r="25">
      <c r="A25" s="15" t="inlineStr">
        <is>
          <t>May 26</t>
        </is>
      </c>
      <c r="B25" s="15" t="inlineStr">
        <is>
          <t>Locked</t>
        </is>
      </c>
      <c r="C25" s="12" t="n">
        <v>8400</v>
      </c>
      <c r="D25" s="12" t="n">
        <v>36</v>
      </c>
      <c r="E25" s="12">
        <f>C25/D25</f>
        <v/>
      </c>
    </row>
    <row r="26">
      <c r="A26" s="15" t="inlineStr">
        <is>
          <t>Jun 26</t>
        </is>
      </c>
      <c r="B26" s="15" t="inlineStr">
        <is>
          <t>Locked</t>
        </is>
      </c>
      <c r="C26" s="12" t="n">
        <v>8400</v>
      </c>
      <c r="D26" s="12" t="n">
        <v>39</v>
      </c>
      <c r="E26" s="12">
        <f>C26/D26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cost-to-win.xlsx&amp;C&amp;"Roboto,Regular"&amp;8 Data retrieved 2pm, Tue 6 Oct 2026 · Generated 10 Oct 2026, 9:55pm&amp;R&amp;"Roboto,Regular"&amp;8 Page &amp;P of &amp;N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2026-10-10T11:56:46Z</dcterms:created>
  <dcterms:modified xmlns:dcterms="http://purl.org/dc/terms/" xmlns:xsi="http://www.w3.org/2001/XMLSchema-instance" xsi:type="dcterms:W3CDTF">2026-10-10T11:56:46Z</dcterms:modified>
</cp:coreProperties>
</file>