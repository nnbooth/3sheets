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une_against_June_last_year">'Report'!$B$16</definedName>
    <definedName name="Services_Year_to_date_Jul_to_Jun_2026">'Report'!$B$17</definedName>
    <definedName name="Services_Gross_margin_year_to_date">'Report'!$B$18</definedName>
    <definedName name="Services_June_against_June_last_year_2">'Report'!$B$28</definedName>
    <definedName name="Services_Year_to_date_Jul_to_Jun_2026_2">'Report'!$B$29</definedName>
    <definedName name="Services_Gross_margin_year_to_date_2">'Report'!$B$30</definedName>
    <definedName name="Services_June_against_June_last_year_3">'Report'!$B$40</definedName>
    <definedName name="Services_Year_to_date_Jul_to_Jun_2026_3">'Report'!$B$41</definedName>
    <definedName name="Services_Gross_margin_year_to_date_3">'Report'!$B$42</definedName>
    <definedName name="Services_June_against_June_last_year_4">'Report'!$B$52</definedName>
    <definedName name="Services_Year_to_date_Jul_to_Jun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Services'!$A$1:$G$89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Services'!$D$6:$D$26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Services'!$D$27:$D$47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Services'!$D$48:$D$68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Services'!$D$69:$D$89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9" headerRowCount="1">
  <autoFilter ref="A5:G89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June's client work made $69,490 gross margin (60.1%). Consultant time not charged to client work took $6,840 and overheads $52,050, leaving $10,600 profit before tax (9.2% of revenue). To cover overheads, client work needs a 51.0%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June against June last year</t>
        </is>
      </c>
      <c r="B16" s="9">
        <f>Workings!B27</f>
        <v/>
      </c>
      <c r="C16" s="10" t="inlineStr">
        <is>
          <t>$115,550 against $90,220</t>
        </is>
      </c>
    </row>
    <row r="17">
      <c r="A17" t="inlineStr">
        <is>
          <t>Year to date (Jul to Jun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$640,390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$1,007,470 this financial year to date (Jul to Jun 2026). Training makes the highest gross margin (74.5%); Projects the lowest (61.3%). The business needs 51.0%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61.3% gross margin, 21.3 points over the 40.0% target ($134,082 ahead on $629,470 this financial year to date). Training: 74.5% gross margin, 34.5 points over the 40.0% target ($28,320 ahead on $82,200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June against June last year</t>
        </is>
      </c>
      <c r="B28" s="9">
        <f>Workings!B51</f>
        <v/>
      </c>
      <c r="C28" s="10" t="inlineStr">
        <is>
          <t>$76,650 against $64,520</t>
        </is>
      </c>
    </row>
    <row r="29">
      <c r="A29" t="inlineStr">
        <is>
          <t>Year to date (Jul to Jun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$385,870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$629,470 this financial year to date, at a 61.3% gross margin (below the 63.6%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61.3% gross margin, 21.3 points over the 40.0% target ($134,082 ahead on $629,470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June against June last year</t>
        </is>
      </c>
      <c r="B40" s="9">
        <f>Workings!B75</f>
        <v/>
      </c>
      <c r="C40" s="10" t="inlineStr">
        <is>
          <t>$32,500 against $21,800</t>
        </is>
      </c>
    </row>
    <row r="41">
      <c r="A41" t="inlineStr">
        <is>
          <t>Year to date (Jul to Jun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$193,320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$295,800 this financial year to date, at a 65.4% gross margin (above the 63.6%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65.4% gross margin, 25.4 points over the 40.0% target ($75,000 ahead on $295,800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June against June last year</t>
        </is>
      </c>
      <c r="B52" s="9">
        <f>Workings!B99</f>
        <v/>
      </c>
      <c r="C52" s="10" t="inlineStr">
        <is>
          <t>$6,400 against $3,900</t>
        </is>
      </c>
    </row>
    <row r="53">
      <c r="A53" t="inlineStr">
        <is>
          <t>Year to date (Jul to Jun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$61,200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$82,200 this financial year to date, at a 74.5% gross margin (above the 63.6%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74.5% gross margin, 34.5 points over the 40.0% target ($28,320 ahead on $82,200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June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Jun 2026</t>
        </is>
      </c>
    </row>
    <row r="8">
      <c r="A8" t="inlineStr">
        <is>
          <t>Gross margin on client work</t>
        </is>
      </c>
      <c r="B8" s="12" t="n">
        <v>69490</v>
      </c>
    </row>
    <row r="9">
      <c r="A9" t="inlineStr">
        <is>
          <t>Consultant wages and on-costs</t>
        </is>
      </c>
      <c r="B9" s="12" t="n">
        <v>46500</v>
      </c>
    </row>
    <row r="10">
      <c r="A10" t="inlineStr">
        <is>
          <t>Consultant time charged to client work (at cost)</t>
        </is>
      </c>
      <c r="B10" s="12" t="n">
        <v>39660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52050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115550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June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June against June last year</t>
        </is>
      </c>
    </row>
    <row r="23">
      <c r="A23" s="11" t="inlineStr">
        <is>
          <t>June 2026 ÷ June 2025 − 1 (year on year)</t>
        </is>
      </c>
    </row>
    <row r="24">
      <c r="A24" s="7" t="inlineStr"/>
      <c r="B24" s="8" t="inlineStr">
        <is>
          <t>Jun</t>
        </is>
      </c>
    </row>
    <row r="25">
      <c r="A25" t="inlineStr">
        <is>
          <t>Revenue, Jun 2026</t>
        </is>
      </c>
      <c r="B25" s="12" t="n">
        <v>115550</v>
      </c>
    </row>
    <row r="26">
      <c r="A26" t="inlineStr">
        <is>
          <t>Revenue, Jun 2025</t>
        </is>
      </c>
      <c r="B26" s="12" t="n">
        <v>90220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Jun 2026)</t>
        </is>
      </c>
      <c r="B33" s="12" t="n">
        <v>1007470</v>
      </c>
    </row>
    <row r="34">
      <c r="A34" t="inlineStr">
        <is>
          <t>Gross margin, year to date</t>
        </is>
      </c>
      <c r="B34" s="12" t="n">
        <v>640390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Jun 2026)</t>
        </is>
      </c>
      <c r="B41" s="12" t="n">
        <v>1007470</v>
      </c>
    </row>
    <row r="42">
      <c r="A42" t="inlineStr">
        <is>
          <t>Gross margin, year to date</t>
        </is>
      </c>
      <c r="B42" s="12" t="n">
        <v>640390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June against June last year</t>
        </is>
      </c>
    </row>
    <row r="47">
      <c r="A47" s="11" t="inlineStr">
        <is>
          <t>June 2026 ÷ June 2025 − 1 (year on year)</t>
        </is>
      </c>
    </row>
    <row r="48">
      <c r="A48" s="7" t="inlineStr"/>
      <c r="B48" s="8" t="inlineStr">
        <is>
          <t>Jun</t>
        </is>
      </c>
    </row>
    <row r="49">
      <c r="A49" t="inlineStr">
        <is>
          <t>Revenue, Jun 2026</t>
        </is>
      </c>
      <c r="B49" s="12" t="n">
        <v>76650</v>
      </c>
    </row>
    <row r="50">
      <c r="A50" t="inlineStr">
        <is>
          <t>Revenue, Jun 2025</t>
        </is>
      </c>
      <c r="B50" s="12" t="n">
        <v>64520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Jun 2026)</t>
        </is>
      </c>
      <c r="B57" s="12" t="n">
        <v>629470</v>
      </c>
    </row>
    <row r="58">
      <c r="A58" t="inlineStr">
        <is>
          <t>Gross margin, year to date</t>
        </is>
      </c>
      <c r="B58" s="12" t="n">
        <v>385870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Jun 2026)</t>
        </is>
      </c>
      <c r="B65" s="12" t="n">
        <v>629470</v>
      </c>
    </row>
    <row r="66">
      <c r="A66" t="inlineStr">
        <is>
          <t>Gross margin, year to date</t>
        </is>
      </c>
      <c r="B66" s="12" t="n">
        <v>385870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June against June last year</t>
        </is>
      </c>
    </row>
    <row r="71">
      <c r="A71" s="11" t="inlineStr">
        <is>
          <t>June 2026 ÷ June 2025 − 1 (year on year)</t>
        </is>
      </c>
    </row>
    <row r="72">
      <c r="A72" s="7" t="inlineStr"/>
      <c r="B72" s="8" t="inlineStr">
        <is>
          <t>Jun</t>
        </is>
      </c>
    </row>
    <row r="73">
      <c r="A73" t="inlineStr">
        <is>
          <t>Revenue, Jun 2026</t>
        </is>
      </c>
      <c r="B73" s="12" t="n">
        <v>32500</v>
      </c>
    </row>
    <row r="74">
      <c r="A74" t="inlineStr">
        <is>
          <t>Revenue, Jun 2025</t>
        </is>
      </c>
      <c r="B74" s="12" t="n">
        <v>21800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Jun 2026)</t>
        </is>
      </c>
      <c r="B81" s="12" t="n">
        <v>295800</v>
      </c>
    </row>
    <row r="82">
      <c r="A82" t="inlineStr">
        <is>
          <t>Gross margin, year to date</t>
        </is>
      </c>
      <c r="B82" s="12" t="n">
        <v>193320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Jun 2026)</t>
        </is>
      </c>
      <c r="B89" s="12" t="n">
        <v>295800</v>
      </c>
    </row>
    <row r="90">
      <c r="A90" t="inlineStr">
        <is>
          <t>Gross margin, year to date</t>
        </is>
      </c>
      <c r="B90" s="12" t="n">
        <v>193320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June against June last year</t>
        </is>
      </c>
    </row>
    <row r="95">
      <c r="A95" s="11" t="inlineStr">
        <is>
          <t>June 2026 ÷ June 2025 − 1 (year on year)</t>
        </is>
      </c>
    </row>
    <row r="96">
      <c r="A96" s="7" t="inlineStr"/>
      <c r="B96" s="8" t="inlineStr">
        <is>
          <t>Jun</t>
        </is>
      </c>
    </row>
    <row r="97">
      <c r="A97" t="inlineStr">
        <is>
          <t>Revenue, Jun 2026</t>
        </is>
      </c>
      <c r="B97" s="12" t="n">
        <v>6400</v>
      </c>
    </row>
    <row r="98">
      <c r="A98" t="inlineStr">
        <is>
          <t>Revenue, Jun 2025</t>
        </is>
      </c>
      <c r="B98" s="12" t="n">
        <v>3900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Jun 2026)</t>
        </is>
      </c>
      <c r="B105" s="12" t="n">
        <v>82200</v>
      </c>
    </row>
    <row r="106">
      <c r="A106" t="inlineStr">
        <is>
          <t>Gross margin, year to date</t>
        </is>
      </c>
      <c r="B106" s="12" t="n">
        <v>61200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Jun 2026)</t>
        </is>
      </c>
      <c r="B113" s="12" t="n">
        <v>82200</v>
      </c>
    </row>
    <row r="114">
      <c r="A114" t="inlineStr">
        <is>
          <t>Gross margin, year to date</t>
        </is>
      </c>
      <c r="B114" s="12" t="n">
        <v>61200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109865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80590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77090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115550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Oct 24</t>
        </is>
      </c>
      <c r="C27" s="16" t="inlineStr">
        <is>
          <t>Locked</t>
        </is>
      </c>
      <c r="D27" s="12" t="n">
        <v>70720</v>
      </c>
      <c r="E27" s="12" t="n">
        <v>27820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Nov 24</t>
        </is>
      </c>
      <c r="C28" s="16" t="inlineStr">
        <is>
          <t>Locked</t>
        </is>
      </c>
      <c r="D28" s="12" t="n">
        <v>88540</v>
      </c>
      <c r="E28" s="12" t="n">
        <v>34400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Dec 24</t>
        </is>
      </c>
      <c r="C29" s="16" t="inlineStr">
        <is>
          <t>Locked</t>
        </is>
      </c>
      <c r="D29" s="12" t="n">
        <v>94695</v>
      </c>
      <c r="E29" s="12" t="n">
        <v>36880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Jan 25</t>
        </is>
      </c>
      <c r="C30" s="16" t="inlineStr">
        <is>
          <t>Locked</t>
        </is>
      </c>
      <c r="D30" s="12" t="n">
        <v>66850</v>
      </c>
      <c r="E30" s="12" t="n">
        <v>26240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Feb 25</t>
        </is>
      </c>
      <c r="C31" s="16" t="inlineStr">
        <is>
          <t>Locked</t>
        </is>
      </c>
      <c r="D31" s="12" t="n">
        <v>84410</v>
      </c>
      <c r="E31" s="12" t="n">
        <v>34360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Mar 25</t>
        </is>
      </c>
      <c r="C32" s="16" t="inlineStr">
        <is>
          <t>Locked</t>
        </is>
      </c>
      <c r="D32" s="12" t="n">
        <v>48975</v>
      </c>
      <c r="E32" s="12" t="n">
        <v>21860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Apr 25</t>
        </is>
      </c>
      <c r="C33" s="16" t="inlineStr">
        <is>
          <t>Locked</t>
        </is>
      </c>
      <c r="D33" s="12" t="n">
        <v>37570</v>
      </c>
      <c r="E33" s="12" t="n">
        <v>17660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May 25</t>
        </is>
      </c>
      <c r="C34" s="16" t="inlineStr">
        <is>
          <t>Locked</t>
        </is>
      </c>
      <c r="D34" s="12" t="n">
        <v>59755</v>
      </c>
      <c r="E34" s="12" t="n">
        <v>23980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Jun 25</t>
        </is>
      </c>
      <c r="C35" s="16" t="inlineStr">
        <is>
          <t>Locked</t>
        </is>
      </c>
      <c r="D35" s="12" t="n">
        <v>64520</v>
      </c>
      <c r="E35" s="12" t="n">
        <v>26860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Jul 25</t>
        </is>
      </c>
      <c r="C36" s="16" t="inlineStr">
        <is>
          <t>Locked</t>
        </is>
      </c>
      <c r="D36" s="12" t="n">
        <v>64820</v>
      </c>
      <c r="E36" s="12" t="n">
        <v>25920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Aug 25</t>
        </is>
      </c>
      <c r="C37" s="16" t="inlineStr">
        <is>
          <t>Locked</t>
        </is>
      </c>
      <c r="D37" s="12" t="n">
        <v>38775</v>
      </c>
      <c r="E37" s="12" t="n">
        <v>13860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Sep 25</t>
        </is>
      </c>
      <c r="C38" s="16" t="inlineStr">
        <is>
          <t>Locked</t>
        </is>
      </c>
      <c r="D38" s="12" t="n">
        <v>38035</v>
      </c>
      <c r="E38" s="12" t="n">
        <v>13560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Oct 25</t>
        </is>
      </c>
      <c r="C39" s="16" t="inlineStr">
        <is>
          <t>Locked</t>
        </is>
      </c>
      <c r="D39" s="12" t="n">
        <v>45860</v>
      </c>
      <c r="E39" s="12" t="n">
        <v>18220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Nov 25</t>
        </is>
      </c>
      <c r="C40" s="16" t="inlineStr">
        <is>
          <t>Locked</t>
        </is>
      </c>
      <c r="D40" s="12" t="n">
        <v>46840</v>
      </c>
      <c r="E40" s="12" t="n">
        <v>18960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Dec 25</t>
        </is>
      </c>
      <c r="C41" s="16" t="inlineStr">
        <is>
          <t>Locked</t>
        </is>
      </c>
      <c r="D41" s="12" t="n">
        <v>29520</v>
      </c>
      <c r="E41" s="12" t="n">
        <v>12340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Jan 26</t>
        </is>
      </c>
      <c r="C42" s="16" t="inlineStr">
        <is>
          <t>Locked</t>
        </is>
      </c>
      <c r="D42" s="12" t="n">
        <v>60170</v>
      </c>
      <c r="E42" s="12" t="n">
        <v>22440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Feb 26</t>
        </is>
      </c>
      <c r="C43" s="16" t="inlineStr">
        <is>
          <t>Locked</t>
        </is>
      </c>
      <c r="D43" s="12" t="n">
        <v>62955</v>
      </c>
      <c r="E43" s="12" t="n">
        <v>23440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Mar 26</t>
        </is>
      </c>
      <c r="C44" s="16" t="inlineStr">
        <is>
          <t>Locked</t>
        </is>
      </c>
      <c r="D44" s="12" t="n">
        <v>75165</v>
      </c>
      <c r="E44" s="12" t="n">
        <v>29380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Apr 26</t>
        </is>
      </c>
      <c r="C45" s="16" t="inlineStr">
        <is>
          <t>Locked</t>
        </is>
      </c>
      <c r="D45" s="12" t="n">
        <v>47090</v>
      </c>
      <c r="E45" s="12" t="n">
        <v>17480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May 26</t>
        </is>
      </c>
      <c r="C46" s="16" t="inlineStr">
        <is>
          <t>Locked</t>
        </is>
      </c>
      <c r="D46" s="12" t="n">
        <v>43590</v>
      </c>
      <c r="E46" s="12" t="n">
        <v>16220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Jun 26</t>
        </is>
      </c>
      <c r="C47" s="16" t="inlineStr">
        <is>
          <t>Locked</t>
        </is>
      </c>
      <c r="D47" s="12" t="n">
        <v>76650</v>
      </c>
      <c r="E47" s="12" t="n">
        <v>31780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Oct 24</t>
        </is>
      </c>
      <c r="C48" s="16" t="inlineStr">
        <is>
          <t>Locked</t>
        </is>
      </c>
      <c r="D48" s="12" t="n">
        <v>15000</v>
      </c>
      <c r="E48" s="12" t="n">
        <v>4800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Nov 24</t>
        </is>
      </c>
      <c r="C49" s="16" t="inlineStr">
        <is>
          <t>Locked</t>
        </is>
      </c>
      <c r="D49" s="12" t="n">
        <v>15000</v>
      </c>
      <c r="E49" s="12" t="n">
        <v>4800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Dec 24</t>
        </is>
      </c>
      <c r="C50" s="16" t="inlineStr">
        <is>
          <t>Locked</t>
        </is>
      </c>
      <c r="D50" s="12" t="n">
        <v>15000</v>
      </c>
      <c r="E50" s="12" t="n">
        <v>5100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Jan 25</t>
        </is>
      </c>
      <c r="C51" s="16" t="inlineStr">
        <is>
          <t>Locked</t>
        </is>
      </c>
      <c r="D51" s="12" t="n">
        <v>15000</v>
      </c>
      <c r="E51" s="12" t="n">
        <v>4920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Feb 25</t>
        </is>
      </c>
      <c r="C52" s="16" t="inlineStr">
        <is>
          <t>Locked</t>
        </is>
      </c>
      <c r="D52" s="12" t="n">
        <v>15000</v>
      </c>
      <c r="E52" s="12" t="n">
        <v>5400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Mar 25</t>
        </is>
      </c>
      <c r="C53" s="16" t="inlineStr">
        <is>
          <t>Locked</t>
        </is>
      </c>
      <c r="D53" s="12" t="n">
        <v>21800</v>
      </c>
      <c r="E53" s="12" t="n">
        <v>7980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Apr 25</t>
        </is>
      </c>
      <c r="C54" s="16" t="inlineStr">
        <is>
          <t>Locked</t>
        </is>
      </c>
      <c r="D54" s="12" t="n">
        <v>21800</v>
      </c>
      <c r="E54" s="12" t="n">
        <v>7020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May 25</t>
        </is>
      </c>
      <c r="C55" s="16" t="inlineStr">
        <is>
          <t>Locked</t>
        </is>
      </c>
      <c r="D55" s="12" t="n">
        <v>21800</v>
      </c>
      <c r="E55" s="12" t="n">
        <v>8460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Jun 25</t>
        </is>
      </c>
      <c r="C56" s="16" t="inlineStr">
        <is>
          <t>Locked</t>
        </is>
      </c>
      <c r="D56" s="12" t="n">
        <v>21800</v>
      </c>
      <c r="E56" s="12" t="n">
        <v>7800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Jul 25</t>
        </is>
      </c>
      <c r="C57" s="16" t="inlineStr">
        <is>
          <t>Locked</t>
        </is>
      </c>
      <c r="D57" s="12" t="n">
        <v>16300</v>
      </c>
      <c r="E57" s="12" t="n">
        <v>5940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Aug 25</t>
        </is>
      </c>
      <c r="C58" s="16" t="inlineStr">
        <is>
          <t>Locked</t>
        </is>
      </c>
      <c r="D58" s="12" t="n">
        <v>16300</v>
      </c>
      <c r="E58" s="12" t="n">
        <v>5400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Sep 25</t>
        </is>
      </c>
      <c r="C59" s="16" t="inlineStr">
        <is>
          <t>Locked</t>
        </is>
      </c>
      <c r="D59" s="12" t="n">
        <v>16300</v>
      </c>
      <c r="E59" s="12" t="n">
        <v>5760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Oct 25</t>
        </is>
      </c>
      <c r="C60" s="16" t="inlineStr">
        <is>
          <t>Locked</t>
        </is>
      </c>
      <c r="D60" s="12" t="n">
        <v>16300</v>
      </c>
      <c r="E60" s="12" t="n">
        <v>5640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Nov 25</t>
        </is>
      </c>
      <c r="C61" s="16" t="inlineStr">
        <is>
          <t>Locked</t>
        </is>
      </c>
      <c r="D61" s="12" t="n">
        <v>28300</v>
      </c>
      <c r="E61" s="12" t="n">
        <v>9480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Dec 25</t>
        </is>
      </c>
      <c r="C62" s="16" t="inlineStr">
        <is>
          <t>Locked</t>
        </is>
      </c>
      <c r="D62" s="12" t="n">
        <v>28300</v>
      </c>
      <c r="E62" s="12" t="n">
        <v>9120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Jan 26</t>
        </is>
      </c>
      <c r="C63" s="16" t="inlineStr">
        <is>
          <t>Locked</t>
        </is>
      </c>
      <c r="D63" s="12" t="n">
        <v>28300</v>
      </c>
      <c r="E63" s="12" t="n">
        <v>9360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Feb 26</t>
        </is>
      </c>
      <c r="C64" s="16" t="inlineStr">
        <is>
          <t>Locked</t>
        </is>
      </c>
      <c r="D64" s="12" t="n">
        <v>28300</v>
      </c>
      <c r="E64" s="12" t="n">
        <v>10440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Mar 26</t>
        </is>
      </c>
      <c r="C65" s="16" t="inlineStr">
        <is>
          <t>Locked</t>
        </is>
      </c>
      <c r="D65" s="12" t="n">
        <v>28300</v>
      </c>
      <c r="E65" s="12" t="n">
        <v>9240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Apr 26</t>
        </is>
      </c>
      <c r="C66" s="16" t="inlineStr">
        <is>
          <t>Locked</t>
        </is>
      </c>
      <c r="D66" s="12" t="n">
        <v>28300</v>
      </c>
      <c r="E66" s="12" t="n">
        <v>9420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May 26</t>
        </is>
      </c>
      <c r="C67" s="16" t="inlineStr">
        <is>
          <t>Locked</t>
        </is>
      </c>
      <c r="D67" s="12" t="n">
        <v>28300</v>
      </c>
      <c r="E67" s="12" t="n">
        <v>10500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Jun 26</t>
        </is>
      </c>
      <c r="C68" s="16" t="inlineStr">
        <is>
          <t>Locked</t>
        </is>
      </c>
      <c r="D68" s="12" t="n">
        <v>32500</v>
      </c>
      <c r="E68" s="12" t="n">
        <v>12180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Oct 24</t>
        </is>
      </c>
      <c r="C69" s="16" t="inlineStr">
        <is>
          <t>Locked</t>
        </is>
      </c>
      <c r="D69" s="12" t="n">
        <v>8800</v>
      </c>
      <c r="E69" s="12" t="n">
        <v>2700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Nov 24</t>
        </is>
      </c>
      <c r="C70" s="16" t="inlineStr">
        <is>
          <t>Locked</t>
        </is>
      </c>
      <c r="D70" s="12" t="n">
        <v>4600</v>
      </c>
      <c r="E70" s="12" t="n">
        <v>840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Dec 24</t>
        </is>
      </c>
      <c r="C71" s="16" t="inlineStr">
        <is>
          <t>Locked</t>
        </is>
      </c>
      <c r="D71" s="12" t="n">
        <v>5200</v>
      </c>
      <c r="E71" s="12" t="n">
        <v>960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Jan 25</t>
        </is>
      </c>
      <c r="C72" s="16" t="inlineStr">
        <is>
          <t>Locked</t>
        </is>
      </c>
      <c r="D72" s="12" t="n">
        <v>6400</v>
      </c>
      <c r="E72" s="12" t="n">
        <v>2100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Feb 25</t>
        </is>
      </c>
      <c r="C73" s="16" t="inlineStr">
        <is>
          <t>Locked</t>
        </is>
      </c>
      <c r="D73" s="12" t="n">
        <v>11600</v>
      </c>
      <c r="E73" s="12" t="n">
        <v>3060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Mar 25</t>
        </is>
      </c>
      <c r="C74" s="16" t="inlineStr">
        <is>
          <t>Locked</t>
        </is>
      </c>
      <c r="D74" s="12" t="n">
        <v>6400</v>
      </c>
      <c r="E74" s="12" t="n">
        <v>2100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Apr 25</t>
        </is>
      </c>
      <c r="C75" s="16" t="inlineStr">
        <is>
          <t>Locked</t>
        </is>
      </c>
      <c r="D75" s="12" t="n">
        <v>4600</v>
      </c>
      <c r="E75" s="12" t="n">
        <v>840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May 25</t>
        </is>
      </c>
      <c r="C76" s="16" t="inlineStr">
        <is>
          <t>Locked</t>
        </is>
      </c>
      <c r="D76" s="12" t="n">
        <v>14000</v>
      </c>
      <c r="E76" s="12" t="n">
        <v>3660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Jun 25</t>
        </is>
      </c>
      <c r="C77" s="16" t="inlineStr">
        <is>
          <t>Locked</t>
        </is>
      </c>
      <c r="D77" s="12" t="n">
        <v>3900</v>
      </c>
      <c r="E77" s="12" t="n">
        <v>720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Jul 25</t>
        </is>
      </c>
      <c r="C78" s="16" t="inlineStr">
        <is>
          <t>Locked</t>
        </is>
      </c>
      <c r="D78" s="12" t="n">
        <v>5200</v>
      </c>
      <c r="E78" s="12" t="n">
        <v>960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Aug 25</t>
        </is>
      </c>
      <c r="C79" s="16" t="inlineStr">
        <is>
          <t>Locked</t>
        </is>
      </c>
      <c r="D79" s="12" t="n">
        <v>6400</v>
      </c>
      <c r="E79" s="12" t="n">
        <v>2100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Sep 25</t>
        </is>
      </c>
      <c r="C80" s="16" t="inlineStr">
        <is>
          <t>Locked</t>
        </is>
      </c>
      <c r="D80" s="12" t="n">
        <v>5200</v>
      </c>
      <c r="E80" s="12" t="n">
        <v>960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Oct 25</t>
        </is>
      </c>
      <c r="C81" s="16" t="inlineStr">
        <is>
          <t>Locked</t>
        </is>
      </c>
      <c r="D81" s="12" t="n">
        <v>9100</v>
      </c>
      <c r="E81" s="12" t="n">
        <v>1680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Nov 25</t>
        </is>
      </c>
      <c r="C82" s="16" t="inlineStr">
        <is>
          <t>Locked</t>
        </is>
      </c>
      <c r="D82" s="12" t="n">
        <v>8800</v>
      </c>
      <c r="E82" s="12" t="n">
        <v>2700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Dec 25</t>
        </is>
      </c>
      <c r="C83" s="16" t="inlineStr">
        <is>
          <t>Locked</t>
        </is>
      </c>
      <c r="D83" s="12" t="n">
        <v>11600</v>
      </c>
      <c r="E83" s="12" t="n">
        <v>3060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Jan 26</t>
        </is>
      </c>
      <c r="C84" s="16" t="inlineStr">
        <is>
          <t>Locked</t>
        </is>
      </c>
      <c r="D84" s="12" t="n">
        <v>3900</v>
      </c>
      <c r="E84" s="12" t="n">
        <v>720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Feb 26</t>
        </is>
      </c>
      <c r="C85" s="16" t="inlineStr">
        <is>
          <t>Locked</t>
        </is>
      </c>
      <c r="D85" s="12" t="n">
        <v>8800</v>
      </c>
      <c r="E85" s="12" t="n">
        <v>2700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Mar 26</t>
        </is>
      </c>
      <c r="C86" s="16" t="inlineStr">
        <is>
          <t>Locked</t>
        </is>
      </c>
      <c r="D86" s="12" t="n">
        <v>6400</v>
      </c>
      <c r="E86" s="12" t="n">
        <v>2100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Apr 26</t>
        </is>
      </c>
      <c r="C87" s="16" t="inlineStr">
        <is>
          <t>Locked</t>
        </is>
      </c>
      <c r="D87" s="12" t="n">
        <v>5200</v>
      </c>
      <c r="E87" s="12" t="n">
        <v>960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May 26</t>
        </is>
      </c>
      <c r="C88" s="16" t="inlineStr">
        <is>
          <t>Locked</t>
        </is>
      </c>
      <c r="D88" s="12" t="n">
        <v>5200</v>
      </c>
      <c r="E88" s="12" t="n">
        <v>960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Jun 26</t>
        </is>
      </c>
      <c r="C89" s="16" t="inlineStr">
        <is>
          <t>Locked</t>
        </is>
      </c>
      <c r="D89" s="12" t="n">
        <v>6400</v>
      </c>
      <c r="E89" s="12" t="n">
        <v>2100</v>
      </c>
      <c r="F89" s="12">
        <f>D89-E89</f>
        <v/>
      </c>
      <c r="G89" s="13">
        <f>IF(D89=0,"",F89/D89)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6" min="0" max="16383" man="1"/>
    <brk id="47" min="0" max="16383" man="1"/>
    <brk id="68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629470</v>
      </c>
      <c r="C6" s="12" t="n"/>
      <c r="D6" s="13">
        <f>IF(C6=0,"",B6/C6-1)</f>
        <v/>
      </c>
      <c r="E6" s="12" t="n">
        <v>385870</v>
      </c>
      <c r="F6" s="13">
        <f>IF(B6=0,"",E6/B6)</f>
        <v/>
      </c>
    </row>
    <row r="7">
      <c r="A7" s="16" t="inlineStr">
        <is>
          <t>Retainers</t>
        </is>
      </c>
      <c r="B7" s="12" t="n">
        <v>295800</v>
      </c>
      <c r="C7" s="12" t="n"/>
      <c r="D7" s="13">
        <f>IF(C7=0,"",B7/C7-1)</f>
        <v/>
      </c>
      <c r="E7" s="12" t="n">
        <v>193320</v>
      </c>
      <c r="F7" s="13">
        <f>IF(B7=0,"",E7/B7)</f>
        <v/>
      </c>
    </row>
    <row r="8">
      <c r="A8" s="16" t="inlineStr">
        <is>
          <t>Training</t>
        </is>
      </c>
      <c r="B8" s="12" t="n">
        <v>82200</v>
      </c>
      <c r="C8" s="12" t="n"/>
      <c r="D8" s="13">
        <f>IF(C8=0,"",B8/C8-1)</f>
        <v/>
      </c>
      <c r="E8" s="12" t="n">
        <v>61200</v>
      </c>
      <c r="F8" s="13">
        <f>IF(B8=0,"",E8/B8)</f>
        <v/>
      </c>
    </row>
    <row r="9">
      <c r="A9" s="16" t="inlineStr">
        <is>
          <t>Total</t>
        </is>
      </c>
      <c r="B9" s="12" t="n">
        <v>1007470</v>
      </c>
      <c r="C9" s="12" t="n"/>
      <c r="D9" s="13">
        <f>IF(C9=0,"",B9/C9-1)</f>
        <v/>
      </c>
      <c r="E9" s="12" t="n">
        <v>640390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2026-10-07T23:35:58Z</dcterms:created>
  <dcterms:modified xmlns:dcterms="http://purl.org/dc/terms/" xmlns:xsi="http://www.w3.org/2001/XMLSchema-instance" xsi:type="dcterms:W3CDTF">2026-10-07T23:35:58Z</dcterms:modified>
</cp:coreProperties>
</file>