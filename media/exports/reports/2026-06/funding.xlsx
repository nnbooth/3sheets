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June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14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June it cost: Grants 10¢, donations 14¢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June: grants (10¢ a dollar). Dearest: donations (14¢).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$770,082 raised this financial year to date (74.1% of everything raised), $85,200 to raise it, so $684,882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$225,900 raised this financial year to date (21.7% of everything raised), $32,800 to raise it, so $193,100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(4.1%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Jun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$770,082</t>
        </is>
      </c>
      <c r="C43" s="11" t="inlineStr">
        <is>
          <t>$85,200</t>
        </is>
      </c>
      <c r="D43" s="11" t="inlineStr">
        <is>
          <t>$684,882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$225,900</t>
        </is>
      </c>
      <c r="C44" s="11" t="inlineStr">
        <is>
          <t>$32,800</t>
        </is>
      </c>
      <c r="D44" s="11" t="inlineStr">
        <is>
          <t>$193,100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4" t="inlineStr">
        <is>
          <t>Cost to raise a dollar, by source, June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Jun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70872</v>
      </c>
    </row>
    <row r="10">
      <c r="A10" t="inlineStr">
        <is>
          <t>Donations: cost (donor campaigns)</t>
        </is>
      </c>
      <c r="B10" s="13" t="n">
        <v>5500</v>
      </c>
    </row>
    <row r="11">
      <c r="A11" t="inlineStr">
        <is>
          <t>Donations: raised</t>
        </is>
      </c>
      <c r="B11" s="13" t="n">
        <v>40100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June.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Grants</t>
        </is>
      </c>
      <c r="B26" s="17" t="inlineStr">
        <is>
          <t>Jun 26</t>
        </is>
      </c>
      <c r="C26" s="17" t="inlineStr">
        <is>
          <t>Locked</t>
        </is>
      </c>
      <c r="D26" s="13" t="n">
        <v>70872</v>
      </c>
      <c r="E26" s="13" t="n">
        <v>7100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Oct 24</t>
        </is>
      </c>
      <c r="C27" s="17" t="inlineStr">
        <is>
          <t>Locked</t>
        </is>
      </c>
      <c r="D27" s="13" t="n">
        <v>15300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Nov 24</t>
        </is>
      </c>
      <c r="C28" s="17" t="inlineStr">
        <is>
          <t>Locked</t>
        </is>
      </c>
      <c r="D28" s="13" t="n">
        <v>17700</v>
      </c>
      <c r="E28" s="13" t="n">
        <v>3100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Dec 24</t>
        </is>
      </c>
      <c r="C29" s="17" t="inlineStr">
        <is>
          <t>Locked</t>
        </is>
      </c>
      <c r="D29" s="13" t="n">
        <v>24700</v>
      </c>
      <c r="E29" s="13" t="n">
        <v>4400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Jan 25</t>
        </is>
      </c>
      <c r="C30" s="17" t="inlineStr">
        <is>
          <t>Locked</t>
        </is>
      </c>
      <c r="D30" s="13" t="n">
        <v>12400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Feb 25</t>
        </is>
      </c>
      <c r="C31" s="17" t="inlineStr">
        <is>
          <t>Locked</t>
        </is>
      </c>
      <c r="D31" s="13" t="n">
        <v>15600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Mar 25</t>
        </is>
      </c>
      <c r="C32" s="17" t="inlineStr">
        <is>
          <t>Locked</t>
        </is>
      </c>
      <c r="D32" s="13" t="n">
        <v>15700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Apr 25</t>
        </is>
      </c>
      <c r="C33" s="17" t="inlineStr">
        <is>
          <t>Locked</t>
        </is>
      </c>
      <c r="D33" s="13" t="n">
        <v>15700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May 25</t>
        </is>
      </c>
      <c r="C34" s="17" t="inlineStr">
        <is>
          <t>Locked</t>
        </is>
      </c>
      <c r="D34" s="13" t="n">
        <v>15800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Jun 25</t>
        </is>
      </c>
      <c r="C35" s="17" t="inlineStr">
        <is>
          <t>Locked</t>
        </is>
      </c>
      <c r="D35" s="13" t="n">
        <v>38100</v>
      </c>
      <c r="E35" s="13" t="n">
        <v>5500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Jul 25</t>
        </is>
      </c>
      <c r="C36" s="17" t="inlineStr">
        <is>
          <t>Locked</t>
        </is>
      </c>
      <c r="D36" s="13" t="n">
        <v>13500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Aug 25</t>
        </is>
      </c>
      <c r="C37" s="17" t="inlineStr">
        <is>
          <t>Locked</t>
        </is>
      </c>
      <c r="D37" s="13" t="n">
        <v>16000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Sep 25</t>
        </is>
      </c>
      <c r="C38" s="17" t="inlineStr">
        <is>
          <t>Locked</t>
        </is>
      </c>
      <c r="D38" s="13" t="n">
        <v>16100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Oct 25</t>
        </is>
      </c>
      <c r="C39" s="17" t="inlineStr">
        <is>
          <t>Locked</t>
        </is>
      </c>
      <c r="D39" s="13" t="n">
        <v>16200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Nov 25</t>
        </is>
      </c>
      <c r="C40" s="17" t="inlineStr">
        <is>
          <t>Locked</t>
        </is>
      </c>
      <c r="D40" s="13" t="n">
        <v>18700</v>
      </c>
      <c r="E40" s="13" t="n">
        <v>3100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Dec 25</t>
        </is>
      </c>
      <c r="C41" s="17" t="inlineStr">
        <is>
          <t>Locked</t>
        </is>
      </c>
      <c r="D41" s="13" t="n">
        <v>26100</v>
      </c>
      <c r="E41" s="13" t="n">
        <v>4400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Jan 26</t>
        </is>
      </c>
      <c r="C42" s="17" t="inlineStr">
        <is>
          <t>Locked</t>
        </is>
      </c>
      <c r="D42" s="13" t="n">
        <v>13100</v>
      </c>
      <c r="E42" s="13" t="n">
        <v>2200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Feb 26</t>
        </is>
      </c>
      <c r="C43" s="17" t="inlineStr">
        <is>
          <t>Locked</t>
        </is>
      </c>
      <c r="D43" s="13" t="n">
        <v>16400</v>
      </c>
      <c r="E43" s="13" t="n">
        <v>2200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Mar 26</t>
        </is>
      </c>
      <c r="C44" s="17" t="inlineStr">
        <is>
          <t>Locked</t>
        </is>
      </c>
      <c r="D44" s="13" t="n">
        <v>16500</v>
      </c>
      <c r="E44" s="13" t="n">
        <v>2200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Apr 26</t>
        </is>
      </c>
      <c r="C45" s="17" t="inlineStr">
        <is>
          <t>Locked</t>
        </is>
      </c>
      <c r="D45" s="13" t="n">
        <v>16600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Donations</t>
        </is>
      </c>
      <c r="B46" s="17" t="inlineStr">
        <is>
          <t>May 26</t>
        </is>
      </c>
      <c r="C46" s="17" t="inlineStr">
        <is>
          <t>Locked</t>
        </is>
      </c>
      <c r="D46" s="13" t="n">
        <v>16600</v>
      </c>
      <c r="E46" s="13" t="n">
        <v>2200</v>
      </c>
      <c r="F46" s="13">
        <f>D46-E46</f>
        <v/>
      </c>
      <c r="G46" s="14">
        <f>IF(D46=0,"",E46/D46*100)</f>
        <v/>
      </c>
    </row>
    <row r="47">
      <c r="A47" s="17" t="inlineStr">
        <is>
          <t>Donations</t>
        </is>
      </c>
      <c r="B47" s="17" t="inlineStr">
        <is>
          <t>Jun 26</t>
        </is>
      </c>
      <c r="C47" s="17" t="inlineStr">
        <is>
          <t>Locked</t>
        </is>
      </c>
      <c r="D47" s="13" t="n">
        <v>40100</v>
      </c>
      <c r="E47" s="13" t="n">
        <v>5500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Oct 24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Nov 24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Dec 24</t>
        </is>
      </c>
      <c r="C50" s="17" t="inlineStr">
        <is>
          <t>Locked</t>
        </is>
      </c>
      <c r="D50" s="13" t="n">
        <v>6200</v>
      </c>
      <c r="E50" s="13" t="n">
        <v>2600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Jan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Feb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Mar 25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Apr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May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Jun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Jul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Aug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Sep 25</t>
        </is>
      </c>
      <c r="C59" s="17" t="inlineStr">
        <is>
          <t>Locked</t>
        </is>
      </c>
      <c r="D59" s="13" t="n">
        <v>36800</v>
      </c>
      <c r="E59" s="13" t="n">
        <v>15200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Oct 25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Nov 25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Dec 25</t>
        </is>
      </c>
      <c r="C62" s="17" t="inlineStr">
        <is>
          <t>Locked</t>
        </is>
      </c>
      <c r="D62" s="13" t="n">
        <v>6200</v>
      </c>
      <c r="E62" s="13" t="n">
        <v>2600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Jan 26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Feb 26</t>
        </is>
      </c>
      <c r="C64" s="17" t="inlineStr">
        <is>
          <t>Locked</t>
        </is>
      </c>
      <c r="D64" s="13" t="n">
        <v>0</v>
      </c>
      <c r="E64" s="13" t="n">
        <v>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Mar 26</t>
        </is>
      </c>
      <c r="C65" s="17" t="inlineStr">
        <is>
          <t>Locked</t>
        </is>
      </c>
      <c r="D65" s="13" t="n">
        <v>0</v>
      </c>
      <c r="E65" s="13" t="n">
        <v>0</v>
      </c>
      <c r="F65" s="13">
        <f>D65-E65</f>
        <v/>
      </c>
      <c r="G65" s="14">
        <f>IF(D65=0,"",E65/D65*100)</f>
        <v/>
      </c>
    </row>
    <row r="66">
      <c r="A66" s="17" t="inlineStr">
        <is>
          <t>Fundraising events</t>
        </is>
      </c>
      <c r="B66" s="17" t="inlineStr">
        <is>
          <t>Apr 26</t>
        </is>
      </c>
      <c r="C66" s="17" t="inlineStr">
        <is>
          <t>Locked</t>
        </is>
      </c>
      <c r="D66" s="13" t="n">
        <v>0</v>
      </c>
      <c r="E66" s="13" t="n">
        <v>0</v>
      </c>
      <c r="F66" s="13">
        <f>D66-E66</f>
        <v/>
      </c>
      <c r="G66" s="14">
        <f>IF(D66=0,"",E66/D66*100)</f>
        <v/>
      </c>
    </row>
    <row r="67">
      <c r="A67" s="17" t="inlineStr">
        <is>
          <t>Fundraising events</t>
        </is>
      </c>
      <c r="B67" s="17" t="inlineStr">
        <is>
          <t>May 26</t>
        </is>
      </c>
      <c r="C67" s="17" t="inlineStr">
        <is>
          <t>Locked</t>
        </is>
      </c>
      <c r="D67" s="13" t="n">
        <v>0</v>
      </c>
      <c r="E67" s="13" t="n">
        <v>0</v>
      </c>
      <c r="F67" s="13">
        <f>D67-E67</f>
        <v/>
      </c>
      <c r="G67" s="14">
        <f>IF(D67=0,"",E67/D67*100)</f>
        <v/>
      </c>
    </row>
    <row r="68">
      <c r="A68" s="17" t="inlineStr">
        <is>
          <t>Fundraising events</t>
        </is>
      </c>
      <c r="B68" s="17" t="inlineStr">
        <is>
          <t>Jun 26</t>
        </is>
      </c>
      <c r="C68" s="17" t="inlineStr">
        <is>
          <t>Locked</t>
        </is>
      </c>
      <c r="D68" s="13" t="n">
        <v>0</v>
      </c>
      <c r="E68" s="13" t="n">
        <v>0</v>
      </c>
      <c r="F68" s="13">
        <f>D68-E68</f>
        <v/>
      </c>
      <c r="G68" s="14">
        <f>IF(D68=0,"",E68/D68*100)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6" min="0" max="16383" man="1"/>
    <brk id="47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