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June">'Report'!$B$9</definedName>
    <definedName name="Answered_while_staffed_June">'Report'!$B$10</definedName>
    <definedName name="Calls_outside_staffed_hours_June">'Report'!$B$11</definedName>
    <definedName name="Median_wait_when_answered_June">'Report'!$B$12</definedName>
    <definedName name="_xlnm.Print_Area" localSheetId="0">'Report'!$A$1:$D$37</definedName>
    <definedName name="_xlnm.Print_Area" localSheetId="1">'Workings'!$A$1:$C$103</definedName>
    <definedName name="_xlnm.Print_Titles" localSheetId="2">'Data'!$5:$5</definedName>
    <definedName name="_xlnm.Print_Area" localSheetId="2">'Data'!$A$1:$F$26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'Report'!$A$16:$A$22</f>
            </numRef>
          </cat>
          <val>
            <numRef>
              <f>'Report'!$B$16:$B$22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6" headerRowCount="1">
  <autoFilter ref="A5:F26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 ht="32" customHeight="1">
      <c r="A5" s="3" t="inlineStr">
        <is>
          <t>In short: 951 calls in June: 77.9% answered while staffed (target 90.0%); 48.7% came outside staffed hours.</t>
        </is>
      </c>
    </row>
    <row r="6" ht="32" customHeight="1">
      <c r="A6" s="4" t="inlineStr">
        <is>
          <t>Every call to the help line: when it came in, whether someone answered, and how long the caller waited. The line is staffed 8:30am to 5pm on working days.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Calls for help, June</t>
        </is>
      </c>
      <c r="B9" s="7">
        <f>Workings!B8</f>
        <v/>
      </c>
      <c r="C9" s="8" t="inlineStr">
        <is>
          <t>May 757</t>
        </is>
      </c>
    </row>
    <row r="10">
      <c r="A10" t="inlineStr">
        <is>
          <t>Answered while staffed, June</t>
        </is>
      </c>
      <c r="B10" s="9">
        <f>Workings!B21</f>
        <v/>
      </c>
      <c r="C10" s="8" t="inlineStr">
        <is>
          <t>target 90.0%</t>
        </is>
      </c>
    </row>
    <row r="11">
      <c r="A11" t="inlineStr">
        <is>
          <t>Calls outside staffed hours, June</t>
        </is>
      </c>
      <c r="B11" s="9">
        <f>Workings!B32</f>
        <v/>
      </c>
      <c r="C11" s="8" t="inlineStr">
        <is>
          <t>463 calls to voicemail</t>
        </is>
      </c>
    </row>
    <row r="12">
      <c r="A12" t="inlineStr">
        <is>
          <t>Median wait when answered, June</t>
        </is>
      </c>
      <c r="B12" s="7">
        <f>Workings!B39</f>
        <v/>
      </c>
      <c r="C12" s="8" t="inlineStr">
        <is>
          <t>380 answered calls</t>
        </is>
      </c>
    </row>
    <row r="13"/>
    <row r="14">
      <c r="A14" s="10" t="inlineStr">
        <is>
          <t>When the calls come in, June 2026</t>
        </is>
      </c>
    </row>
    <row r="15">
      <c r="A15" s="5" t="inlineStr"/>
      <c r="B15" s="6" t="inlineStr">
        <is>
          <t>Calls</t>
        </is>
      </c>
      <c r="C15" s="6" t="inlineStr">
        <is>
          <t>Answered %</t>
        </is>
      </c>
    </row>
    <row r="16">
      <c r="A16" t="inlineStr">
        <is>
          <t>Before 8:30am</t>
        </is>
      </c>
      <c r="B16" s="7">
        <f>Workings!B46</f>
        <v/>
      </c>
      <c r="C16" s="9">
        <f>Workings!B48</f>
        <v/>
      </c>
    </row>
    <row r="17">
      <c r="A17" t="inlineStr">
        <is>
          <t>8:30 to 10am</t>
        </is>
      </c>
      <c r="B17" s="7">
        <f>Workings!B55</f>
        <v/>
      </c>
      <c r="C17" s="9">
        <f>Workings!B57</f>
        <v/>
      </c>
    </row>
    <row r="18">
      <c r="A18" t="inlineStr">
        <is>
          <t>10am to noon</t>
        </is>
      </c>
      <c r="B18" s="7">
        <f>Workings!B64</f>
        <v/>
      </c>
      <c r="C18" s="9">
        <f>Workings!B66</f>
        <v/>
      </c>
    </row>
    <row r="19">
      <c r="A19" t="inlineStr">
        <is>
          <t>Noon to 2pm</t>
        </is>
      </c>
      <c r="B19" s="7">
        <f>Workings!B73</f>
        <v/>
      </c>
      <c r="C19" s="9">
        <f>Workings!B75</f>
        <v/>
      </c>
    </row>
    <row r="20">
      <c r="A20" t="inlineStr">
        <is>
          <t>2 to 5pm</t>
        </is>
      </c>
      <c r="B20" s="7">
        <f>Workings!B82</f>
        <v/>
      </c>
      <c r="C20" s="9">
        <f>Workings!B84</f>
        <v/>
      </c>
    </row>
    <row r="21">
      <c r="A21" t="inlineStr">
        <is>
          <t>5 to 8pm</t>
        </is>
      </c>
      <c r="B21" s="7">
        <f>Workings!B91</f>
        <v/>
      </c>
      <c r="C21" s="9">
        <f>Workings!B93</f>
        <v/>
      </c>
    </row>
    <row r="22">
      <c r="A22" t="inlineStr">
        <is>
          <t>After 8pm</t>
        </is>
      </c>
      <c r="B22" s="7">
        <f>Workings!B100</f>
        <v/>
      </c>
      <c r="C22" s="9">
        <f>Workings!B102</f>
        <v/>
      </c>
    </row>
    <row r="23"/>
    <row r="24"/>
    <row r="25"/>
    <row r="26"/>
    <row r="27"/>
    <row r="28"/>
    <row r="29"/>
    <row r="30"/>
    <row r="31">
      <c r="A31" s="11" t="inlineStr">
        <is>
          <t>Calls for help by month: every month is on the Data sheet.</t>
        </is>
      </c>
    </row>
    <row r="32"/>
    <row r="33">
      <c r="A33" s="12" t="inlineStr">
        <is>
          <t>What it shows</t>
        </is>
      </c>
    </row>
    <row r="34" ht="45" customHeight="1">
      <c r="A34" s="4" t="inlineStr">
        <is>
          <t>951 calls for help came in during June. While the line was staffed, 77.9% were answered (target 90.0%); 48.7% of all calls came outside staffed hours and went to voicemail. The busiest time was 5 to 8pm (170 calls).</t>
        </is>
      </c>
    </row>
    <row r="35"/>
    <row r="36">
      <c r="A36" s="12" t="inlineStr">
        <is>
          <t>What you'd do about it</t>
        </is>
      </c>
    </row>
    <row r="37" ht="30" customHeight="1">
      <c r="A37" s="4" t="inlineStr">
        <is>
          <t>170 calls came between 5 and 8pm, when no-one is on the line. 108 callers hung up waiting while the line was staffed.</t>
        </is>
      </c>
    </row>
    <row r="38"/>
    <row r="39"/>
  </sheetData>
  <mergeCells count="4">
    <mergeCell ref="A5:D5"/>
    <mergeCell ref="A37:D37"/>
    <mergeCell ref="A34:D3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13" t="inlineStr">
        <is>
          <t>Calls for help, June and May</t>
        </is>
      </c>
    </row>
    <row r="6">
      <c r="A6" s="11" t="inlineStr">
        <is>
          <t>Answered ÷ calls while the line was staffed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Calls</t>
        </is>
      </c>
      <c r="B8" s="14" t="n">
        <v>951</v>
      </c>
      <c r="C8" s="14" t="n">
        <v>757</v>
      </c>
    </row>
    <row r="9">
      <c r="A9" t="inlineStr">
        <is>
          <t>Calls while staffed</t>
        </is>
      </c>
      <c r="B9" s="14" t="n">
        <v>488</v>
      </c>
      <c r="C9" s="14" t="n">
        <v>338</v>
      </c>
    </row>
    <row r="10">
      <c r="A10" t="inlineStr">
        <is>
          <t>Answered</t>
        </is>
      </c>
      <c r="B10" s="14" t="n">
        <v>380</v>
      </c>
      <c r="C10" s="14" t="n">
        <v>280</v>
      </c>
    </row>
    <row r="11">
      <c r="A11" t="inlineStr">
        <is>
          <t>Answered while staffed</t>
        </is>
      </c>
      <c r="B11" s="15">
        <f>B10/B9</f>
        <v/>
      </c>
      <c r="C11" s="15">
        <f>C10/C9</f>
        <v/>
      </c>
    </row>
    <row r="12">
      <c r="A12" s="16" t="inlineStr">
        <is>
          <t>Calls outside staffed hours</t>
        </is>
      </c>
      <c r="B12" s="17">
        <f>(B8-B9)/B8</f>
        <v/>
      </c>
      <c r="C12" s="17">
        <f>(C8-C9)/C8</f>
        <v/>
      </c>
    </row>
    <row r="13"/>
    <row r="14"/>
    <row r="15">
      <c r="A15" s="13" t="inlineStr">
        <is>
          <t>Calls for help, June and May</t>
        </is>
      </c>
    </row>
    <row r="16">
      <c r="A16" s="11" t="inlineStr">
        <is>
          <t>Answered ÷ calls while the line was staffed</t>
        </is>
      </c>
    </row>
    <row r="17">
      <c r="A17" s="5" t="inlineStr"/>
      <c r="B17" s="6" t="inlineStr">
        <is>
          <t>Jun 26</t>
        </is>
      </c>
      <c r="C17" s="6" t="inlineStr">
        <is>
          <t>May 26</t>
        </is>
      </c>
    </row>
    <row r="18">
      <c r="A18" t="inlineStr">
        <is>
          <t>Calls</t>
        </is>
      </c>
      <c r="B18" s="14" t="n">
        <v>951</v>
      </c>
      <c r="C18" s="14" t="n">
        <v>757</v>
      </c>
    </row>
    <row r="19">
      <c r="A19" t="inlineStr">
        <is>
          <t>Calls while staffed</t>
        </is>
      </c>
      <c r="B19" s="14" t="n">
        <v>488</v>
      </c>
      <c r="C19" s="14" t="n">
        <v>338</v>
      </c>
    </row>
    <row r="20">
      <c r="A20" t="inlineStr">
        <is>
          <t>Answered</t>
        </is>
      </c>
      <c r="B20" s="14" t="n">
        <v>380</v>
      </c>
      <c r="C20" s="14" t="n">
        <v>280</v>
      </c>
    </row>
    <row r="21">
      <c r="A21" t="inlineStr">
        <is>
          <t>Answered while staffed</t>
        </is>
      </c>
      <c r="B21" s="15">
        <f>B20/B19</f>
        <v/>
      </c>
      <c r="C21" s="15">
        <f>C20/C19</f>
        <v/>
      </c>
    </row>
    <row r="22">
      <c r="A22" s="16" t="inlineStr">
        <is>
          <t>Calls outside staffed hours</t>
        </is>
      </c>
      <c r="B22" s="17">
        <f>(B18-B19)/B18</f>
        <v/>
      </c>
      <c r="C22" s="17">
        <f>(C18-C19)/C18</f>
        <v/>
      </c>
    </row>
    <row r="23"/>
    <row r="24"/>
    <row r="25">
      <c r="A25" s="13" t="inlineStr">
        <is>
          <t>Calls for help, June and May</t>
        </is>
      </c>
    </row>
    <row r="26">
      <c r="A26" s="11" t="inlineStr">
        <is>
          <t>Answered ÷ calls while the line was staffed</t>
        </is>
      </c>
    </row>
    <row r="27">
      <c r="A27" s="5" t="inlineStr"/>
      <c r="B27" s="6" t="inlineStr">
        <is>
          <t>Jun 26</t>
        </is>
      </c>
      <c r="C27" s="6" t="inlineStr">
        <is>
          <t>May 26</t>
        </is>
      </c>
    </row>
    <row r="28">
      <c r="A28" t="inlineStr">
        <is>
          <t>Calls</t>
        </is>
      </c>
      <c r="B28" s="14" t="n">
        <v>951</v>
      </c>
      <c r="C28" s="14" t="n">
        <v>757</v>
      </c>
    </row>
    <row r="29">
      <c r="A29" t="inlineStr">
        <is>
          <t>Calls while staffed</t>
        </is>
      </c>
      <c r="B29" s="14" t="n">
        <v>488</v>
      </c>
      <c r="C29" s="14" t="n">
        <v>338</v>
      </c>
    </row>
    <row r="30">
      <c r="A30" t="inlineStr">
        <is>
          <t>Answered</t>
        </is>
      </c>
      <c r="B30" s="14" t="n">
        <v>380</v>
      </c>
      <c r="C30" s="14" t="n">
        <v>280</v>
      </c>
    </row>
    <row r="31">
      <c r="A31" t="inlineStr">
        <is>
          <t>Answered while staffed</t>
        </is>
      </c>
      <c r="B31" s="15">
        <f>B30/B29</f>
        <v/>
      </c>
      <c r="C31" s="15">
        <f>C30/C29</f>
        <v/>
      </c>
    </row>
    <row r="32">
      <c r="A32" s="16" t="inlineStr">
        <is>
          <t>Calls outside staffed hours</t>
        </is>
      </c>
      <c r="B32" s="17">
        <f>(B28-B29)/B28</f>
        <v/>
      </c>
      <c r="C32" s="17">
        <f>(C28-C29)/C28</f>
        <v/>
      </c>
    </row>
    <row r="33"/>
    <row r="34"/>
    <row r="35">
      <c r="A35" s="13" t="inlineStr">
        <is>
          <t>Median wait when answered, June and May</t>
        </is>
      </c>
    </row>
    <row r="36">
      <c r="A36" s="11" t="inlineStr">
        <is>
          <t>The middle wait when every answered call is lined up from shortest to longest</t>
        </is>
      </c>
    </row>
    <row r="37">
      <c r="A37" s="5" t="inlineStr"/>
      <c r="B37" s="6" t="inlineStr">
        <is>
          <t>Jun 26</t>
        </is>
      </c>
      <c r="C37" s="6" t="inlineStr">
        <is>
          <t>May 26</t>
        </is>
      </c>
    </row>
    <row r="38">
      <c r="A38" t="inlineStr">
        <is>
          <t>Answered calls (while staffed)</t>
        </is>
      </c>
      <c r="B38" s="14" t="n">
        <v>380</v>
      </c>
      <c r="C38" s="14" t="n">
        <v>280</v>
      </c>
    </row>
    <row r="39">
      <c r="A39" s="16" t="inlineStr">
        <is>
          <t>Median wait (seconds, rounded half up)</t>
        </is>
      </c>
      <c r="B39" s="18" t="n">
        <v>78</v>
      </c>
      <c r="C39" s="18" t="n">
        <v>84</v>
      </c>
    </row>
    <row r="40">
      <c r="A40" s="2" t="inlineStr">
        <is>
          <t xml:space="preserve">June: 380 waits in order; the median is halfway between the 190th and 191st (78 and 78 seconds). Unanswered calls and calls outside staffed hours have no wait to count. </t>
        </is>
      </c>
    </row>
    <row r="41"/>
    <row r="42"/>
    <row r="43">
      <c r="A43" s="13" t="inlineStr">
        <is>
          <t>Calls before 8:30am, June 2026</t>
        </is>
      </c>
    </row>
    <row r="44">
      <c r="A44" s="11" t="inlineStr">
        <is>
          <t>Answered ÷ calls</t>
        </is>
      </c>
    </row>
    <row r="45">
      <c r="A45" s="5" t="inlineStr"/>
      <c r="B45" s="6" t="inlineStr">
        <is>
          <t>Jun 2026</t>
        </is>
      </c>
    </row>
    <row r="46">
      <c r="A46" t="inlineStr">
        <is>
          <t>Calls</t>
        </is>
      </c>
      <c r="B46" s="14" t="n">
        <v>134</v>
      </c>
    </row>
    <row r="47">
      <c r="A47" t="inlineStr">
        <is>
          <t>Answered</t>
        </is>
      </c>
      <c r="B47" s="14" t="n">
        <v>0</v>
      </c>
    </row>
    <row r="48">
      <c r="A48" s="16" t="inlineStr">
        <is>
          <t>Answered</t>
        </is>
      </c>
      <c r="B48" s="17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3" t="inlineStr">
        <is>
          <t>Calls 8:30 to 10am, June 2026</t>
        </is>
      </c>
    </row>
    <row r="53">
      <c r="A53" s="11" t="inlineStr">
        <is>
          <t>Answered ÷ calls</t>
        </is>
      </c>
    </row>
    <row r="54">
      <c r="A54" s="5" t="inlineStr"/>
      <c r="B54" s="6" t="inlineStr">
        <is>
          <t>Jun 2026</t>
        </is>
      </c>
    </row>
    <row r="55">
      <c r="A55" t="inlineStr">
        <is>
          <t>Calls</t>
        </is>
      </c>
      <c r="B55" s="14" t="n">
        <v>120</v>
      </c>
    </row>
    <row r="56">
      <c r="A56" t="inlineStr">
        <is>
          <t>Answered</t>
        </is>
      </c>
      <c r="B56" s="14" t="n">
        <v>78</v>
      </c>
    </row>
    <row r="57">
      <c r="A57" s="16" t="inlineStr">
        <is>
          <t>Answered</t>
        </is>
      </c>
      <c r="B57" s="17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3" t="inlineStr">
        <is>
          <t>Calls 10am to noon, June 2026</t>
        </is>
      </c>
    </row>
    <row r="62">
      <c r="A62" s="11" t="inlineStr">
        <is>
          <t>Answered ÷ calls</t>
        </is>
      </c>
    </row>
    <row r="63">
      <c r="A63" s="5" t="inlineStr"/>
      <c r="B63" s="6" t="inlineStr">
        <is>
          <t>Jun 2026</t>
        </is>
      </c>
    </row>
    <row r="64">
      <c r="A64" t="inlineStr">
        <is>
          <t>Calls</t>
        </is>
      </c>
      <c r="B64" s="14" t="n">
        <v>145</v>
      </c>
    </row>
    <row r="65">
      <c r="A65" t="inlineStr">
        <is>
          <t>Answered</t>
        </is>
      </c>
      <c r="B65" s="14" t="n">
        <v>115</v>
      </c>
    </row>
    <row r="66">
      <c r="A66" s="16" t="inlineStr">
        <is>
          <t>Answered</t>
        </is>
      </c>
      <c r="B66" s="17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3" t="inlineStr">
        <is>
          <t>Calls noon to 2pm, June 2026</t>
        </is>
      </c>
    </row>
    <row r="71">
      <c r="A71" s="11" t="inlineStr">
        <is>
          <t>Answered ÷ calls</t>
        </is>
      </c>
    </row>
    <row r="72">
      <c r="A72" s="5" t="inlineStr"/>
      <c r="B72" s="6" t="inlineStr">
        <is>
          <t>Jun 2026</t>
        </is>
      </c>
    </row>
    <row r="73">
      <c r="A73" t="inlineStr">
        <is>
          <t>Calls</t>
        </is>
      </c>
      <c r="B73" s="14" t="n">
        <v>122</v>
      </c>
    </row>
    <row r="74">
      <c r="A74" t="inlineStr">
        <is>
          <t>Answered</t>
        </is>
      </c>
      <c r="B74" s="14" t="n">
        <v>80</v>
      </c>
    </row>
    <row r="75">
      <c r="A75" s="16" t="inlineStr">
        <is>
          <t>Answered</t>
        </is>
      </c>
      <c r="B75" s="17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3" t="inlineStr">
        <is>
          <t>Calls 2 to 5pm, June 2026</t>
        </is>
      </c>
    </row>
    <row r="80">
      <c r="A80" s="11" t="inlineStr">
        <is>
          <t>Answered ÷ calls</t>
        </is>
      </c>
    </row>
    <row r="81">
      <c r="A81" s="5" t="inlineStr"/>
      <c r="B81" s="6" t="inlineStr">
        <is>
          <t>Jun 2026</t>
        </is>
      </c>
    </row>
    <row r="82">
      <c r="A82" t="inlineStr">
        <is>
          <t>Calls</t>
        </is>
      </c>
      <c r="B82" s="14" t="n">
        <v>161</v>
      </c>
    </row>
    <row r="83">
      <c r="A83" t="inlineStr">
        <is>
          <t>Answered</t>
        </is>
      </c>
      <c r="B83" s="14" t="n">
        <v>107</v>
      </c>
    </row>
    <row r="84">
      <c r="A84" s="16" t="inlineStr">
        <is>
          <t>Answered</t>
        </is>
      </c>
      <c r="B84" s="17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3" t="inlineStr">
        <is>
          <t>Calls 5 to 8pm, June 2026</t>
        </is>
      </c>
    </row>
    <row r="89">
      <c r="A89" s="11" t="inlineStr">
        <is>
          <t>Answered ÷ calls</t>
        </is>
      </c>
    </row>
    <row r="90">
      <c r="A90" s="5" t="inlineStr"/>
      <c r="B90" s="6" t="inlineStr">
        <is>
          <t>Jun 2026</t>
        </is>
      </c>
    </row>
    <row r="91">
      <c r="A91" t="inlineStr">
        <is>
          <t>Calls</t>
        </is>
      </c>
      <c r="B91" s="14" t="n">
        <v>170</v>
      </c>
    </row>
    <row r="92">
      <c r="A92" t="inlineStr">
        <is>
          <t>Answered</t>
        </is>
      </c>
      <c r="B92" s="14" t="n">
        <v>0</v>
      </c>
    </row>
    <row r="93">
      <c r="A93" s="16" t="inlineStr">
        <is>
          <t>Answered</t>
        </is>
      </c>
      <c r="B93" s="17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3" t="inlineStr">
        <is>
          <t>Calls after 8pm, June 2026</t>
        </is>
      </c>
    </row>
    <row r="98">
      <c r="A98" s="11" t="inlineStr">
        <is>
          <t>Answered ÷ calls</t>
        </is>
      </c>
    </row>
    <row r="99">
      <c r="A99" s="5" t="inlineStr"/>
      <c r="B99" s="6" t="inlineStr">
        <is>
          <t>Jun 2026</t>
        </is>
      </c>
    </row>
    <row r="100">
      <c r="A100" t="inlineStr">
        <is>
          <t>Calls</t>
        </is>
      </c>
      <c r="B100" s="14" t="n">
        <v>99</v>
      </c>
    </row>
    <row r="101">
      <c r="A101" t="inlineStr">
        <is>
          <t>Answered</t>
        </is>
      </c>
      <c r="B101" s="14" t="n">
        <v>0</v>
      </c>
    </row>
    <row r="102">
      <c r="A102" s="16" t="inlineStr">
        <is>
          <t>Answered</t>
        </is>
      </c>
      <c r="B102" s="17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Calls</t>
        </is>
      </c>
      <c r="D5" s="6" t="inlineStr">
        <is>
          <t>While staffed</t>
        </is>
      </c>
      <c r="E5" s="6" t="inlineStr">
        <is>
          <t>Answered</t>
        </is>
      </c>
      <c r="F5" s="6" t="inlineStr">
        <is>
          <t>Answered while staffed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685</v>
      </c>
      <c r="D6" s="14" t="n">
        <v>329</v>
      </c>
      <c r="E6" s="14" t="n">
        <v>299</v>
      </c>
      <c r="F6" s="15">
        <f>IF(D6=0,"",E6/D6)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633</v>
      </c>
      <c r="D7" s="14" t="n">
        <v>307</v>
      </c>
      <c r="E7" s="14" t="n">
        <v>278</v>
      </c>
      <c r="F7" s="15">
        <f>IF(D7=0,"",E7/D7)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684</v>
      </c>
      <c r="D8" s="14" t="n">
        <v>330</v>
      </c>
      <c r="E8" s="14" t="n">
        <v>284</v>
      </c>
      <c r="F8" s="15">
        <f>IF(D8=0,"",E8/D8)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690</v>
      </c>
      <c r="D9" s="14" t="n">
        <v>324</v>
      </c>
      <c r="E9" s="14" t="n">
        <v>280</v>
      </c>
      <c r="F9" s="15">
        <f>IF(D9=0,"",E9/D9)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664</v>
      </c>
      <c r="D10" s="14" t="n">
        <v>320</v>
      </c>
      <c r="E10" s="14" t="n">
        <v>278</v>
      </c>
      <c r="F10" s="15">
        <f>IF(D10=0,"",E10/D10)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685</v>
      </c>
      <c r="D11" s="14" t="n">
        <v>311</v>
      </c>
      <c r="E11" s="14" t="n">
        <v>284</v>
      </c>
      <c r="F11" s="15">
        <f>IF(D11=0,"",E11/D11)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629</v>
      </c>
      <c r="D12" s="14" t="n">
        <v>286</v>
      </c>
      <c r="E12" s="14" t="n">
        <v>246</v>
      </c>
      <c r="F12" s="15">
        <f>IF(D12=0,"",E12/D12)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724</v>
      </c>
      <c r="D13" s="14" t="n">
        <v>348</v>
      </c>
      <c r="E13" s="14" t="n">
        <v>302</v>
      </c>
      <c r="F13" s="15">
        <f>IF(D13=0,"",E13/D13)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820</v>
      </c>
      <c r="D14" s="14" t="n">
        <v>389</v>
      </c>
      <c r="E14" s="14" t="n">
        <v>330</v>
      </c>
      <c r="F14" s="15">
        <f>IF(D14=0,"",E14/D14)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909</v>
      </c>
      <c r="D15" s="14" t="n">
        <v>477</v>
      </c>
      <c r="E15" s="14" t="n">
        <v>402</v>
      </c>
      <c r="F15" s="15">
        <f>IF(D15=0,"",E15/D15)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826</v>
      </c>
      <c r="D16" s="14" t="n">
        <v>388</v>
      </c>
      <c r="E16" s="14" t="n">
        <v>327</v>
      </c>
      <c r="F16" s="15">
        <f>IF(D16=0,"",E16/D16)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756</v>
      </c>
      <c r="D17" s="14" t="n">
        <v>359</v>
      </c>
      <c r="E17" s="14" t="n">
        <v>307</v>
      </c>
      <c r="F17" s="15">
        <f>IF(D17=0,"",E17/D17)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770</v>
      </c>
      <c r="D18" s="14" t="n">
        <v>363</v>
      </c>
      <c r="E18" s="14" t="n">
        <v>304</v>
      </c>
      <c r="F18" s="15">
        <f>IF(D18=0,"",E18/D18)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746</v>
      </c>
      <c r="D19" s="14" t="n">
        <v>357</v>
      </c>
      <c r="E19" s="14" t="n">
        <v>297</v>
      </c>
      <c r="F19" s="15">
        <f>IF(D19=0,"",E19/D19)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776</v>
      </c>
      <c r="D20" s="14" t="n">
        <v>357</v>
      </c>
      <c r="E20" s="14" t="n">
        <v>282</v>
      </c>
      <c r="F20" s="15">
        <f>IF(D20=0,"",E20/D20)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726</v>
      </c>
      <c r="D21" s="14" t="n">
        <v>346</v>
      </c>
      <c r="E21" s="14" t="n">
        <v>297</v>
      </c>
      <c r="F21" s="15">
        <f>IF(D21=0,"",E21/D21)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678</v>
      </c>
      <c r="D22" s="14" t="n">
        <v>341</v>
      </c>
      <c r="E22" s="14" t="n">
        <v>275</v>
      </c>
      <c r="F22" s="15">
        <f>IF(D22=0,"",E22/D22)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865</v>
      </c>
      <c r="D23" s="14" t="n">
        <v>421</v>
      </c>
      <c r="E23" s="14" t="n">
        <v>338</v>
      </c>
      <c r="F23" s="15">
        <f>IF(D23=0,"",E23/D23)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731</v>
      </c>
      <c r="D24" s="14" t="n">
        <v>356</v>
      </c>
      <c r="E24" s="14" t="n">
        <v>294</v>
      </c>
      <c r="F24" s="15">
        <f>IF(D24=0,"",E24/D24)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757</v>
      </c>
      <c r="D25" s="14" t="n">
        <v>338</v>
      </c>
      <c r="E25" s="14" t="n">
        <v>280</v>
      </c>
      <c r="F25" s="15">
        <f>IF(D25=0,"",E25/D25)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951</v>
      </c>
      <c r="D26" s="14" t="n">
        <v>488</v>
      </c>
      <c r="E26" s="14" t="n">
        <v>380</v>
      </c>
      <c r="F26" s="15">
        <f>IF(D26=0,"",E26/D26)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2026-10-10T11:57:03Z</dcterms:created>
  <dcterms:modified xmlns:dcterms="http://purl.org/dc/terms/" xmlns:xsi="http://www.w3.org/2001/XMLSchema-instance" xsi:type="dcterms:W3CDTF">2026-10-10T11:57:03Z</dcterms:modified>
</cp:coreProperties>
</file>