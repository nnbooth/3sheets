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June 2026 · Data status: May 2026 locked · Jun 2026 locked · Oct 2026 incomplete (data retrieved 2pm, Tue 6 Oct 2026)</t>
        </is>
      </c>
    </row>
    <row r="4"/>
    <row r="5" ht="32" customHeight="1">
      <c r="A5" s="3" t="inlineStr">
        <is>
          <t>What fundraising costs (grant writing, donor campaigns, events) for every dollar it brings in. Pick a source and every number, chart and note follows it.</t>
        </is>
      </c>
    </row>
    <row r="6"/>
    <row r="7">
      <c r="A7" s="4" t="inlineStr">
        <is>
          <t>Source: All fundraising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June · all fundraising</t>
        </is>
      </c>
      <c r="B9" s="7">
        <f>Workings!B10</f>
        <v/>
      </c>
      <c r="C9" s="8" t="inlineStr">
        <is>
          <t>May 10¢</t>
        </is>
      </c>
    </row>
    <row r="10">
      <c r="A10" t="inlineStr">
        <is>
          <t>Year to date (Jul to Jun 2026)</t>
        </is>
      </c>
      <c r="B10" s="7">
        <f>Workings!B18</f>
        <v/>
      </c>
      <c r="C10" s="8" t="inlineStr">
        <is>
          <t>same period last year: not in the data</t>
        </is>
      </c>
    </row>
    <row r="11"/>
    <row r="12">
      <c r="A12" s="9" t="inlineStr">
        <is>
          <t>Cost to raise a dollar, by source, June 2026 (cents)</t>
        </is>
      </c>
    </row>
    <row r="13">
      <c r="A13" s="5" t="inlineStr"/>
      <c r="B13" s="6" t="inlineStr">
        <is>
          <t>Value</t>
        </is>
      </c>
    </row>
    <row r="14">
      <c r="A14" t="inlineStr">
        <is>
          <t>Grants</t>
        </is>
      </c>
      <c r="B14" s="7" t="n">
        <v>10</v>
      </c>
    </row>
    <row r="15">
      <c r="A15" t="inlineStr">
        <is>
          <t>Donations</t>
        </is>
      </c>
      <c r="B15" s="7" t="n">
        <v>14</v>
      </c>
    </row>
    <row r="16"/>
    <row r="17">
      <c r="A17" s="10" t="inlineStr">
        <is>
          <t>What it shows</t>
        </is>
      </c>
    </row>
    <row r="18" ht="30" customHeight="1">
      <c r="A18" s="3" t="inlineStr">
        <is>
          <t>June cost 11¢ to raise each dollar, against 10¢ in May. This financial year to date it has cost 13¢ a dollar.</t>
        </is>
      </c>
    </row>
    <row r="19"/>
    <row r="20">
      <c r="A20" s="10" t="inlineStr">
        <is>
          <t>What you'd do about it</t>
        </is>
      </c>
    </row>
    <row r="21" ht="30" customHeight="1">
      <c r="A21" s="3" t="inlineStr">
        <is>
          <t>The year-to-date figure is steadier than single months: events make some months jump. Pick a source above to see which one moves it.</t>
        </is>
      </c>
    </row>
    <row r="22"/>
    <row r="23">
      <c r="A23" s="4" t="inlineStr">
        <is>
          <t>Source: Grants</t>
        </is>
      </c>
    </row>
    <row r="24">
      <c r="A24" s="5" t="inlineStr">
        <is>
          <t>Headline number</t>
        </is>
      </c>
      <c r="B24" s="6" t="inlineStr">
        <is>
          <t>Value</t>
        </is>
      </c>
      <c r="C24" s="6" t="inlineStr">
        <is>
          <t>Compared with</t>
        </is>
      </c>
    </row>
    <row r="25">
      <c r="A25" t="inlineStr">
        <is>
          <t>June · Grants</t>
        </is>
      </c>
      <c r="B25" s="7">
        <f>Workings!B39</f>
        <v/>
      </c>
      <c r="C25" s="8" t="inlineStr">
        <is>
          <t>May 10¢</t>
        </is>
      </c>
    </row>
    <row r="26">
      <c r="A26" t="inlineStr">
        <is>
          <t>Year to date (Jul to Jun 2026)</t>
        </is>
      </c>
      <c r="B26" s="7">
        <f>Workings!B47</f>
        <v/>
      </c>
      <c r="C26" s="8" t="inlineStr">
        <is>
          <t>same period last year: not in the data</t>
        </is>
      </c>
    </row>
    <row r="27"/>
    <row r="28">
      <c r="A28" s="10" t="inlineStr">
        <is>
          <t>What it shows</t>
        </is>
      </c>
    </row>
    <row r="29" ht="30" customHeight="1">
      <c r="A29" s="3" t="inlineStr">
        <is>
          <t>Grants cost 11¢ to raise each dollar this financial year to date ($85,200 of grant writing and reporting for $770,082).</t>
        </is>
      </c>
    </row>
    <row r="30"/>
    <row r="31">
      <c r="A31" s="10" t="inlineStr">
        <is>
          <t>What you'd do about it</t>
        </is>
      </c>
    </row>
    <row r="32" ht="30" customHeight="1">
      <c r="A32" s="3" t="inlineStr">
        <is>
          <t>Usually the cheapest money to raise, as long as the time that goes into applications and acquittals is protected.</t>
        </is>
      </c>
    </row>
    <row r="33"/>
    <row r="34">
      <c r="A34" s="4" t="inlineStr">
        <is>
          <t>Source: Donations</t>
        </is>
      </c>
    </row>
    <row r="35">
      <c r="A35" s="5" t="inlineStr">
        <is>
          <t>Headline number</t>
        </is>
      </c>
      <c r="B35" s="6" t="inlineStr">
        <is>
          <t>Value</t>
        </is>
      </c>
      <c r="C35" s="6" t="inlineStr">
        <is>
          <t>Compared with</t>
        </is>
      </c>
    </row>
    <row r="36">
      <c r="A36" t="inlineStr">
        <is>
          <t>June · Donations</t>
        </is>
      </c>
      <c r="B36" s="7">
        <f>Workings!B56</f>
        <v/>
      </c>
      <c r="C36" s="8" t="inlineStr">
        <is>
          <t>May 13¢</t>
        </is>
      </c>
    </row>
    <row r="37">
      <c r="A37" t="inlineStr">
        <is>
          <t>Year to date (Jul to Jun 2026)</t>
        </is>
      </c>
      <c r="B37" s="7">
        <f>Workings!B64</f>
        <v/>
      </c>
      <c r="C37" s="8" t="inlineStr">
        <is>
          <t>same period last year: not in the data</t>
        </is>
      </c>
    </row>
    <row r="38"/>
    <row r="39">
      <c r="A39" s="10" t="inlineStr">
        <is>
          <t>What it shows</t>
        </is>
      </c>
    </row>
    <row r="40" ht="30" customHeight="1">
      <c r="A40" s="3" t="inlineStr">
        <is>
          <t>Donations cost 15¢ to raise each dollar this financial year to date ($32,800 of donor campaigns for $225,900).</t>
        </is>
      </c>
    </row>
    <row r="41"/>
    <row r="42">
      <c r="A42" s="10" t="inlineStr">
        <is>
          <t>What you'd do about it</t>
        </is>
      </c>
    </row>
    <row r="43" ht="30" customHeight="1">
      <c r="A43" s="3" t="inlineStr">
        <is>
          <t>Steady and cheap, and untied: the money that builds reserves.</t>
        </is>
      </c>
    </row>
    <row r="44"/>
    <row r="45">
      <c r="A45" s="4" t="inlineStr">
        <is>
          <t>Source: Fundraising events</t>
        </is>
      </c>
    </row>
    <row r="46">
      <c r="A46" s="5" t="inlineStr">
        <is>
          <t>Headline number</t>
        </is>
      </c>
      <c r="B46" s="6" t="inlineStr">
        <is>
          <t>Value</t>
        </is>
      </c>
      <c r="C46" s="6" t="inlineStr">
        <is>
          <t>Compared with</t>
        </is>
      </c>
    </row>
    <row r="47">
      <c r="A47" t="inlineStr">
        <is>
          <t>June · Fundraising events</t>
        </is>
      </c>
      <c r="B47" s="11">
        <f>Workings!B72</f>
        <v/>
      </c>
      <c r="C47" s="8" t="inlineStr">
        <is>
          <t>May none raised</t>
        </is>
      </c>
    </row>
    <row r="48">
      <c r="A48" t="inlineStr">
        <is>
          <t>Year to date (Jul to Jun 2026)</t>
        </is>
      </c>
      <c r="B48" s="7">
        <f>Workings!B81</f>
        <v/>
      </c>
      <c r="C48" s="8" t="inlineStr">
        <is>
          <t>same period last year: not in the data</t>
        </is>
      </c>
    </row>
    <row r="49"/>
    <row r="50">
      <c r="A50" s="10" t="inlineStr">
        <is>
          <t>What it shows</t>
        </is>
      </c>
    </row>
    <row r="51" ht="30" customHeight="1">
      <c r="A51" s="3" t="inlineStr">
        <is>
          <t>Fundraising events cost 41¢ to raise each dollar this financial year to date ($17,800 of event costs for $43,000).</t>
        </is>
      </c>
    </row>
    <row r="52"/>
    <row r="53">
      <c r="A53" s="10" t="inlineStr">
        <is>
          <t>What you'd do about it</t>
        </is>
      </c>
    </row>
    <row r="54" ht="30" customHeight="1">
      <c r="A54" s="3" t="inlineStr">
        <is>
          <t>Usually the dearest money to raise: events are worth counting for what else they bring too (new donors, profile).</t>
        </is>
      </c>
    </row>
    <row r="55"/>
    <row r="56">
      <c r="A56" s="4" t="inlineStr">
        <is>
          <t>Every source at once</t>
        </is>
      </c>
    </row>
    <row r="57">
      <c r="A57" s="12" t="inlineStr">
        <is>
          <t>Cost to raise a dollar, by month (cents): every month is on the Data sheet.</t>
        </is>
      </c>
    </row>
    <row r="58"/>
    <row r="59"/>
  </sheetData>
  <mergeCells count="9">
    <mergeCell ref="A5:D5"/>
    <mergeCell ref="A40:D40"/>
    <mergeCell ref="A18:D18"/>
    <mergeCell ref="A21:D21"/>
    <mergeCell ref="A54:D54"/>
    <mergeCell ref="A29:D29"/>
    <mergeCell ref="A43:D43"/>
    <mergeCell ref="A51:D51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7" min="0" max="16383" man="1"/>
    <brk id="4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June 2026 · Data status: May 2026 locked · Jun 2026 locked · Oct 2026 incomplete (data retrieved 2pm, Tue 6 Oct 2026)</t>
        </is>
      </c>
    </row>
    <row r="4"/>
    <row r="5">
      <c r="A5" s="4" t="inlineStr">
        <is>
          <t>Cost to raise a dollar, all fundraising, June and May</t>
        </is>
      </c>
    </row>
    <row r="6">
      <c r="A6" s="12" t="inlineStr">
        <is>
          <t>Cost of raising it ÷ money raised, in cents</t>
        </is>
      </c>
    </row>
    <row r="7">
      <c r="A7" s="5" t="inlineStr"/>
      <c r="B7" s="6" t="inlineStr">
        <is>
          <t>Jun 26</t>
        </is>
      </c>
      <c r="C7" s="6" t="inlineStr">
        <is>
          <t>May 26</t>
        </is>
      </c>
    </row>
    <row r="8">
      <c r="A8" t="inlineStr">
        <is>
          <t>Cost of raising it</t>
        </is>
      </c>
      <c r="B8" s="13" t="n">
        <v>12600</v>
      </c>
      <c r="C8" s="13" t="n">
        <v>9300</v>
      </c>
    </row>
    <row r="9">
      <c r="A9" t="inlineStr">
        <is>
          <t>Money raised</t>
        </is>
      </c>
      <c r="B9" s="13" t="n">
        <v>110972</v>
      </c>
      <c r="C9" s="13" t="n">
        <v>88845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4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5" t="inlineStr"/>
      <c r="B15" s="6" t="inlineStr">
        <is>
          <t>Year to date</t>
        </is>
      </c>
    </row>
    <row r="16">
      <c r="A16" t="inlineStr">
        <is>
          <t>Cost, year to date</t>
        </is>
      </c>
      <c r="B16" s="13" t="n">
        <v>135800</v>
      </c>
    </row>
    <row r="17">
      <c r="A17" t="inlineStr">
        <is>
          <t>Raised, year to date</t>
        </is>
      </c>
      <c r="B17" s="13" t="n">
        <v>1038982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4" t="inlineStr">
        <is>
          <t>Cost to raise a dollar, by source, June 2026</t>
        </is>
      </c>
    </row>
    <row r="23">
      <c r="A23" s="12" t="inlineStr">
        <is>
          <t>Fundraising cost ÷ money raised, for each source, in cents</t>
        </is>
      </c>
    </row>
    <row r="24">
      <c r="A24" s="5" t="inlineStr"/>
      <c r="B24" s="6" t="inlineStr">
        <is>
          <t>Jun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70872</v>
      </c>
    </row>
    <row r="27">
      <c r="A27" t="inlineStr">
        <is>
          <t>Donations: cost (donor campaigns)</t>
        </is>
      </c>
      <c r="B27" s="13" t="n">
        <v>5500</v>
      </c>
    </row>
    <row r="28">
      <c r="A28" t="inlineStr">
        <is>
          <t>Donations: raised</t>
        </is>
      </c>
      <c r="B28" s="13" t="n">
        <v>40100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June. </t>
        </is>
      </c>
    </row>
    <row r="32"/>
    <row r="33"/>
    <row r="34">
      <c r="A34" s="4" t="inlineStr">
        <is>
          <t>Cost to raise a dollar, grants, June and May</t>
        </is>
      </c>
    </row>
    <row r="35">
      <c r="A35" s="12" t="inlineStr">
        <is>
          <t>Cost of raising it ÷ money raised, in cents</t>
        </is>
      </c>
    </row>
    <row r="36">
      <c r="A36" s="5" t="inlineStr"/>
      <c r="B36" s="6" t="inlineStr">
        <is>
          <t>Jun 26</t>
        </is>
      </c>
      <c r="C36" s="6" t="inlineStr">
        <is>
          <t>May 26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70872</v>
      </c>
      <c r="C38" s="13" t="n">
        <v>72245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4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5" t="inlineStr"/>
      <c r="B44" s="6" t="inlineStr">
        <is>
          <t>Year to date</t>
        </is>
      </c>
    </row>
    <row r="45">
      <c r="A45" t="inlineStr">
        <is>
          <t>Cost, year to date</t>
        </is>
      </c>
      <c r="B45" s="13" t="n">
        <v>85200</v>
      </c>
    </row>
    <row r="46">
      <c r="A46" t="inlineStr">
        <is>
          <t>Raised, year to date</t>
        </is>
      </c>
      <c r="B46" s="13" t="n">
        <v>770082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4" t="inlineStr">
        <is>
          <t>Cost to raise a dollar, donations, June and May</t>
        </is>
      </c>
    </row>
    <row r="52">
      <c r="A52" s="12" t="inlineStr">
        <is>
          <t>Cost of raising it ÷ money raised, in cents</t>
        </is>
      </c>
    </row>
    <row r="53">
      <c r="A53" s="5" t="inlineStr"/>
      <c r="B53" s="6" t="inlineStr">
        <is>
          <t>Jun 26</t>
        </is>
      </c>
      <c r="C53" s="6" t="inlineStr">
        <is>
          <t>May 26</t>
        </is>
      </c>
    </row>
    <row r="54">
      <c r="A54" t="inlineStr">
        <is>
          <t>Cost of raising it</t>
        </is>
      </c>
      <c r="B54" s="13" t="n">
        <v>5500</v>
      </c>
      <c r="C54" s="13" t="n">
        <v>2200</v>
      </c>
    </row>
    <row r="55">
      <c r="A55" t="inlineStr">
        <is>
          <t>Money raised</t>
        </is>
      </c>
      <c r="B55" s="13" t="n">
        <v>40100</v>
      </c>
      <c r="C55" s="13" t="n">
        <v>16600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4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5" t="inlineStr"/>
      <c r="B61" s="6" t="inlineStr">
        <is>
          <t>Year to date</t>
        </is>
      </c>
    </row>
    <row r="62">
      <c r="A62" t="inlineStr">
        <is>
          <t>Cost, year to date</t>
        </is>
      </c>
      <c r="B62" s="13" t="n">
        <v>32800</v>
      </c>
    </row>
    <row r="63">
      <c r="A63" t="inlineStr">
        <is>
          <t>Raised, year to date</t>
        </is>
      </c>
      <c r="B63" s="13" t="n">
        <v>225900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4" t="inlineStr">
        <is>
          <t>Cost to raise a dollar, fundraising events, June and May</t>
        </is>
      </c>
    </row>
    <row r="69">
      <c r="A69" s="12" t="inlineStr">
        <is>
          <t>Cost of raising it ÷ money raised, in cents</t>
        </is>
      </c>
    </row>
    <row r="70">
      <c r="A70" s="5" t="inlineStr"/>
      <c r="B70" s="6" t="inlineStr">
        <is>
          <t>Jun 26</t>
        </is>
      </c>
      <c r="C70" s="6" t="inlineStr">
        <is>
          <t>May 26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4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5" t="inlineStr"/>
      <c r="B78" s="6" t="inlineStr">
        <is>
          <t>Year to date</t>
        </is>
      </c>
    </row>
    <row r="79">
      <c r="A79" t="inlineStr">
        <is>
          <t>Cost, year to date</t>
        </is>
      </c>
      <c r="B79" s="13" t="n">
        <v>17800</v>
      </c>
    </row>
    <row r="80">
      <c r="A80" t="inlineStr">
        <is>
          <t>Raised, year to date</t>
        </is>
      </c>
      <c r="B80" s="13" t="n">
        <v>43000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June 2026 · Data status: May 2026 locked · Jun 2026 locked · Oct 2026 incomplete (data retrieved 2pm, Tue 6 Oct 2026)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Grant writing</t>
        </is>
      </c>
      <c r="D5" s="6" t="inlineStr">
        <is>
          <t>Donor campaigns</t>
        </is>
      </c>
      <c r="E5" s="6" t="inlineStr">
        <is>
          <t>Event costs</t>
        </is>
      </c>
      <c r="F5" s="6" t="inlineStr">
        <is>
          <t>Grant income</t>
        </is>
      </c>
      <c r="G5" s="6" t="inlineStr">
        <is>
          <t>Donations</t>
        </is>
      </c>
      <c r="H5" s="6" t="inlineStr">
        <is>
          <t>Events</t>
        </is>
      </c>
      <c r="I5" s="6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7100</v>
      </c>
      <c r="D25" s="13" t="n">
        <v>2200</v>
      </c>
      <c r="E25" s="13" t="n">
        <v>0</v>
      </c>
      <c r="F25" s="13" t="n">
        <v>72245</v>
      </c>
      <c r="G25" s="13" t="n">
        <v>16600</v>
      </c>
      <c r="H25" s="13" t="n">
        <v>0</v>
      </c>
      <c r="I25" s="16">
        <f>IF(SUM(F25:H25)=0,"",SUM(C25:E25)/SUM(F25:H25)*100)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3" t="n">
        <v>7100</v>
      </c>
      <c r="D26" s="13" t="n">
        <v>5500</v>
      </c>
      <c r="E26" s="13" t="n">
        <v>0</v>
      </c>
      <c r="F26" s="13" t="n">
        <v>70872</v>
      </c>
      <c r="G26" s="13" t="n">
        <v>40100</v>
      </c>
      <c r="H26" s="13" t="n">
        <v>0</v>
      </c>
      <c r="I26" s="16">
        <f>IF(SUM(F26:H26)=0,"",SUM(C26:E26)/SUM(F26:H26)*100)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2026-10-07T07:37:16Z</dcterms:created>
  <dcterms:modified xmlns:dcterms="http://purl.org/dc/terms/" xmlns:xsi="http://www.w3.org/2001/XMLSchema-instance" xsi:type="dcterms:W3CDTF">2026-10-07T07:37:16Z</dcterms:modified>
</cp:coreProperties>
</file>