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ne_all_fundraising">'Report'!$B$9</definedName>
    <definedName name="Year_to_date_Jul_to_Jun_2026">'Report'!$B$10</definedName>
    <definedName name="June_Grants">'Report'!$B$34</definedName>
    <definedName name="Year_to_date_Jul_to_Jun_2026_2">'Report'!$B$35</definedName>
    <definedName name="June_Donations">'Report'!$B$45</definedName>
    <definedName name="Year_to_date_Jul_to_Jun_2026_3">'Report'!$B$46</definedName>
    <definedName name="June_Fundraising_events">'Report'!$B$56</definedName>
    <definedName name="Year_to_date_Jul_to_Jun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June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'Data'!$A$6:$A$26</f>
            </numRef>
          </cat>
          <val>
            <numRef>
              <f>'Data'!$C$6:$C$26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6" headerRowCount="1">
  <autoFilter ref="A5:I26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June · all fundraising</t>
        </is>
      </c>
      <c r="B9" s="7">
        <f>Workings!B10</f>
        <v/>
      </c>
      <c r="C9" s="8" t="inlineStr">
        <is>
          <t>May 10¢</t>
        </is>
      </c>
    </row>
    <row r="10">
      <c r="A10" t="inlineStr">
        <is>
          <t>Year to date (Jul to Jun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June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14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June cost 11¢ to raise each dollar, against 10¢ in May. This financial year to date it has cost 13¢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June · Grants</t>
        </is>
      </c>
      <c r="B34" s="7">
        <f>Workings!B39</f>
        <v/>
      </c>
      <c r="C34" s="8" t="inlineStr">
        <is>
          <t>May 10¢</t>
        </is>
      </c>
    </row>
    <row r="35">
      <c r="A35" t="inlineStr">
        <is>
          <t>Year to date (Jul to Jun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($85,200 of grant writing and reporting for $770,082).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June · Donations</t>
        </is>
      </c>
      <c r="B45" s="7">
        <f>Workings!B56</f>
        <v/>
      </c>
      <c r="C45" s="8" t="inlineStr">
        <is>
          <t>May 13¢</t>
        </is>
      </c>
    </row>
    <row r="46">
      <c r="A46" t="inlineStr">
        <is>
          <t>Year to date (Jul to Jun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($32,800 of donor campaigns for $225,900).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June · Fundraising events</t>
        </is>
      </c>
      <c r="B56" s="11">
        <f>Workings!B72</f>
        <v/>
      </c>
      <c r="C56" s="8" t="inlineStr">
        <is>
          <t>May none raised</t>
        </is>
      </c>
    </row>
    <row r="57">
      <c r="A57" t="inlineStr">
        <is>
          <t>Year to date (Jul to Jun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June and May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Jun 26</t>
        </is>
      </c>
      <c r="C7" s="6" t="inlineStr">
        <is>
          <t>May 26</t>
        </is>
      </c>
    </row>
    <row r="8">
      <c r="A8" t="inlineStr">
        <is>
          <t>Cost of raising it</t>
        </is>
      </c>
      <c r="B8" s="13" t="n">
        <v>12600</v>
      </c>
      <c r="C8" s="13" t="n">
        <v>9300</v>
      </c>
    </row>
    <row r="9">
      <c r="A9" t="inlineStr">
        <is>
          <t>Money raised</t>
        </is>
      </c>
      <c r="B9" s="13" t="n">
        <v>110972</v>
      </c>
      <c r="C9" s="13" t="n">
        <v>88845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135800</v>
      </c>
    </row>
    <row r="17">
      <c r="A17" t="inlineStr">
        <is>
          <t>Raised, year to date</t>
        </is>
      </c>
      <c r="B17" s="13" t="n">
        <v>1038982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June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Jun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70872</v>
      </c>
    </row>
    <row r="27">
      <c r="A27" t="inlineStr">
        <is>
          <t>Donations: cost (donor campaigns)</t>
        </is>
      </c>
      <c r="B27" s="13" t="n">
        <v>5500</v>
      </c>
    </row>
    <row r="28">
      <c r="A28" t="inlineStr">
        <is>
          <t>Donations: raised</t>
        </is>
      </c>
      <c r="B28" s="13" t="n">
        <v>40100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June. </t>
        </is>
      </c>
    </row>
    <row r="32"/>
    <row r="33"/>
    <row r="34">
      <c r="A34" s="4" t="inlineStr">
        <is>
          <t>Cost to raise a dollar, grants, June and May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Jun 26</t>
        </is>
      </c>
      <c r="C36" s="6" t="inlineStr">
        <is>
          <t>May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70872</v>
      </c>
      <c r="C38" s="13" t="n">
        <v>72245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85200</v>
      </c>
    </row>
    <row r="46">
      <c r="A46" t="inlineStr">
        <is>
          <t>Raised, year to date</t>
        </is>
      </c>
      <c r="B46" s="13" t="n">
        <v>770082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June and May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Jun 26</t>
        </is>
      </c>
      <c r="C53" s="6" t="inlineStr">
        <is>
          <t>May 26</t>
        </is>
      </c>
    </row>
    <row r="54">
      <c r="A54" t="inlineStr">
        <is>
          <t>Cost of raising it</t>
        </is>
      </c>
      <c r="B54" s="13" t="n">
        <v>5500</v>
      </c>
      <c r="C54" s="13" t="n">
        <v>2200</v>
      </c>
    </row>
    <row r="55">
      <c r="A55" t="inlineStr">
        <is>
          <t>Money raised</t>
        </is>
      </c>
      <c r="B55" s="13" t="n">
        <v>40100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32800</v>
      </c>
    </row>
    <row r="63">
      <c r="A63" t="inlineStr">
        <is>
          <t>Raised, year to date</t>
        </is>
      </c>
      <c r="B63" s="13" t="n">
        <v>225900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June and May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Jun 26</t>
        </is>
      </c>
      <c r="C70" s="6" t="inlineStr">
        <is>
          <t>May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