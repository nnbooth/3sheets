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June_all_fundraising">'Report'!$B$10</definedName>
    <definedName name="Year_to_date_Jul_to_Jun_2026">'Report'!$B$11</definedName>
    <definedName name="June_Grants">'Report'!$B$35</definedName>
    <definedName name="Year_to_date_Jul_to_Jun_2026_2">'Report'!$B$36</definedName>
    <definedName name="June_Donations">'Report'!$B$46</definedName>
    <definedName name="Year_to_date_Jul_to_Jun_2026_3">'Report'!$B$47</definedName>
    <definedName name="June_Fundraising_events">'Report'!$B$57</definedName>
    <definedName name="Year_to_date_Jul_to_Jun_2026_4">'Report'!$B$58</definedName>
    <definedName name="_xlnm.Print_Area" localSheetId="0">'Report'!$A$1:$D$67</definedName>
    <definedName name="_xlnm.Print_Area" localSheetId="1">'Workings'!$A$1:$C$82</definedName>
    <definedName name="_xlnm.Print_Titles" localSheetId="2">'Data'!$5:$5</definedName>
    <definedName name="_xlnm.Print_Area" localSheetId="2">'Data'!$A$1:$I$26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9" fillId="0" borderId="0" applyAlignment="1" pivotButton="0" quotePrefix="0" xfId="0">
      <alignment indent="1"/>
    </xf>
    <xf numFmtId="0" fontId="4" fillId="0" borderId="0" pivotButton="0" quotePrefix="0" xfId="0"/>
    <xf numFmtId="0" fontId="10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June 2026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'Report'!$A$15:$A$16</f>
            </numRef>
          </cat>
          <val>
            <numRef>
              <f>'Report'!$B$15:$B$16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Grant writing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 writing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'Data'!$A$6:$A$26</f>
            </numRef>
          </cat>
          <val>
            <numRef>
              <f>'Data'!$C$6:$C$26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raise_Data" displayName="cost_to_raise_Data" ref="A5:I26" headerRowCount="1">
  <autoFilter ref="A5:I26"/>
  <tableColumns count="9">
    <tableColumn id="1" name="Month"/>
    <tableColumn id="2" name="Status"/>
    <tableColumn id="3" name="Grant writing"/>
    <tableColumn id="4" name="Donor campaigns"/>
    <tableColumn id="5" name="Event costs"/>
    <tableColumn id="6" name="Grant income"/>
    <tableColumn id="7" name="Donations"/>
    <tableColumn id="8" name="Events"/>
    <tableColumn id="9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10 Oct 2026, 9:55pm</t>
        </is>
      </c>
    </row>
    <row r="4"/>
    <row r="5" ht="32" customHeight="1">
      <c r="A5" s="3" t="inlineStr">
        <is>
          <t>In short: Each dollar raised cost 11¢ in June, and 13¢ a dollar this financial year to date.</t>
        </is>
      </c>
    </row>
    <row r="6" ht="32" customHeight="1">
      <c r="A6" s="4" t="inlineStr">
        <is>
          <t>What fundraising costs (grant writing, donor campaigns, events) for every dollar it brings in. Pick a source and every number, chart and note follows it.</t>
        </is>
      </c>
    </row>
    <row r="7"/>
    <row r="8">
      <c r="A8" s="5" t="inlineStr">
        <is>
          <t>Source: All fundraising</t>
        </is>
      </c>
    </row>
    <row r="9">
      <c r="A9" s="6" t="inlineStr">
        <is>
          <t>Headline number</t>
        </is>
      </c>
      <c r="B9" s="7" t="inlineStr">
        <is>
          <t>Value</t>
        </is>
      </c>
      <c r="C9" s="7" t="inlineStr">
        <is>
          <t>Compared with</t>
        </is>
      </c>
    </row>
    <row r="10">
      <c r="A10" t="inlineStr">
        <is>
          <t>June · all fundraising</t>
        </is>
      </c>
      <c r="B10" s="8">
        <f>Workings!B10</f>
        <v/>
      </c>
      <c r="C10" s="9" t="inlineStr">
        <is>
          <t>May 10¢</t>
        </is>
      </c>
    </row>
    <row r="11">
      <c r="A11" t="inlineStr">
        <is>
          <t>Year to date (Jul to Jun 2026)</t>
        </is>
      </c>
      <c r="B11" s="8">
        <f>Workings!B18</f>
        <v/>
      </c>
      <c r="C11" s="9" t="inlineStr">
        <is>
          <t>same period last year: not in the data</t>
        </is>
      </c>
    </row>
    <row r="12"/>
    <row r="13">
      <c r="A13" s="10" t="inlineStr">
        <is>
          <t>Cost to raise a dollar, by source, June 2026 (cents)</t>
        </is>
      </c>
    </row>
    <row r="14">
      <c r="A14" s="6" t="inlineStr"/>
      <c r="B14" s="7" t="inlineStr">
        <is>
          <t>Cost to raise a dollar</t>
        </is>
      </c>
    </row>
    <row r="15">
      <c r="A15" t="inlineStr">
        <is>
          <t>Grants</t>
        </is>
      </c>
      <c r="B15" s="8" t="n">
        <v>10</v>
      </c>
    </row>
    <row r="16">
      <c r="A16" t="inlineStr">
        <is>
          <t>Donations</t>
        </is>
      </c>
      <c r="B16" s="8" t="n">
        <v>14</v>
      </c>
    </row>
    <row r="17"/>
    <row r="18"/>
    <row r="19"/>
    <row r="20"/>
    <row r="21"/>
    <row r="22"/>
    <row r="23"/>
    <row r="24"/>
    <row r="25"/>
    <row r="26"/>
    <row r="27">
      <c r="A27" s="11" t="inlineStr">
        <is>
          <t>What it shows</t>
        </is>
      </c>
    </row>
    <row r="28" ht="30" customHeight="1">
      <c r="A28" s="4" t="inlineStr">
        <is>
          <t>June cost 11¢ to raise each dollar, against 10¢ in May. This financial year to date it has cost 13¢ a dollar.</t>
        </is>
      </c>
    </row>
    <row r="29"/>
    <row r="30">
      <c r="A30" s="11" t="inlineStr">
        <is>
          <t>What you'd do about it</t>
        </is>
      </c>
    </row>
    <row r="31" ht="30" customHeight="1">
      <c r="A31" s="4" t="inlineStr">
        <is>
          <t>The year-to-date figure is steadier than single months: events make some months jump. Pick a source above to see which one moves it.</t>
        </is>
      </c>
    </row>
    <row r="32"/>
    <row r="33">
      <c r="A33" s="5" t="inlineStr">
        <is>
          <t>Source: Grants</t>
        </is>
      </c>
    </row>
    <row r="34">
      <c r="A34" s="6" t="inlineStr">
        <is>
          <t>Headline number</t>
        </is>
      </c>
      <c r="B34" s="7" t="inlineStr">
        <is>
          <t>Value</t>
        </is>
      </c>
      <c r="C34" s="7" t="inlineStr">
        <is>
          <t>Compared with</t>
        </is>
      </c>
    </row>
    <row r="35">
      <c r="A35" t="inlineStr">
        <is>
          <t>June · Grants</t>
        </is>
      </c>
      <c r="B35" s="8">
        <f>Workings!B39</f>
        <v/>
      </c>
      <c r="C35" s="9" t="inlineStr">
        <is>
          <t>May 10¢</t>
        </is>
      </c>
    </row>
    <row r="36">
      <c r="A36" t="inlineStr">
        <is>
          <t>Year to date (Jul to Jun 2026)</t>
        </is>
      </c>
      <c r="B36" s="8">
        <f>Workings!B47</f>
        <v/>
      </c>
      <c r="C36" s="9" t="inlineStr">
        <is>
          <t>same period last year: not in the data</t>
        </is>
      </c>
    </row>
    <row r="37"/>
    <row r="38">
      <c r="A38" s="11" t="inlineStr">
        <is>
          <t>What it shows</t>
        </is>
      </c>
    </row>
    <row r="39" ht="30" customHeight="1">
      <c r="A39" s="4" t="inlineStr">
        <is>
          <t>Grants cost 11¢ to raise each dollar this financial year to date ($85,200 of grant writing and reporting for $770,082).</t>
        </is>
      </c>
    </row>
    <row r="40"/>
    <row r="41">
      <c r="A41" s="11" t="inlineStr">
        <is>
          <t>What you'd do about it</t>
        </is>
      </c>
    </row>
    <row r="42" ht="30" customHeight="1">
      <c r="A42" s="4" t="inlineStr">
        <is>
          <t>Usually the cheapest money to raise, as long as the time that goes into applications and acquittals is protected.</t>
        </is>
      </c>
    </row>
    <row r="43"/>
    <row r="44">
      <c r="A44" s="5" t="inlineStr">
        <is>
          <t>Source: Donations</t>
        </is>
      </c>
    </row>
    <row r="45">
      <c r="A45" s="6" t="inlineStr">
        <is>
          <t>Headline number</t>
        </is>
      </c>
      <c r="B45" s="7" t="inlineStr">
        <is>
          <t>Value</t>
        </is>
      </c>
      <c r="C45" s="7" t="inlineStr">
        <is>
          <t>Compared with</t>
        </is>
      </c>
    </row>
    <row r="46">
      <c r="A46" t="inlineStr">
        <is>
          <t>June · Donations</t>
        </is>
      </c>
      <c r="B46" s="8">
        <f>Workings!B56</f>
        <v/>
      </c>
      <c r="C46" s="9" t="inlineStr">
        <is>
          <t>May 13¢</t>
        </is>
      </c>
    </row>
    <row r="47">
      <c r="A47" t="inlineStr">
        <is>
          <t>Year to date (Jul to Jun 2026)</t>
        </is>
      </c>
      <c r="B47" s="8">
        <f>Workings!B64</f>
        <v/>
      </c>
      <c r="C47" s="9" t="inlineStr">
        <is>
          <t>same period last year: not in the data</t>
        </is>
      </c>
    </row>
    <row r="48"/>
    <row r="49">
      <c r="A49" s="11" t="inlineStr">
        <is>
          <t>What it shows</t>
        </is>
      </c>
    </row>
    <row r="50" ht="30" customHeight="1">
      <c r="A50" s="4" t="inlineStr">
        <is>
          <t>Donations cost 15¢ to raise each dollar this financial year to date ($32,800 of donor campaigns for $225,900).</t>
        </is>
      </c>
    </row>
    <row r="51"/>
    <row r="52">
      <c r="A52" s="11" t="inlineStr">
        <is>
          <t>What you'd do about it</t>
        </is>
      </c>
    </row>
    <row r="53" ht="30" customHeight="1">
      <c r="A53" s="4" t="inlineStr">
        <is>
          <t>Steady and cheap, and untied: the money that builds reserves.</t>
        </is>
      </c>
    </row>
    <row r="54"/>
    <row r="55">
      <c r="A55" s="5" t="inlineStr">
        <is>
          <t>Source: Fundraising events</t>
        </is>
      </c>
    </row>
    <row r="56">
      <c r="A56" s="6" t="inlineStr">
        <is>
          <t>Headline number</t>
        </is>
      </c>
      <c r="B56" s="7" t="inlineStr">
        <is>
          <t>Value</t>
        </is>
      </c>
      <c r="C56" s="7" t="inlineStr">
        <is>
          <t>Compared with</t>
        </is>
      </c>
    </row>
    <row r="57">
      <c r="A57" t="inlineStr">
        <is>
          <t>June · Fundraising events</t>
        </is>
      </c>
      <c r="B57" t="inlineStr">
        <is>
          <t>–</t>
        </is>
      </c>
      <c r="C57" s="9" t="inlineStr">
        <is>
          <t>May none raised</t>
        </is>
      </c>
    </row>
    <row r="58">
      <c r="A58" t="inlineStr">
        <is>
          <t>Year to date (Jul to Jun 2026)</t>
        </is>
      </c>
      <c r="B58" s="8">
        <f>Workings!B81</f>
        <v/>
      </c>
      <c r="C58" s="9" t="inlineStr">
        <is>
          <t>same period last year: not in the data</t>
        </is>
      </c>
    </row>
    <row r="59"/>
    <row r="60">
      <c r="A60" s="11" t="inlineStr">
        <is>
          <t>What it shows</t>
        </is>
      </c>
    </row>
    <row r="61" ht="30" customHeight="1">
      <c r="A61" s="4" t="inlineStr">
        <is>
          <t>Fundraising events cost 41¢ to raise each dollar this financial year to date ($17,800 of event costs for $43,000).</t>
        </is>
      </c>
    </row>
    <row r="62"/>
    <row r="63">
      <c r="A63" s="11" t="inlineStr">
        <is>
          <t>What you'd do about it</t>
        </is>
      </c>
    </row>
    <row r="64" ht="30" customHeight="1">
      <c r="A64" s="4" t="inlineStr">
        <is>
          <t>Usually the dearest money to raise: events are worth counting for what else they bring too (new donors, profile).</t>
        </is>
      </c>
    </row>
    <row r="65"/>
    <row r="66">
      <c r="A66" s="5" t="inlineStr">
        <is>
          <t>Every source at once</t>
        </is>
      </c>
    </row>
    <row r="67">
      <c r="A67" s="12" t="inlineStr">
        <is>
          <t>Cost to raise a dollar, by month (cents): every month is on the Data sheet.</t>
        </is>
      </c>
    </row>
    <row r="68"/>
    <row r="69"/>
  </sheetData>
  <mergeCells count="10">
    <mergeCell ref="A5:D5"/>
    <mergeCell ref="A31:D31"/>
    <mergeCell ref="A42:D42"/>
    <mergeCell ref="A6:D6"/>
    <mergeCell ref="A53:D53"/>
    <mergeCell ref="A61:D61"/>
    <mergeCell ref="A50:D50"/>
    <mergeCell ref="A39:D39"/>
    <mergeCell ref="A64:D64"/>
    <mergeCell ref="A28:D28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6" min="0" max="16383" man="1"/>
    <brk id="48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10 Oct 2026, 9:55pm</t>
        </is>
      </c>
    </row>
    <row r="4"/>
    <row r="5">
      <c r="A5" s="5" t="inlineStr">
        <is>
          <t>Cost to raise a dollar, all fundraising, June and May</t>
        </is>
      </c>
    </row>
    <row r="6">
      <c r="A6" s="12" t="inlineStr">
        <is>
          <t>Cost of raising it ÷ money raised, in cents</t>
        </is>
      </c>
    </row>
    <row r="7">
      <c r="A7" s="6" t="inlineStr"/>
      <c r="B7" s="7" t="inlineStr">
        <is>
          <t>Jun 26</t>
        </is>
      </c>
      <c r="C7" s="7" t="inlineStr">
        <is>
          <t>May 26</t>
        </is>
      </c>
    </row>
    <row r="8">
      <c r="A8" t="inlineStr">
        <is>
          <t>Cost of raising it</t>
        </is>
      </c>
      <c r="B8" s="13" t="n">
        <v>12600</v>
      </c>
      <c r="C8" s="13" t="n">
        <v>9300</v>
      </c>
    </row>
    <row r="9">
      <c r="A9" t="inlineStr">
        <is>
          <t>Money raised</t>
        </is>
      </c>
      <c r="B9" s="13" t="n">
        <v>110972</v>
      </c>
      <c r="C9" s="13" t="n">
        <v>88845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5" t="inlineStr">
        <is>
          <t>Cost to raise a dollar, all fundraising, year to date</t>
        </is>
      </c>
    </row>
    <row r="14">
      <c r="A14" s="12" t="inlineStr">
        <is>
          <t>Cost ÷ money raised, in cents</t>
        </is>
      </c>
    </row>
    <row r="15">
      <c r="A15" s="6" t="inlineStr"/>
      <c r="B15" s="7" t="inlineStr">
        <is>
          <t>Year to date</t>
        </is>
      </c>
    </row>
    <row r="16">
      <c r="A16" t="inlineStr">
        <is>
          <t>Cost, year to date</t>
        </is>
      </c>
      <c r="B16" s="13" t="n">
        <v>135800</v>
      </c>
    </row>
    <row r="17">
      <c r="A17" t="inlineStr">
        <is>
          <t>Raised, year to date</t>
        </is>
      </c>
      <c r="B17" s="13" t="n">
        <v>1038982</v>
      </c>
    </row>
    <row r="18">
      <c r="A18" s="14" t="inlineStr">
        <is>
          <t>Cents, year to date</t>
        </is>
      </c>
      <c r="B18" s="15">
        <f>B16/B17*100</f>
        <v/>
      </c>
    </row>
    <row r="19">
      <c r="A19" s="2" t="inlineStr">
        <is>
          <t>Same period last year: Not available: the data starts October 2024.</t>
        </is>
      </c>
    </row>
    <row r="20"/>
    <row r="21"/>
    <row r="22">
      <c r="A22" s="5" t="inlineStr">
        <is>
          <t>Cost to raise a dollar, by source, June 2026</t>
        </is>
      </c>
    </row>
    <row r="23">
      <c r="A23" s="12" t="inlineStr">
        <is>
          <t>Fundraising cost ÷ money raised, for each source, in cents</t>
        </is>
      </c>
    </row>
    <row r="24">
      <c r="A24" s="6" t="inlineStr"/>
      <c r="B24" s="7" t="inlineStr">
        <is>
          <t>Jun 2026</t>
        </is>
      </c>
    </row>
    <row r="25">
      <c r="A25" t="inlineStr">
        <is>
          <t>Grants: cost (grant writing and reporting)</t>
        </is>
      </c>
      <c r="B25" s="13" t="n">
        <v>7100</v>
      </c>
    </row>
    <row r="26">
      <c r="A26" t="inlineStr">
        <is>
          <t>Grants: raised</t>
        </is>
      </c>
      <c r="B26" s="13" t="n">
        <v>70872</v>
      </c>
    </row>
    <row r="27">
      <c r="A27" t="inlineStr">
        <is>
          <t>Donations: cost (donor campaigns)</t>
        </is>
      </c>
      <c r="B27" s="13" t="n">
        <v>5500</v>
      </c>
    </row>
    <row r="28">
      <c r="A28" t="inlineStr">
        <is>
          <t>Donations: raised</t>
        </is>
      </c>
      <c r="B28" s="13" t="n">
        <v>40100</v>
      </c>
    </row>
    <row r="29">
      <c r="A29" t="inlineStr">
        <is>
          <t>Grants: cost per dollar raised</t>
        </is>
      </c>
      <c r="B29" s="16">
        <f>B25/B26*100</f>
        <v/>
      </c>
    </row>
    <row r="30">
      <c r="A30" s="14" t="inlineStr">
        <is>
          <t>Donations: cost per dollar raised</t>
        </is>
      </c>
      <c r="B30" s="15">
        <f>B27/B28*100</f>
        <v/>
      </c>
    </row>
    <row r="31">
      <c r="A31" s="2" t="inlineStr">
        <is>
          <t xml:space="preserve">Nothing raised from fundraising events in June. </t>
        </is>
      </c>
    </row>
    <row r="32"/>
    <row r="33"/>
    <row r="34">
      <c r="A34" s="5" t="inlineStr">
        <is>
          <t>Cost to raise a dollar, grants, June and May</t>
        </is>
      </c>
    </row>
    <row r="35">
      <c r="A35" s="12" t="inlineStr">
        <is>
          <t>Cost of raising it ÷ money raised, in cents</t>
        </is>
      </c>
    </row>
    <row r="36">
      <c r="A36" s="6" t="inlineStr"/>
      <c r="B36" s="7" t="inlineStr">
        <is>
          <t>Jun 26</t>
        </is>
      </c>
      <c r="C36" s="7" t="inlineStr">
        <is>
          <t>May 26</t>
        </is>
      </c>
    </row>
    <row r="37">
      <c r="A37" t="inlineStr">
        <is>
          <t>Cost of raising it</t>
        </is>
      </c>
      <c r="B37" s="13" t="n">
        <v>7100</v>
      </c>
      <c r="C37" s="13" t="n">
        <v>7100</v>
      </c>
    </row>
    <row r="38">
      <c r="A38" t="inlineStr">
        <is>
          <t>Money raised</t>
        </is>
      </c>
      <c r="B38" s="13" t="n">
        <v>70872</v>
      </c>
      <c r="C38" s="13" t="n">
        <v>72245</v>
      </c>
    </row>
    <row r="39">
      <c r="A39" s="14" t="inlineStr">
        <is>
          <t>Cents per dollar</t>
        </is>
      </c>
      <c r="B39" s="15">
        <f>B37/B38*100</f>
        <v/>
      </c>
      <c r="C39" s="15">
        <f>C37/C38*100</f>
        <v/>
      </c>
    </row>
    <row r="40"/>
    <row r="41"/>
    <row r="42">
      <c r="A42" s="5" t="inlineStr">
        <is>
          <t>Cost to raise a dollar, grants, year to date</t>
        </is>
      </c>
    </row>
    <row r="43">
      <c r="A43" s="12" t="inlineStr">
        <is>
          <t>Cost ÷ money raised, in cents</t>
        </is>
      </c>
    </row>
    <row r="44">
      <c r="A44" s="6" t="inlineStr"/>
      <c r="B44" s="7" t="inlineStr">
        <is>
          <t>Year to date</t>
        </is>
      </c>
    </row>
    <row r="45">
      <c r="A45" t="inlineStr">
        <is>
          <t>Cost, year to date</t>
        </is>
      </c>
      <c r="B45" s="13" t="n">
        <v>85200</v>
      </c>
    </row>
    <row r="46">
      <c r="A46" t="inlineStr">
        <is>
          <t>Raised, year to date</t>
        </is>
      </c>
      <c r="B46" s="13" t="n">
        <v>770082</v>
      </c>
    </row>
    <row r="47">
      <c r="A47" s="14" t="inlineStr">
        <is>
          <t>Cents, year to date</t>
        </is>
      </c>
      <c r="B47" s="15">
        <f>B45/B46*100</f>
        <v/>
      </c>
    </row>
    <row r="48">
      <c r="A48" s="2" t="inlineStr">
        <is>
          <t>Same period last year: Not available: the data starts October 2024.</t>
        </is>
      </c>
    </row>
    <row r="49"/>
    <row r="50"/>
    <row r="51">
      <c r="A51" s="5" t="inlineStr">
        <is>
          <t>Cost to raise a dollar, donations, June and May</t>
        </is>
      </c>
    </row>
    <row r="52">
      <c r="A52" s="12" t="inlineStr">
        <is>
          <t>Cost of raising it ÷ money raised, in cents</t>
        </is>
      </c>
    </row>
    <row r="53">
      <c r="A53" s="6" t="inlineStr"/>
      <c r="B53" s="7" t="inlineStr">
        <is>
          <t>Jun 26</t>
        </is>
      </c>
      <c r="C53" s="7" t="inlineStr">
        <is>
          <t>May 26</t>
        </is>
      </c>
    </row>
    <row r="54">
      <c r="A54" t="inlineStr">
        <is>
          <t>Cost of raising it</t>
        </is>
      </c>
      <c r="B54" s="13" t="n">
        <v>5500</v>
      </c>
      <c r="C54" s="13" t="n">
        <v>2200</v>
      </c>
    </row>
    <row r="55">
      <c r="A55" t="inlineStr">
        <is>
          <t>Money raised</t>
        </is>
      </c>
      <c r="B55" s="13" t="n">
        <v>40100</v>
      </c>
      <c r="C55" s="13" t="n">
        <v>16600</v>
      </c>
    </row>
    <row r="56">
      <c r="A56" s="14" t="inlineStr">
        <is>
          <t>Cents per dollar</t>
        </is>
      </c>
      <c r="B56" s="15">
        <f>B54/B55*100</f>
        <v/>
      </c>
      <c r="C56" s="15">
        <f>C54/C55*100</f>
        <v/>
      </c>
    </row>
    <row r="57"/>
    <row r="58"/>
    <row r="59">
      <c r="A59" s="5" t="inlineStr">
        <is>
          <t>Cost to raise a dollar, donations, year to date</t>
        </is>
      </c>
    </row>
    <row r="60">
      <c r="A60" s="12" t="inlineStr">
        <is>
          <t>Cost ÷ money raised, in cents</t>
        </is>
      </c>
    </row>
    <row r="61">
      <c r="A61" s="6" t="inlineStr"/>
      <c r="B61" s="7" t="inlineStr">
        <is>
          <t>Year to date</t>
        </is>
      </c>
    </row>
    <row r="62">
      <c r="A62" t="inlineStr">
        <is>
          <t>Cost, year to date</t>
        </is>
      </c>
      <c r="B62" s="13" t="n">
        <v>32800</v>
      </c>
    </row>
    <row r="63">
      <c r="A63" t="inlineStr">
        <is>
          <t>Raised, year to date</t>
        </is>
      </c>
      <c r="B63" s="13" t="n">
        <v>225900</v>
      </c>
    </row>
    <row r="64">
      <c r="A64" s="14" t="inlineStr">
        <is>
          <t>Cents, year to date</t>
        </is>
      </c>
      <c r="B64" s="15">
        <f>B62/B63*100</f>
        <v/>
      </c>
    </row>
    <row r="65">
      <c r="A65" s="2" t="inlineStr">
        <is>
          <t>Same period last year: Not available: the data starts October 2024.</t>
        </is>
      </c>
    </row>
    <row r="66"/>
    <row r="67"/>
    <row r="68">
      <c r="A68" s="5" t="inlineStr">
        <is>
          <t>Cost to raise a dollar, fundraising events, June and May</t>
        </is>
      </c>
    </row>
    <row r="69">
      <c r="A69" s="12" t="inlineStr">
        <is>
          <t>Cost of raising it ÷ money raised, in cents</t>
        </is>
      </c>
    </row>
    <row r="70">
      <c r="A70" s="6" t="inlineStr"/>
      <c r="B70" s="7" t="inlineStr">
        <is>
          <t>Jun 26</t>
        </is>
      </c>
      <c r="C70" s="7" t="inlineStr">
        <is>
          <t>May 26</t>
        </is>
      </c>
    </row>
    <row r="71">
      <c r="A71" t="inlineStr">
        <is>
          <t>Cost of raising it</t>
        </is>
      </c>
      <c r="B71" s="13" t="n">
        <v>0</v>
      </c>
      <c r="C71" s="13" t="n">
        <v>0</v>
      </c>
    </row>
    <row r="72">
      <c r="A72" s="14" t="inlineStr">
        <is>
          <t>Money raised</t>
        </is>
      </c>
      <c r="B72" s="17" t="n">
        <v>0</v>
      </c>
      <c r="C72" s="17" t="n">
        <v>0</v>
      </c>
    </row>
    <row r="73">
      <c r="A73" s="2" t="inlineStr">
        <is>
          <t>Nothing raised in one of the months, so there's no cost per dollar for it.</t>
        </is>
      </c>
    </row>
    <row r="74"/>
    <row r="75"/>
    <row r="76">
      <c r="A76" s="5" t="inlineStr">
        <is>
          <t>Cost to raise a dollar, fundraising events, year to date</t>
        </is>
      </c>
    </row>
    <row r="77">
      <c r="A77" s="12" t="inlineStr">
        <is>
          <t>Cost ÷ money raised, in cents</t>
        </is>
      </c>
    </row>
    <row r="78">
      <c r="A78" s="6" t="inlineStr"/>
      <c r="B78" s="7" t="inlineStr">
        <is>
          <t>Year to date</t>
        </is>
      </c>
    </row>
    <row r="79">
      <c r="A79" t="inlineStr">
        <is>
          <t>Cost, year to date</t>
        </is>
      </c>
      <c r="B79" s="13" t="n">
        <v>17800</v>
      </c>
    </row>
    <row r="80">
      <c r="A80" t="inlineStr">
        <is>
          <t>Raised, year to date</t>
        </is>
      </c>
      <c r="B80" s="13" t="n">
        <v>43000</v>
      </c>
    </row>
    <row r="81">
      <c r="A81" s="14" t="inlineStr">
        <is>
          <t>Cents, year to date</t>
        </is>
      </c>
      <c r="B81" s="15">
        <f>B79/B80*100</f>
        <v/>
      </c>
    </row>
    <row r="82">
      <c r="A82" s="2" t="inlineStr">
        <is>
          <t>Same period last year: Not available: the data starts October 2024.</t>
        </is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1" min="0" max="16383" man="1"/>
    <brk id="50" min="0" max="16383" man="1"/>
    <brk id="75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10 Oct 2026, 9:55pm</t>
        </is>
      </c>
    </row>
    <row r="4"/>
    <row r="5">
      <c r="A5" s="6" t="inlineStr">
        <is>
          <t>Month</t>
        </is>
      </c>
      <c r="B5" s="7" t="inlineStr">
        <is>
          <t>Status</t>
        </is>
      </c>
      <c r="C5" s="7" t="inlineStr">
        <is>
          <t>Grant writing</t>
        </is>
      </c>
      <c r="D5" s="7" t="inlineStr">
        <is>
          <t>Donor campaigns</t>
        </is>
      </c>
      <c r="E5" s="7" t="inlineStr">
        <is>
          <t>Event costs</t>
        </is>
      </c>
      <c r="F5" s="7" t="inlineStr">
        <is>
          <t>Grant income</t>
        </is>
      </c>
      <c r="G5" s="7" t="inlineStr">
        <is>
          <t>Donations</t>
        </is>
      </c>
      <c r="H5" s="7" t="inlineStr">
        <is>
          <t>Events</t>
        </is>
      </c>
      <c r="I5" s="7" t="inlineStr">
        <is>
          <t>Cents per $1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7100</v>
      </c>
      <c r="D19" s="13" t="n">
        <v>3100</v>
      </c>
      <c r="E19" s="13" t="n">
        <v>0</v>
      </c>
      <c r="F19" s="13" t="n">
        <v>70164</v>
      </c>
      <c r="G19" s="13" t="n">
        <v>18700</v>
      </c>
      <c r="H19" s="13" t="n">
        <v>0</v>
      </c>
      <c r="I19" s="16">
        <f>IF(SUM(F19:H19)=0,"",SUM(C19:E19)/SUM(F19:H19)*100)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7100</v>
      </c>
      <c r="D20" s="13" t="n">
        <v>4400</v>
      </c>
      <c r="E20" s="13" t="n">
        <v>2600</v>
      </c>
      <c r="F20" s="13" t="n">
        <v>68793</v>
      </c>
      <c r="G20" s="13" t="n">
        <v>26100</v>
      </c>
      <c r="H20" s="13" t="n">
        <v>6200</v>
      </c>
      <c r="I20" s="16">
        <f>IF(SUM(F20:H20)=0,"",SUM(C20:E20)/SUM(F20:H20)*100)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7100</v>
      </c>
      <c r="D21" s="13" t="n">
        <v>2200</v>
      </c>
      <c r="E21" s="13" t="n">
        <v>0</v>
      </c>
      <c r="F21" s="13" t="n">
        <v>59785</v>
      </c>
      <c r="G21" s="13" t="n">
        <v>13100</v>
      </c>
      <c r="H21" s="13" t="n">
        <v>0</v>
      </c>
      <c r="I21" s="16">
        <f>IF(SUM(F21:H21)=0,"",SUM(C21:E21)/SUM(F21:H21)*100)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3" t="n">
        <v>7100</v>
      </c>
      <c r="D22" s="13" t="n">
        <v>2200</v>
      </c>
      <c r="E22" s="13" t="n">
        <v>0</v>
      </c>
      <c r="F22" s="13" t="n">
        <v>55759</v>
      </c>
      <c r="G22" s="13" t="n">
        <v>16400</v>
      </c>
      <c r="H22" s="13" t="n">
        <v>0</v>
      </c>
      <c r="I22" s="16">
        <f>IF(SUM(F22:H22)=0,"",SUM(C22:E22)/SUM(F22:H22)*100)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3" t="n">
        <v>7100</v>
      </c>
      <c r="D23" s="13" t="n">
        <v>2200</v>
      </c>
      <c r="E23" s="13" t="n">
        <v>0</v>
      </c>
      <c r="F23" s="13" t="n">
        <v>53806</v>
      </c>
      <c r="G23" s="13" t="n">
        <v>16500</v>
      </c>
      <c r="H23" s="13" t="n">
        <v>0</v>
      </c>
      <c r="I23" s="16">
        <f>IF(SUM(F23:H23)=0,"",SUM(C23:E23)/SUM(F23:H23)*100)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3" t="n">
        <v>7100</v>
      </c>
      <c r="D24" s="13" t="n">
        <v>2200</v>
      </c>
      <c r="E24" s="13" t="n">
        <v>0</v>
      </c>
      <c r="F24" s="13" t="n">
        <v>66729</v>
      </c>
      <c r="G24" s="13" t="n">
        <v>16600</v>
      </c>
      <c r="H24" s="13" t="n">
        <v>0</v>
      </c>
      <c r="I24" s="16">
        <f>IF(SUM(F24:H24)=0,"",SUM(C24:E24)/SUM(F24:H24)*100)</f>
        <v/>
      </c>
    </row>
    <row r="25">
      <c r="A25" s="18" t="inlineStr">
        <is>
          <t>May 26</t>
        </is>
      </c>
      <c r="B25" s="18" t="inlineStr">
        <is>
          <t>Locked</t>
        </is>
      </c>
      <c r="C25" s="13" t="n">
        <v>7100</v>
      </c>
      <c r="D25" s="13" t="n">
        <v>2200</v>
      </c>
      <c r="E25" s="13" t="n">
        <v>0</v>
      </c>
      <c r="F25" s="13" t="n">
        <v>72245</v>
      </c>
      <c r="G25" s="13" t="n">
        <v>16600</v>
      </c>
      <c r="H25" s="13" t="n">
        <v>0</v>
      </c>
      <c r="I25" s="16">
        <f>IF(SUM(F25:H25)=0,"",SUM(C25:E25)/SUM(F25:H25)*100)</f>
        <v/>
      </c>
    </row>
    <row r="26">
      <c r="A26" s="18" t="inlineStr">
        <is>
          <t>Jun 26</t>
        </is>
      </c>
      <c r="B26" s="18" t="inlineStr">
        <is>
          <t>Locked</t>
        </is>
      </c>
      <c r="C26" s="13" t="n">
        <v>7100</v>
      </c>
      <c r="D26" s="13" t="n">
        <v>5500</v>
      </c>
      <c r="E26" s="13" t="n">
        <v>0</v>
      </c>
      <c r="F26" s="13" t="n">
        <v>70872</v>
      </c>
      <c r="G26" s="13" t="n">
        <v>40100</v>
      </c>
      <c r="H26" s="13" t="n">
        <v>0</v>
      </c>
      <c r="I26" s="16">
        <f>IF(SUM(F26:H26)=0,"",SUM(C26:E26)/SUM(F26:H26)*100)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10 Oct 2026, 9:55pm&amp;R&amp;"Roboto,Regular"&amp;8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2026-10-10T11:56:57Z</dcterms:created>
  <dcterms:modified xmlns:dcterms="http://purl.org/dc/terms/" xmlns:xsi="http://www.w3.org/2001/XMLSchema-instance" xsi:type="dcterms:W3CDTF">2026-10-10T11:56:57Z</dcterms:modified>
</cp:coreProperties>
</file>