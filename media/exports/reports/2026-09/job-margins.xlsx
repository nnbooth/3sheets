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7"/>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August 41.1%</t>
        </is>
      </c>
    </row>
    <row r="16"/>
    <row r="17">
      <c r="A17" s="10" t="inlineStr">
        <is>
          <t>Job gross margin by type of job, September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September maintenance contracts made a 59.5% job gross margin, installations made a 27.0% job gross margin, call-outs and repairs made a 43.9%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27.0%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September · Maintenance contracts</t>
        </is>
      </c>
      <c r="B31" s="8">
        <f>Workings!B64</f>
        <v/>
      </c>
      <c r="C31" s="9" t="inlineStr">
        <is>
          <t>August 59.5%</t>
        </is>
      </c>
    </row>
    <row r="32"/>
    <row r="33">
      <c r="A33" s="10" t="inlineStr">
        <is>
          <t>Job gross margin on each maintenance contract, September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September · Installations</t>
        </is>
      </c>
      <c r="B58" s="8">
        <f>Workings!B255</f>
        <v/>
      </c>
      <c r="C58" s="9" t="inlineStr">
        <is>
          <t>August 33.6%</t>
        </is>
      </c>
    </row>
    <row r="59"/>
    <row r="60">
      <c r="A60" s="10" t="inlineStr">
        <is>
          <t>Job gross margin on each installation invoiced in September 2026</t>
        </is>
      </c>
    </row>
    <row r="61">
      <c r="A61" s="6" t="inlineStr"/>
      <c r="B61" s="7" t="inlineStr">
        <is>
          <t>Gross margin %</t>
        </is>
      </c>
      <c r="C61" s="7" t="inlineStr">
        <is>
          <t>Gross margin $</t>
        </is>
      </c>
    </row>
    <row r="62">
      <c r="A62" t="inlineStr">
        <is>
          <t>Bulimba EV chargers</t>
        </is>
      </c>
      <c r="B62" s="8">
        <f>Workings!B268</f>
        <v/>
      </c>
      <c r="C62" s="11">
        <f>Workings!B267</f>
        <v/>
      </c>
    </row>
    <row r="63">
      <c r="A63" t="inlineStr">
        <is>
          <t>Milton office LED lighting</t>
        </is>
      </c>
      <c r="B63" s="8">
        <f>Workings!B281</f>
        <v/>
      </c>
      <c r="C63" s="11">
        <f>Workings!B280</f>
        <v/>
      </c>
    </row>
    <row r="64">
      <c r="A64" t="inlineStr">
        <is>
          <t>Chermside clinic cabling</t>
        </is>
      </c>
      <c r="B64" s="8">
        <f>Workings!B294</f>
        <v/>
      </c>
      <c r="C64" s="11">
        <f>Workings!B293</f>
        <v/>
      </c>
    </row>
    <row r="65">
      <c r="A65" t="inlineStr">
        <is>
          <t>West End cafe air-con</t>
        </is>
      </c>
      <c r="B65" s="8">
        <f>Workings!B307</f>
        <v/>
      </c>
      <c r="C65" s="11">
        <f>Workings!B306</f>
        <v/>
      </c>
    </row>
    <row r="66">
      <c r="A66" t="inlineStr">
        <is>
          <t>Carindale solar and battery</t>
        </is>
      </c>
      <c r="B66" s="8">
        <f>Workings!B320</f>
        <v/>
      </c>
      <c r="C66" s="11">
        <f>Workings!B319</f>
        <v/>
      </c>
    </row>
    <row r="67">
      <c r="A67" t="inlineStr">
        <is>
          <t>Wacol warehouse switchboard</t>
        </is>
      </c>
      <c r="B67" s="8">
        <f>Workings!B333</f>
        <v/>
      </c>
      <c r="C67" s="11">
        <f>Workings!B332</f>
        <v/>
      </c>
    </row>
    <row r="68"/>
    <row r="69">
      <c r="A69" s="4" t="inlineStr">
        <is>
          <t>What it shows</t>
        </is>
      </c>
    </row>
    <row r="70" ht="60" customHeight="1">
      <c r="A70"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71"/>
    <row r="72">
      <c r="A72" s="4" t="inlineStr">
        <is>
          <t>What you'd do about it</t>
        </is>
      </c>
    </row>
    <row r="73" ht="30" customHeight="1">
      <c r="A73" s="3" t="inlineStr">
        <is>
          <t>Below the 31.1% overheads need: Carindale solar and battery (26.9%), Wacol warehouse switchboard (13.5%). Most profitable: Bulimba EV chargers (45.2%).</t>
        </is>
      </c>
    </row>
    <row r="74"/>
    <row r="75">
      <c r="A75" s="5" t="inlineStr">
        <is>
          <t>Type of job: Call-outs and repairs</t>
        </is>
      </c>
    </row>
    <row r="76">
      <c r="A76" s="6" t="inlineStr">
        <is>
          <t>Headline number</t>
        </is>
      </c>
      <c r="B76" s="7" t="inlineStr">
        <is>
          <t>Value</t>
        </is>
      </c>
      <c r="C76" s="7" t="inlineStr">
        <is>
          <t>Compared with</t>
        </is>
      </c>
    </row>
    <row r="77">
      <c r="A77" t="inlineStr">
        <is>
          <t>Job gross margin, September · Call-outs and repairs</t>
        </is>
      </c>
      <c r="B77" s="8">
        <f>Workings!B342</f>
        <v/>
      </c>
      <c r="C77" s="9" t="inlineStr">
        <is>
          <t>August 43.7%</t>
        </is>
      </c>
    </row>
    <row r="78"/>
    <row r="79">
      <c r="A79" s="10" t="inlineStr">
        <is>
          <t>Job gross margin on call-outs by length, September 2026</t>
        </is>
      </c>
    </row>
    <row r="80">
      <c r="A80" s="6" t="inlineStr"/>
      <c r="B80" s="7" t="inlineStr">
        <is>
          <t>Gross margin %</t>
        </is>
      </c>
      <c r="C80" s="7" t="inlineStr">
        <is>
          <t>Gross margin $</t>
        </is>
      </c>
    </row>
    <row r="81">
      <c r="A81" t="inlineStr">
        <is>
          <t>1-hour call-outs (6)</t>
        </is>
      </c>
      <c r="B81" s="8">
        <f>Workings!B353</f>
        <v/>
      </c>
      <c r="C81" s="11">
        <f>Workings!B352</f>
        <v/>
      </c>
    </row>
    <row r="82">
      <c r="A82" t="inlineStr">
        <is>
          <t>1.5-hour call-outs (13)</t>
        </is>
      </c>
      <c r="B82" s="8">
        <f>Workings!B364</f>
        <v/>
      </c>
      <c r="C82" s="11">
        <f>Workings!B363</f>
        <v/>
      </c>
    </row>
    <row r="83">
      <c r="A83" t="inlineStr">
        <is>
          <t>2-hour call-outs (17)</t>
        </is>
      </c>
      <c r="B83" s="8">
        <f>Workings!B375</f>
        <v/>
      </c>
      <c r="C83" s="11">
        <f>Workings!B374</f>
        <v/>
      </c>
    </row>
    <row r="84">
      <c r="A84" t="inlineStr">
        <is>
          <t>2.5-hour call-outs (8)</t>
        </is>
      </c>
      <c r="B84" s="8">
        <f>Workings!B386</f>
        <v/>
      </c>
      <c r="C84" s="11">
        <f>Workings!B385</f>
        <v/>
      </c>
    </row>
    <row r="85">
      <c r="A85" t="inlineStr">
        <is>
          <t>3-hour call-outs (11)</t>
        </is>
      </c>
      <c r="B85" s="8">
        <f>Workings!B397</f>
        <v/>
      </c>
      <c r="C85" s="11">
        <f>Workings!B396</f>
        <v/>
      </c>
    </row>
    <row r="86">
      <c r="A86" t="inlineStr">
        <is>
          <t>4-hour call-outs (9)</t>
        </is>
      </c>
      <c r="B86" s="8">
        <f>Workings!B408</f>
        <v/>
      </c>
      <c r="C86" s="11">
        <f>Workings!B407</f>
        <v/>
      </c>
    </row>
    <row r="87"/>
    <row r="88">
      <c r="A88" s="4" t="inlineStr">
        <is>
          <t>What it shows</t>
        </is>
      </c>
    </row>
    <row r="89" ht="45" customHeight="1">
      <c r="A89" s="3" t="inlineStr">
        <is>
          <t>64 call-outs in September made a 43.9% job gross margin between them. Gross margins run from 37.6% to 47.1% by length: the hourly rate covers technician time comfortably, so the gross margin mostly moves with how much material goes on the van.</t>
        </is>
      </c>
    </row>
    <row r="90"/>
    <row r="91">
      <c r="A91" s="4" t="inlineStr">
        <is>
          <t>What you'd do about it</t>
        </is>
      </c>
    </row>
    <row r="92" ht="30" customHeight="1">
      <c r="A92" s="3" t="inlineStr">
        <is>
          <t>Call-outs: 43.9% gross margin, 12.7 points clear of the 31.1% overheads need.</t>
        </is>
      </c>
    </row>
    <row r="93"/>
    <row r="94">
      <c r="A94" s="5" t="inlineStr">
        <is>
          <t>Every type of job at once</t>
        </is>
      </c>
    </row>
    <row r="95">
      <c r="A95" s="12" t="inlineStr">
        <is>
          <t>Job gross margin by month: every month is on the Data sheet.</t>
        </is>
      </c>
    </row>
    <row r="96"/>
    <row r="97"/>
  </sheetData>
  <mergeCells count="11">
    <mergeCell ref="A5:D5"/>
    <mergeCell ref="A70:D70"/>
    <mergeCell ref="A27:D27"/>
    <mergeCell ref="A8:D8"/>
    <mergeCell ref="A89:D89"/>
    <mergeCell ref="A92:D92"/>
    <mergeCell ref="A54:D54"/>
    <mergeCell ref="A24:D24"/>
    <mergeCell ref="A51:D51"/>
    <mergeCell ref="A11:D11"/>
    <mergeCell ref="A73:D73"/>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5" min="0" max="16383" man="1"/>
  </rowBreaks>
</worksheet>
</file>

<file path=xl/worksheets/sheet2.xml><?xml version="1.0" encoding="utf-8"?>
<worksheet xmlns="http://schemas.openxmlformats.org/spreadsheetml/2006/main">
  <sheetPr>
    <outlinePr summaryBelow="1" summaryRight="1"/>
    <pageSetUpPr fitToPage="1"/>
  </sheetPr>
  <dimension ref="A1:C41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September</t>
        </is>
      </c>
    </row>
    <row r="32">
      <c r="A32" s="12" t="inlineStr">
        <is>
          <t>Revenue less direct cost (materials, subcontractors, technician time at cost)</t>
        </is>
      </c>
    </row>
    <row r="33">
      <c r="A33" s="6" t="inlineStr"/>
      <c r="B33" s="7" t="inlineStr">
        <is>
          <t>Sep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September</t>
        </is>
      </c>
    </row>
    <row r="41">
      <c r="A41" s="12" t="inlineStr">
        <is>
          <t>Revenue less direct cost (materials, subcontractors, technician time at cost)</t>
        </is>
      </c>
    </row>
    <row r="42">
      <c r="A42" s="6" t="inlineStr"/>
      <c r="B42" s="7" t="inlineStr">
        <is>
          <t>Sep 2026</t>
        </is>
      </c>
    </row>
    <row r="43">
      <c r="A43" t="inlineStr">
        <is>
          <t>Revenue</t>
        </is>
      </c>
      <c r="B43" s="13" t="n">
        <v>130700</v>
      </c>
    </row>
    <row r="44">
      <c r="A44" t="inlineStr">
        <is>
          <t>Direct cost</t>
        </is>
      </c>
      <c r="B44" s="13" t="n">
        <v>95368</v>
      </c>
    </row>
    <row r="45">
      <c r="A45" t="inlineStr">
        <is>
          <t>Gross margin</t>
        </is>
      </c>
      <c r="B45" s="13">
        <f>B43-B44</f>
        <v/>
      </c>
    </row>
    <row r="46">
      <c r="A46" s="15" t="inlineStr">
        <is>
          <t>Gross margin %</t>
        </is>
      </c>
      <c r="B46" s="16">
        <f>B45/B43</f>
        <v/>
      </c>
    </row>
    <row r="47"/>
    <row r="48"/>
    <row r="49">
      <c r="A49" s="5" t="inlineStr">
        <is>
          <t>Call-outs and repairs, September</t>
        </is>
      </c>
    </row>
    <row r="50">
      <c r="A50" s="12" t="inlineStr">
        <is>
          <t>Revenue less direct cost (materials, subcontractors, technician time at cost)</t>
        </is>
      </c>
    </row>
    <row r="51">
      <c r="A51" s="6" t="inlineStr"/>
      <c r="B51" s="7" t="inlineStr">
        <is>
          <t>Sep 2026</t>
        </is>
      </c>
    </row>
    <row r="52">
      <c r="A52" t="inlineStr">
        <is>
          <t>Revenue</t>
        </is>
      </c>
      <c r="B52" s="13" t="n">
        <v>31137</v>
      </c>
    </row>
    <row r="53">
      <c r="A53" t="inlineStr">
        <is>
          <t>Direct cost</t>
        </is>
      </c>
      <c r="B53" s="13" t="n">
        <v>17478</v>
      </c>
    </row>
    <row r="54">
      <c r="A54" t="inlineStr">
        <is>
          <t>Gross margin</t>
        </is>
      </c>
      <c r="B54" s="13">
        <f>B52-B53</f>
        <v/>
      </c>
    </row>
    <row r="55">
      <c r="A55" s="15" t="inlineStr">
        <is>
          <t>Gross margin %</t>
        </is>
      </c>
      <c r="B55" s="16">
        <f>B54/B52</f>
        <v/>
      </c>
    </row>
    <row r="56"/>
    <row r="57"/>
    <row r="58">
      <c r="A58" s="5" t="inlineStr">
        <is>
          <t>Maintenance contracts: gross margin, September and August</t>
        </is>
      </c>
    </row>
    <row r="59">
      <c r="A59" s="12" t="inlineStr">
        <is>
          <t>Revenue less direct cost, over revenue. Before overheads.</t>
        </is>
      </c>
    </row>
    <row r="60">
      <c r="A60" s="6" t="inlineStr"/>
      <c r="B60" s="7" t="inlineStr">
        <is>
          <t>Sep 26</t>
        </is>
      </c>
      <c r="C60" s="7" t="inlineStr">
        <is>
          <t>Aug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September and August</t>
        </is>
      </c>
    </row>
    <row r="250">
      <c r="A250" s="12" t="inlineStr">
        <is>
          <t>Revenue less direct cost, over revenue. Before overheads.</t>
        </is>
      </c>
    </row>
    <row r="251">
      <c r="A251" s="6" t="inlineStr"/>
      <c r="B251" s="7" t="inlineStr">
        <is>
          <t>Sep 26</t>
        </is>
      </c>
      <c r="C251" s="7" t="inlineStr">
        <is>
          <t>Aug 26</t>
        </is>
      </c>
    </row>
    <row r="252">
      <c r="A252" t="inlineStr">
        <is>
          <t>Revenue</t>
        </is>
      </c>
      <c r="B252" s="13" t="n">
        <v>130700</v>
      </c>
      <c r="C252" s="13" t="n">
        <v>109600</v>
      </c>
    </row>
    <row r="253">
      <c r="A253" t="inlineStr">
        <is>
          <t>Direct cost</t>
        </is>
      </c>
      <c r="B253" s="13" t="n">
        <v>95368</v>
      </c>
      <c r="C253" s="13" t="n">
        <v>72720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Bulimba EV chargers</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-3600</v>
      </c>
    </row>
    <row r="263">
      <c r="A263" t="inlineStr">
        <is>
          <t>Subcontractors</t>
        </is>
      </c>
      <c r="B263" s="13" t="n">
        <v>0</v>
      </c>
    </row>
    <row r="264">
      <c r="A264" t="inlineStr">
        <is>
          <t>Technician hours</t>
        </is>
      </c>
      <c r="B264" s="17" t="n">
        <v>26</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Milton office LED lighting</t>
        </is>
      </c>
    </row>
    <row r="272">
      <c r="A272" s="12" t="inlineStr">
        <is>
          <t>Job gross margin ÷ revenue for this job (before overheads)</t>
        </is>
      </c>
    </row>
    <row r="273">
      <c r="A273" s="6" t="inlineStr"/>
      <c r="B273" s="7" t="inlineStr">
        <is>
          <t>This job</t>
        </is>
      </c>
    </row>
    <row r="274">
      <c r="A274" t="inlineStr">
        <is>
          <t>Revenue</t>
        </is>
      </c>
      <c r="B274" s="13" t="n">
        <v>18600</v>
      </c>
    </row>
    <row r="275">
      <c r="A275" t="inlineStr">
        <is>
          <t>Materials</t>
        </is>
      </c>
      <c r="B275" s="13" t="n">
        <v>-6900</v>
      </c>
    </row>
    <row r="276">
      <c r="A276" t="inlineStr">
        <is>
          <t>Subcontractors</t>
        </is>
      </c>
      <c r="B276" s="13" t="n">
        <v>0</v>
      </c>
    </row>
    <row r="277">
      <c r="A277" t="inlineStr">
        <is>
          <t>Technician hours</t>
        </is>
      </c>
      <c r="B277" s="17" t="n">
        <v>64</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Chermside clinic cabling</t>
        </is>
      </c>
    </row>
    <row r="285">
      <c r="A285" s="12" t="inlineStr">
        <is>
          <t>Job gross margin ÷ revenue for this job (before overheads)</t>
        </is>
      </c>
    </row>
    <row r="286">
      <c r="A286" s="6" t="inlineStr"/>
      <c r="B286" s="7" t="inlineStr">
        <is>
          <t>This job</t>
        </is>
      </c>
    </row>
    <row r="287">
      <c r="A287" t="inlineStr">
        <is>
          <t>Revenue</t>
        </is>
      </c>
      <c r="B287" s="13" t="n">
        <v>15200</v>
      </c>
    </row>
    <row r="288">
      <c r="A288" t="inlineStr">
        <is>
          <t>Materials</t>
        </is>
      </c>
      <c r="B288" s="13" t="n">
        <v>-4300</v>
      </c>
    </row>
    <row r="289">
      <c r="A289" t="inlineStr">
        <is>
          <t>Subcontractors</t>
        </is>
      </c>
      <c r="B289" s="13" t="n">
        <v>-1800</v>
      </c>
    </row>
    <row r="290">
      <c r="A290" t="inlineStr">
        <is>
          <t>Technician hours</t>
        </is>
      </c>
      <c r="B290" s="17" t="n">
        <v>52</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West End cafe air-con</t>
        </is>
      </c>
    </row>
    <row r="298">
      <c r="A298" s="12" t="inlineStr">
        <is>
          <t>Job gross margin ÷ revenue for this job (before overheads)</t>
        </is>
      </c>
    </row>
    <row r="299">
      <c r="A299" s="6" t="inlineStr"/>
      <c r="B299" s="7" t="inlineStr">
        <is>
          <t>This job</t>
        </is>
      </c>
    </row>
    <row r="300">
      <c r="A300" t="inlineStr">
        <is>
          <t>Revenue</t>
        </is>
      </c>
      <c r="B300" s="13" t="n">
        <v>12900</v>
      </c>
    </row>
    <row r="301">
      <c r="A301" t="inlineStr">
        <is>
          <t>Materials</t>
        </is>
      </c>
      <c r="B301" s="13" t="n">
        <v>-5100</v>
      </c>
    </row>
    <row r="302">
      <c r="A302" t="inlineStr">
        <is>
          <t>Subcontractors</t>
        </is>
      </c>
      <c r="B302" s="13" t="n">
        <v>-900</v>
      </c>
    </row>
    <row r="303">
      <c r="A303" t="inlineStr">
        <is>
          <t>Technician hours</t>
        </is>
      </c>
      <c r="B303" s="17" t="n">
        <v>38</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Carindale solar and battery</t>
        </is>
      </c>
    </row>
    <row r="311">
      <c r="A311" s="12" t="inlineStr">
        <is>
          <t>Job gross margin ÷ revenue for this job (before overheads)</t>
        </is>
      </c>
    </row>
    <row r="312">
      <c r="A312" s="6" t="inlineStr"/>
      <c r="B312" s="7" t="inlineStr">
        <is>
          <t>This job</t>
        </is>
      </c>
    </row>
    <row r="313">
      <c r="A313" t="inlineStr">
        <is>
          <t>Revenue</t>
        </is>
      </c>
      <c r="B313" s="13" t="n">
        <v>27400</v>
      </c>
    </row>
    <row r="314">
      <c r="A314" t="inlineStr">
        <is>
          <t>Materials</t>
        </is>
      </c>
      <c r="B314" s="13" t="n">
        <v>-13800</v>
      </c>
    </row>
    <row r="315">
      <c r="A315" t="inlineStr">
        <is>
          <t>Subcontractors</t>
        </is>
      </c>
      <c r="B315" s="13" t="n">
        <v>-3100</v>
      </c>
    </row>
    <row r="316">
      <c r="A316" t="inlineStr">
        <is>
          <t>Technician hours</t>
        </is>
      </c>
      <c r="B316" s="17" t="n">
        <v>46</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Wacol warehouse switchboard</t>
        </is>
      </c>
    </row>
    <row r="324">
      <c r="A324" s="12" t="inlineStr">
        <is>
          <t>Job gross margin ÷ revenue for this job (before overheads)</t>
        </is>
      </c>
    </row>
    <row r="325">
      <c r="A325" s="6" t="inlineStr"/>
      <c r="B325" s="7" t="inlineStr">
        <is>
          <t>This job</t>
        </is>
      </c>
    </row>
    <row r="326">
      <c r="A326" t="inlineStr">
        <is>
          <t>Revenue</t>
        </is>
      </c>
      <c r="B326" s="13" t="n">
        <v>46800</v>
      </c>
    </row>
    <row r="327">
      <c r="A327" t="inlineStr">
        <is>
          <t>Materials</t>
        </is>
      </c>
      <c r="B327" s="13" t="n">
        <v>-22900</v>
      </c>
    </row>
    <row r="328">
      <c r="A328" t="inlineStr">
        <is>
          <t>Subcontractors</t>
        </is>
      </c>
      <c r="B328" s="13" t="n">
        <v>-7400</v>
      </c>
    </row>
    <row r="329">
      <c r="A329" t="inlineStr">
        <is>
          <t>Technician hours</t>
        </is>
      </c>
      <c r="B329" s="17" t="n">
        <v>150</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Call-outs and repairs: gross margin, September and August</t>
        </is>
      </c>
    </row>
    <row r="337">
      <c r="A337" s="12" t="inlineStr">
        <is>
          <t>Revenue less direct cost, over revenue. Before overheads.</t>
        </is>
      </c>
    </row>
    <row r="338">
      <c r="A338" s="6" t="inlineStr"/>
      <c r="B338" s="7" t="inlineStr">
        <is>
          <t>Sep 26</t>
        </is>
      </c>
      <c r="C338" s="7" t="inlineStr">
        <is>
          <t>Aug 26</t>
        </is>
      </c>
    </row>
    <row r="339">
      <c r="A339" t="inlineStr">
        <is>
          <t>Revenue</t>
        </is>
      </c>
      <c r="B339" s="13" t="n">
        <v>31137</v>
      </c>
      <c r="C339" s="13" t="n">
        <v>28907</v>
      </c>
    </row>
    <row r="340">
      <c r="A340" t="inlineStr">
        <is>
          <t>Direct cost</t>
        </is>
      </c>
      <c r="B340" s="13" t="n">
        <v>17478</v>
      </c>
      <c r="C340" s="13" t="n">
        <v>16266</v>
      </c>
    </row>
    <row r="341">
      <c r="A341" t="inlineStr">
        <is>
          <t>Gross margin</t>
        </is>
      </c>
      <c r="B341" s="13">
        <f>B339-B340</f>
        <v/>
      </c>
      <c r="C341" s="13">
        <f>C339-C340</f>
        <v/>
      </c>
    </row>
    <row r="342">
      <c r="A342" s="15" t="inlineStr">
        <is>
          <t>Gross margin %</t>
        </is>
      </c>
      <c r="B342" s="16">
        <f>B341/B339</f>
        <v/>
      </c>
      <c r="C342" s="16">
        <f>C341/C339</f>
        <v/>
      </c>
    </row>
    <row r="343"/>
    <row r="344"/>
    <row r="345">
      <c r="A345" s="5" t="inlineStr">
        <is>
          <t>1-hour call-outs (6)</t>
        </is>
      </c>
    </row>
    <row r="346">
      <c r="A346" s="12" t="inlineStr">
        <is>
          <t>Call-outs of this length in September, added together</t>
        </is>
      </c>
    </row>
    <row r="347">
      <c r="A347" s="6" t="inlineStr"/>
      <c r="B347" s="7" t="inlineStr">
        <is>
          <t>Sep 2026</t>
        </is>
      </c>
    </row>
    <row r="348">
      <c r="A348" t="inlineStr">
        <is>
          <t>Call-outs</t>
        </is>
      </c>
      <c r="B348" s="13" t="n">
        <v>6</v>
      </c>
    </row>
    <row r="349">
      <c r="A349" t="inlineStr">
        <is>
          <t>Revenue</t>
        </is>
      </c>
      <c r="B349" s="13" t="n">
        <v>1793</v>
      </c>
    </row>
    <row r="350">
      <c r="A350" t="inlineStr">
        <is>
          <t>Materials</t>
        </is>
      </c>
      <c r="B350" s="13" t="n">
        <v>-710</v>
      </c>
    </row>
    <row r="351">
      <c r="A351" t="inlineStr">
        <is>
          <t>Technician time at cost</t>
        </is>
      </c>
      <c r="B351" s="13" t="n">
        <v>-408</v>
      </c>
    </row>
    <row r="352">
      <c r="A352" t="inlineStr">
        <is>
          <t>Job gross margin</t>
        </is>
      </c>
      <c r="B352" s="13">
        <f>B349+B350+B351</f>
        <v/>
      </c>
    </row>
    <row r="353">
      <c r="A353" s="15" t="inlineStr">
        <is>
          <t>Job gross margin %</t>
        </is>
      </c>
      <c r="B353" s="16">
        <f>B352/B349</f>
        <v/>
      </c>
    </row>
    <row r="354"/>
    <row r="355"/>
    <row r="356">
      <c r="A356" s="5" t="inlineStr">
        <is>
          <t>1.5-hour call-outs (13)</t>
        </is>
      </c>
    </row>
    <row r="357">
      <c r="A357" s="12" t="inlineStr">
        <is>
          <t>Call-outs of this length in September, added together</t>
        </is>
      </c>
    </row>
    <row r="358">
      <c r="A358" s="6" t="inlineStr"/>
      <c r="B358" s="7" t="inlineStr">
        <is>
          <t>Sep 2026</t>
        </is>
      </c>
    </row>
    <row r="359">
      <c r="A359" t="inlineStr">
        <is>
          <t>Call-outs</t>
        </is>
      </c>
      <c r="B359" s="13" t="n">
        <v>13</v>
      </c>
    </row>
    <row r="360">
      <c r="A360" t="inlineStr">
        <is>
          <t>Revenue</t>
        </is>
      </c>
      <c r="B360" s="13" t="n">
        <v>4667</v>
      </c>
    </row>
    <row r="361">
      <c r="A361" t="inlineStr">
        <is>
          <t>Materials</t>
        </is>
      </c>
      <c r="B361" s="13" t="n">
        <v>-1410</v>
      </c>
    </row>
    <row r="362">
      <c r="A362" t="inlineStr">
        <is>
          <t>Technician time at cost</t>
        </is>
      </c>
      <c r="B362" s="13" t="n">
        <v>-1326</v>
      </c>
    </row>
    <row r="363">
      <c r="A363" t="inlineStr">
        <is>
          <t>Job gross margin</t>
        </is>
      </c>
      <c r="B363" s="13">
        <f>B360+B361+B362</f>
        <v/>
      </c>
    </row>
    <row r="364">
      <c r="A364" s="15" t="inlineStr">
        <is>
          <t>Job gross margin %</t>
        </is>
      </c>
      <c r="B364" s="16">
        <f>B363/B360</f>
        <v/>
      </c>
    </row>
    <row r="365"/>
    <row r="366"/>
    <row r="367">
      <c r="A367" s="5" t="inlineStr">
        <is>
          <t>2-hour call-outs (17)</t>
        </is>
      </c>
    </row>
    <row r="368">
      <c r="A368" s="12" t="inlineStr">
        <is>
          <t>Call-outs of this length in September, added together</t>
        </is>
      </c>
    </row>
    <row r="369">
      <c r="A369" s="6" t="inlineStr"/>
      <c r="B369" s="7" t="inlineStr">
        <is>
          <t>Sep 2026</t>
        </is>
      </c>
    </row>
    <row r="370">
      <c r="A370" t="inlineStr">
        <is>
          <t>Call-outs</t>
        </is>
      </c>
      <c r="B370" s="13" t="n">
        <v>17</v>
      </c>
    </row>
    <row r="371">
      <c r="A371" t="inlineStr">
        <is>
          <t>Revenue</t>
        </is>
      </c>
      <c r="B371" s="13" t="n">
        <v>7790</v>
      </c>
    </row>
    <row r="372">
      <c r="A372" t="inlineStr">
        <is>
          <t>Materials</t>
        </is>
      </c>
      <c r="B372" s="13" t="n">
        <v>-2200</v>
      </c>
    </row>
    <row r="373">
      <c r="A373" t="inlineStr">
        <is>
          <t>Technician time at cost</t>
        </is>
      </c>
      <c r="B373" s="13" t="n">
        <v>-2312</v>
      </c>
    </row>
    <row r="374">
      <c r="A374" t="inlineStr">
        <is>
          <t>Job gross margin</t>
        </is>
      </c>
      <c r="B374" s="13">
        <f>B371+B372+B373</f>
        <v/>
      </c>
    </row>
    <row r="375">
      <c r="A375" s="15" t="inlineStr">
        <is>
          <t>Job gross margin %</t>
        </is>
      </c>
      <c r="B375" s="16">
        <f>B374/B371</f>
        <v/>
      </c>
    </row>
    <row r="376"/>
    <row r="377"/>
    <row r="378">
      <c r="A378" s="5" t="inlineStr">
        <is>
          <t>2.5-hour call-outs (8)</t>
        </is>
      </c>
    </row>
    <row r="379">
      <c r="A379" s="12" t="inlineStr">
        <is>
          <t>Call-outs of this length in September, added together</t>
        </is>
      </c>
    </row>
    <row r="380">
      <c r="A380" s="6" t="inlineStr"/>
      <c r="B380" s="7" t="inlineStr">
        <is>
          <t>Sep 2026</t>
        </is>
      </c>
    </row>
    <row r="381">
      <c r="A381" t="inlineStr">
        <is>
          <t>Call-outs</t>
        </is>
      </c>
      <c r="B381" s="13" t="n">
        <v>8</v>
      </c>
    </row>
    <row r="382">
      <c r="A382" t="inlineStr">
        <is>
          <t>Revenue</t>
        </is>
      </c>
      <c r="B382" s="13" t="n">
        <v>3996</v>
      </c>
    </row>
    <row r="383">
      <c r="A383" t="inlineStr">
        <is>
          <t>Materials</t>
        </is>
      </c>
      <c r="B383" s="13" t="n">
        <v>-840</v>
      </c>
    </row>
    <row r="384">
      <c r="A384" t="inlineStr">
        <is>
          <t>Technician time at cost</t>
        </is>
      </c>
      <c r="B384" s="13" t="n">
        <v>-1360</v>
      </c>
    </row>
    <row r="385">
      <c r="A385" t="inlineStr">
        <is>
          <t>Job gross margin</t>
        </is>
      </c>
      <c r="B385" s="13">
        <f>B382+B383+B384</f>
        <v/>
      </c>
    </row>
    <row r="386">
      <c r="A386" s="15" t="inlineStr">
        <is>
          <t>Job gross margin %</t>
        </is>
      </c>
      <c r="B386" s="16">
        <f>B385/B382</f>
        <v/>
      </c>
    </row>
    <row r="387"/>
    <row r="388"/>
    <row r="389">
      <c r="A389" s="5" t="inlineStr">
        <is>
          <t>3-hour call-outs (11)</t>
        </is>
      </c>
    </row>
    <row r="390">
      <c r="A390" s="12" t="inlineStr">
        <is>
          <t>Call-outs of this length in September, added together</t>
        </is>
      </c>
    </row>
    <row r="391">
      <c r="A391" s="6" t="inlineStr"/>
      <c r="B391" s="7" t="inlineStr">
        <is>
          <t>Sep 2026</t>
        </is>
      </c>
    </row>
    <row r="392">
      <c r="A392" t="inlineStr">
        <is>
          <t>Call-outs</t>
        </is>
      </c>
      <c r="B392" s="13" t="n">
        <v>11</v>
      </c>
    </row>
    <row r="393">
      <c r="A393" t="inlineStr">
        <is>
          <t>Revenue</t>
        </is>
      </c>
      <c r="B393" s="13" t="n">
        <v>6358</v>
      </c>
    </row>
    <row r="394">
      <c r="A394" t="inlineStr">
        <is>
          <t>Materials</t>
        </is>
      </c>
      <c r="B394" s="13" t="n">
        <v>-1210</v>
      </c>
    </row>
    <row r="395">
      <c r="A395" t="inlineStr">
        <is>
          <t>Technician time at cost</t>
        </is>
      </c>
      <c r="B395" s="13" t="n">
        <v>-2244</v>
      </c>
    </row>
    <row r="396">
      <c r="A396" t="inlineStr">
        <is>
          <t>Job gross margin</t>
        </is>
      </c>
      <c r="B396" s="13">
        <f>B393+B394+B395</f>
        <v/>
      </c>
    </row>
    <row r="397">
      <c r="A397" s="15" t="inlineStr">
        <is>
          <t>Job gross margin %</t>
        </is>
      </c>
      <c r="B397" s="16">
        <f>B396/B393</f>
        <v/>
      </c>
    </row>
    <row r="398"/>
    <row r="399"/>
    <row r="400">
      <c r="A400" s="5" t="inlineStr">
        <is>
          <t>4-hour call-outs (9)</t>
        </is>
      </c>
    </row>
    <row r="401">
      <c r="A401" s="12" t="inlineStr">
        <is>
          <t>Call-outs of this length in September, added together</t>
        </is>
      </c>
    </row>
    <row r="402">
      <c r="A402" s="6" t="inlineStr"/>
      <c r="B402" s="7" t="inlineStr">
        <is>
          <t>Sep 2026</t>
        </is>
      </c>
    </row>
    <row r="403">
      <c r="A403" t="inlineStr">
        <is>
          <t>Call-outs</t>
        </is>
      </c>
      <c r="B403" s="13" t="n">
        <v>9</v>
      </c>
    </row>
    <row r="404">
      <c r="A404" t="inlineStr">
        <is>
          <t>Revenue</t>
        </is>
      </c>
      <c r="B404" s="13" t="n">
        <v>6533</v>
      </c>
    </row>
    <row r="405">
      <c r="A405" t="inlineStr">
        <is>
          <t>Materials</t>
        </is>
      </c>
      <c r="B405" s="13" t="n">
        <v>-1010</v>
      </c>
    </row>
    <row r="406">
      <c r="A406" t="inlineStr">
        <is>
          <t>Technician time at cost</t>
        </is>
      </c>
      <c r="B406" s="13" t="n">
        <v>-2448</v>
      </c>
    </row>
    <row r="407">
      <c r="A407" t="inlineStr">
        <is>
          <t>Job gross margin</t>
        </is>
      </c>
      <c r="B407" s="13">
        <f>B404+B405+B406</f>
        <v/>
      </c>
    </row>
    <row r="408">
      <c r="A408" s="15" t="inlineStr">
        <is>
          <t>Job gross margin %</t>
        </is>
      </c>
      <c r="B408" s="16">
        <f>B407/B404</f>
        <v/>
      </c>
    </row>
    <row r="409"/>
    <row r="410"/>
    <row r="411"/>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5" manualBreakCount="15">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5" min="0" max="16383" man="1"/>
    <brk id="366" min="0" max="16383" man="1"/>
    <brk id="388"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2026-10-06T07:09:28Z</dcterms:created>
  <dcterms:modified xmlns:dcterms="http://purl.org/dc/terms/" xmlns:xsi="http://www.w3.org/2001/XMLSchema-instance" xsi:type="dcterms:W3CDTF">2026-10-06T07:09:28Z</dcterms:modified>
</cp:coreProperties>
</file>