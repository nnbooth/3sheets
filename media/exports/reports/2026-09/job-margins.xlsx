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September_All_jobs">'Report'!$B$16</definedName>
    <definedName name="Job_gross_margin_August_All_jobs">'Report'!$B$17</definedName>
    <definedName name="Gross_margin_jobs_need_to_break_even">'Report'!$B$18</definedName>
    <definedName name="Job_gross_margin_September_Maintenance_contracts">'Report'!$B$42</definedName>
    <definedName name="Job_gross_margin_August_Maintenance_contracts">'Report'!$B$43</definedName>
    <definedName name="Gross_margin_jobs_need_to_break_even_2">'Report'!$B$44</definedName>
    <definedName name="Job_gross_margin_September_Installations">'Report'!$B$81</definedName>
    <definedName name="Job_gross_margin_August_Installations">'Report'!$B$82</definedName>
    <definedName name="Gross_margin_jobs_need_to_break_even_3">'Report'!$B$83</definedName>
    <definedName name="Job_gross_margin_September_Call_outs_and_repairs">'Report'!$B$109</definedName>
    <definedName name="Job_gross_margin_August_Call_outs_and_repairs">'Report'!$B$110</definedName>
    <definedName name="Gross_margin_jobs_need_to_break_even_4">'Report'!$B$111</definedName>
    <definedName name="Technician_time_charged_September">'Report'!$B$112</definedName>
    <definedName name="Materials_charged_September">'Report'!$B$113</definedName>
    <definedName name="_xlnm.Print_Area" localSheetId="0">'Report'!$A$1:$D$138</definedName>
    <definedName name="_xlnm.Print_Area" localSheetId="1">'Workings'!$A$1:$C$548</definedName>
    <definedName name="_xlnm.Print_Titles" localSheetId="3">'Data'!$5:$5</definedName>
    <definedName name="_xlnm.Print_Area" localSheetId="3">'Data'!$A$1:$G$101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4"/>
            <spPr>
              <a:solidFill xmlns:a="http://schemas.openxmlformats.org/drawingml/2006/main">
                <a:srgbClr val="7D8790"/>
              </a:solidFill>
              <a:ln xmlns:a="http://schemas.openxmlformats.org/drawingml/2006/main">
                <a:solidFill>
                  <a:srgbClr val="7D8790"/>
                </a:solidFill>
                <a:prstDash val="solid"/>
              </a:ln>
            </spPr>
          </dPt>
          <dPt>
            <idx val="5"/>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'Report'!$A$87:$A$92</f>
            </numRef>
          </cat>
          <val>
            <numRef>
              <f>'Report'!$B$87:$B$92</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888"/>
          <min val="0"/>
        </scaling>
        <delete val="1"/>
        <axPos val="l"/>
        <numFmt formatCode="0.0%" sourceLinked="0"/>
        <majorTickMark val="none"/>
        <minorTickMark val="none"/>
        <crossAx val="10"/>
      </valAx>
      <valAx>
        <axId val="500"/>
        <scaling>
          <orientation val="minMax"/>
          <max val="0.588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September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'Report'!$A$117:$A$122</f>
            </numRef>
          </cat>
          <val>
            <numRef>
              <f>'Report'!$B$117:$B$122</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57"/>
          <min val="0"/>
        </scaling>
        <delete val="1"/>
        <axPos val="l"/>
        <numFmt formatCode="0.0%" sourceLinked="0"/>
        <majorTickMark val="none"/>
        <minorTickMark val="none"/>
        <crossAx val="10"/>
      </valAx>
      <valAx>
        <axId val="500"/>
        <scaling>
          <orientation val="minMax"/>
          <max val="0.5957"/>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'Data'!$B$6:$B$29</f>
            </numRef>
          </cat>
          <val>
            <numRef>
              <f>'Data'!$D$6:$D$29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'Data'!$B$6:$B$29</f>
            </numRef>
          </cat>
          <val>
            <numRef>
              <f>'Data'!$D$30:$D$53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'Data'!$B$6:$B$29</f>
            </numRef>
          </cat>
          <val>
            <numRef>
              <f>'Data'!$D$54:$D$77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'Data'!$B$6:$B$29</f>
            </numRef>
          </cat>
          <val>
            <numRef>
              <f>'Data'!$D$78:$D$101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55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115</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40"/>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ht="32" customHeight="1">
      <c r="A5" s="3" t="inlineStr">
        <is>
          <t>In short: Jobs made a 42.7% gross margin in September: maintenance contracts the most (63.9%), installations the least (34.8%).</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September · All jobs</t>
        </is>
      </c>
      <c r="B16" s="9">
        <f>Workings!B28</f>
        <v/>
      </c>
      <c r="C16" s="10" t="inlineStr">
        <is>
          <t>target 35.0%</t>
        </is>
      </c>
    </row>
    <row r="17">
      <c r="A17" t="inlineStr">
        <is>
          <t>Job gross margin, August · All jobs</t>
        </is>
      </c>
      <c r="B17" s="9">
        <f>Workings!C37</f>
        <v/>
      </c>
      <c r="C17" s="10" t="inlineStr">
        <is>
          <t>target 35.0%</t>
        </is>
      </c>
    </row>
    <row r="18">
      <c r="A18" t="inlineStr">
        <is>
          <t>Gross margin jobs need to break even</t>
        </is>
      </c>
      <c r="B18" s="9">
        <f>Workings!B53</f>
        <v/>
      </c>
      <c r="C18" s="10" t="inlineStr">
        <is>
          <t>covers overheads and time not charged (September)</t>
        </is>
      </c>
    </row>
    <row r="19"/>
    <row r="20">
      <c r="A20" s="11" t="inlineStr">
        <is>
          <t>Job gross margin by type of job, September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September maintenance contracts made a 63.9% job gross margin, installations made a 34.8% job gross margin, call-outs and repairs made a 48.3% job gross margin (technician time at $68 an hour, wages and all on-costs). Jobs need 39.0% just to cover overheads.</t>
        </is>
      </c>
    </row>
    <row r="36"/>
    <row r="37">
      <c r="A37" s="5" t="inlineStr">
        <is>
          <t>What you'd do about it</t>
        </is>
      </c>
    </row>
    <row r="38" ht="60" customHeight="1">
      <c r="A38" s="4" t="inlineStr">
        <is>
          <t>Installations: 34.8% gross margin, 0.2 points under the 35.0% target: about $273 on $146,300 of revenue in September. It's below the 39.0% needed to cover overheads, too. Maintenance contracts: 63.9% gross margin, 28.9 points over the 35.0% target ($13,094 ahead on $45,350 in September).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September · Maintenance contracts</t>
        </is>
      </c>
      <c r="B42" s="9">
        <f>Workings!B90</f>
        <v/>
      </c>
      <c r="C42" s="10" t="inlineStr">
        <is>
          <t>target 35.0%</t>
        </is>
      </c>
    </row>
    <row r="43">
      <c r="A43" t="inlineStr">
        <is>
          <t>Job gross margin, August · Maintenance contracts</t>
        </is>
      </c>
      <c r="B43" s="9">
        <f>Workings!B99</f>
        <v/>
      </c>
      <c r="C43" s="10" t="inlineStr">
        <is>
          <t>target 35.0%</t>
        </is>
      </c>
    </row>
    <row r="44">
      <c r="A44" t="inlineStr">
        <is>
          <t>Gross margin jobs need to break even</t>
        </is>
      </c>
      <c r="B44" s="9">
        <f>Workings!B115</f>
        <v/>
      </c>
      <c r="C44" s="10" t="inlineStr">
        <is>
          <t>covers overheads and time not charged (September)</t>
        </is>
      </c>
    </row>
    <row r="45"/>
    <row r="46">
      <c r="A46" s="11" t="inlineStr">
        <is>
          <t>Job gross margin on each maintenance contract, September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September). All maintenance contracts: 63.9% gross margin, 28.9 points over the 35.0% target ($13,094 ahead on $45,350 in September).</t>
        </is>
      </c>
    </row>
    <row r="78"/>
    <row r="79">
      <c r="A79" s="6" t="inlineStr">
        <is>
          <t>Type of job: Installations</t>
        </is>
      </c>
    </row>
    <row r="80">
      <c r="A80" s="7" t="inlineStr">
        <is>
          <t>Headline number</t>
        </is>
      </c>
      <c r="B80" s="8" t="inlineStr">
        <is>
          <t>Value</t>
        </is>
      </c>
      <c r="C80" s="8" t="inlineStr">
        <is>
          <t>Compared with</t>
        </is>
      </c>
    </row>
    <row r="81">
      <c r="A81" t="inlineStr">
        <is>
          <t>Job gross margin, September · Installations</t>
        </is>
      </c>
      <c r="B81" s="9">
        <f>Workings!B307</f>
        <v/>
      </c>
      <c r="C81" s="10" t="inlineStr">
        <is>
          <t>target 35.0%</t>
        </is>
      </c>
    </row>
    <row r="82">
      <c r="A82" t="inlineStr">
        <is>
          <t>Job gross margin, August · Installations</t>
        </is>
      </c>
      <c r="B82" s="9">
        <f>Workings!C316</f>
        <v/>
      </c>
      <c r="C82" s="10" t="inlineStr">
        <is>
          <t>target 35.0%</t>
        </is>
      </c>
    </row>
    <row r="83">
      <c r="A83" t="inlineStr">
        <is>
          <t>Gross margin jobs need to break even</t>
        </is>
      </c>
      <c r="B83" s="9">
        <f>Workings!B332</f>
        <v/>
      </c>
      <c r="C83" s="10" t="inlineStr">
        <is>
          <t>covers overheads and time not charged (September)</t>
        </is>
      </c>
    </row>
    <row r="84"/>
    <row r="85">
      <c r="A85" s="11" t="inlineStr">
        <is>
          <t>Job gross margin on each installation invoiced in September 2026</t>
        </is>
      </c>
    </row>
    <row r="86">
      <c r="A86" s="7" t="inlineStr"/>
      <c r="B86" s="8" t="inlineStr">
        <is>
          <t>Gross margin %</t>
        </is>
      </c>
      <c r="C86" s="8" t="inlineStr">
        <is>
          <t>Gross margin $</t>
        </is>
      </c>
    </row>
    <row r="87">
      <c r="A87" t="inlineStr">
        <is>
          <t>Bulimba EV chargers</t>
        </is>
      </c>
      <c r="B87" s="9">
        <f>Workings!B346</f>
        <v/>
      </c>
      <c r="C87" s="12">
        <f>Workings!B345</f>
        <v/>
      </c>
    </row>
    <row r="88">
      <c r="A88" t="inlineStr">
        <is>
          <t>Milton office LED lighting</t>
        </is>
      </c>
      <c r="B88" s="9">
        <f>Workings!B359</f>
        <v/>
      </c>
      <c r="C88" s="12">
        <f>Workings!B358</f>
        <v/>
      </c>
    </row>
    <row r="89">
      <c r="A89" t="inlineStr">
        <is>
          <t>Chermside clinic cabling</t>
        </is>
      </c>
      <c r="B89" s="9">
        <f>Workings!B372</f>
        <v/>
      </c>
      <c r="C89" s="12">
        <f>Workings!B371</f>
        <v/>
      </c>
    </row>
    <row r="90">
      <c r="A90" t="inlineStr">
        <is>
          <t>West End cafe air-con</t>
        </is>
      </c>
      <c r="B90" s="9">
        <f>Workings!B385</f>
        <v/>
      </c>
      <c r="C90" s="12">
        <f>Workings!B384</f>
        <v/>
      </c>
    </row>
    <row r="91">
      <c r="A91" t="inlineStr">
        <is>
          <t>Carindale solar and battery</t>
        </is>
      </c>
      <c r="B91" s="9">
        <f>Workings!B398</f>
        <v/>
      </c>
      <c r="C91" s="12">
        <f>Workings!B397</f>
        <v/>
      </c>
    </row>
    <row r="92">
      <c r="A92" t="inlineStr">
        <is>
          <t>Wacol warehouse switchboard</t>
        </is>
      </c>
      <c r="B92" s="9">
        <f>Workings!B411</f>
        <v/>
      </c>
      <c r="C92" s="12">
        <f>Workings!B410</f>
        <v/>
      </c>
    </row>
    <row r="93"/>
    <row r="94"/>
    <row r="95"/>
    <row r="96"/>
    <row r="97"/>
    <row r="98"/>
    <row r="99"/>
    <row r="100"/>
    <row r="101">
      <c r="A101" s="5" t="inlineStr">
        <is>
          <t>What it shows</t>
        </is>
      </c>
    </row>
    <row r="102" ht="60" customHeight="1">
      <c r="A102" s="4" t="inlineStr">
        <is>
          <t>2 of the 6 installation jobs invoiced in September made less than the 35.0% job gross margin target. The Wacol warehouse switchboard made a 22.7% job gross margin: 150.0 h of technician time ($10,200) and $7,400 of subcontractors on a $52,400 job. Jobs need 39.0% gross margin just to cover overheads.</t>
        </is>
      </c>
    </row>
    <row r="103"/>
    <row r="104">
      <c r="A104" s="5" t="inlineStr">
        <is>
          <t>What you'd do about it</t>
        </is>
      </c>
    </row>
    <row r="105" ht="60" customHeight="1">
      <c r="A105" s="4" t="inlineStr">
        <is>
          <t>2 installations under the 35.0% target, worth about $6,513 between them on $83,100 of revenue. The biggest gap, Wacol warehouse switchboard: 22.7% gross margin, 12.3 points under the 35.0% target: about $6,440 on $52,400 of revenue in September. It's below the 39.0% needed to cover overheads, too.</t>
        </is>
      </c>
    </row>
    <row r="106"/>
    <row r="107">
      <c r="A107" s="6" t="inlineStr">
        <is>
          <t>Type of job: Call-outs and repairs</t>
        </is>
      </c>
    </row>
    <row r="108">
      <c r="A108" s="7" t="inlineStr">
        <is>
          <t>Headline number</t>
        </is>
      </c>
      <c r="B108" s="8" t="inlineStr">
        <is>
          <t>Value</t>
        </is>
      </c>
      <c r="C108" s="8" t="inlineStr">
        <is>
          <t>Compared with</t>
        </is>
      </c>
    </row>
    <row r="109">
      <c r="A109" t="inlineStr">
        <is>
          <t>Job gross margin, September · Call-outs and repairs</t>
        </is>
      </c>
      <c r="B109" s="9">
        <f>Workings!B420</f>
        <v/>
      </c>
      <c r="C109" s="10" t="inlineStr">
        <is>
          <t>target 35.0%</t>
        </is>
      </c>
    </row>
    <row r="110">
      <c r="A110" t="inlineStr">
        <is>
          <t>Job gross margin, August · Call-outs and repairs</t>
        </is>
      </c>
      <c r="B110" s="9">
        <f>Workings!C429</f>
        <v/>
      </c>
      <c r="C110" s="10" t="inlineStr">
        <is>
          <t>target 35.0%</t>
        </is>
      </c>
    </row>
    <row r="111">
      <c r="A111" t="inlineStr">
        <is>
          <t>Gross margin jobs need to break even</t>
        </is>
      </c>
      <c r="B111" s="9">
        <f>Workings!B445</f>
        <v/>
      </c>
      <c r="C111" s="10" t="inlineStr">
        <is>
          <t>covers overheads and time not charged (September)</t>
        </is>
      </c>
    </row>
    <row r="112">
      <c r="A112" t="inlineStr">
        <is>
          <t>Technician time charged, September</t>
        </is>
      </c>
      <c r="B112" s="12">
        <f>Workings!B452</f>
        <v/>
      </c>
      <c r="C112" s="10" t="inlineStr">
        <is>
          <t>71.6% of call-out revenue</t>
        </is>
      </c>
    </row>
    <row r="113">
      <c r="A113" t="inlineStr">
        <is>
          <t>Materials charged, September</t>
        </is>
      </c>
      <c r="B113" s="12">
        <f>Workings!B468</f>
        <v/>
      </c>
      <c r="C113" s="10" t="inlineStr">
        <is>
          <t>$7,380 at cost, plus 30%</t>
        </is>
      </c>
    </row>
    <row r="114"/>
    <row r="115">
      <c r="A115" s="11" t="inlineStr">
        <is>
          <t>Job gross margin on call-outs by length, September 2026</t>
        </is>
      </c>
    </row>
    <row r="116">
      <c r="A116" s="7" t="inlineStr"/>
      <c r="B116" s="8" t="inlineStr">
        <is>
          <t>Gross margin %</t>
        </is>
      </c>
      <c r="C116" s="8" t="inlineStr">
        <is>
          <t>Gross margin $</t>
        </is>
      </c>
    </row>
    <row r="117">
      <c r="A117" t="inlineStr">
        <is>
          <t>1-hour call-outs (6)</t>
        </is>
      </c>
      <c r="B117" s="9">
        <f>Workings!B483</f>
        <v/>
      </c>
      <c r="C117" s="12">
        <f>Workings!B482</f>
        <v/>
      </c>
    </row>
    <row r="118">
      <c r="A118" t="inlineStr">
        <is>
          <t>1.5-hour call-outs (13)</t>
        </is>
      </c>
      <c r="B118" s="9">
        <f>Workings!B496</f>
        <v/>
      </c>
      <c r="C118" s="12">
        <f>Workings!B495</f>
        <v/>
      </c>
    </row>
    <row r="119">
      <c r="A119" t="inlineStr">
        <is>
          <t>2-hour call-outs (17)</t>
        </is>
      </c>
      <c r="B119" s="9">
        <f>Workings!B509</f>
        <v/>
      </c>
      <c r="C119" s="12">
        <f>Workings!B508</f>
        <v/>
      </c>
    </row>
    <row r="120">
      <c r="A120" t="inlineStr">
        <is>
          <t>2.5-hour call-outs (8)</t>
        </is>
      </c>
      <c r="B120" s="9">
        <f>Workings!B522</f>
        <v/>
      </c>
      <c r="C120" s="12">
        <f>Workings!B521</f>
        <v/>
      </c>
    </row>
    <row r="121">
      <c r="A121" t="inlineStr">
        <is>
          <t>3-hour call-outs (11)</t>
        </is>
      </c>
      <c r="B121" s="9">
        <f>Workings!B535</f>
        <v/>
      </c>
      <c r="C121" s="12">
        <f>Workings!B534</f>
        <v/>
      </c>
    </row>
    <row r="122">
      <c r="A122" t="inlineStr">
        <is>
          <t>4-hour call-outs (9)</t>
        </is>
      </c>
      <c r="B122" s="9">
        <f>Workings!B548</f>
        <v/>
      </c>
      <c r="C122" s="12">
        <f>Workings!B547</f>
        <v/>
      </c>
    </row>
    <row r="123"/>
    <row r="124"/>
    <row r="125"/>
    <row r="126"/>
    <row r="127"/>
    <row r="128"/>
    <row r="129"/>
    <row r="130"/>
    <row r="131">
      <c r="A131" s="5" t="inlineStr">
        <is>
          <t>What it shows</t>
        </is>
      </c>
    </row>
    <row r="132" ht="60" customHeight="1">
      <c r="A132" s="4" t="inlineStr">
        <is>
          <t>64 call-outs in September billed $24,216 of technician time and $9,594 of materials ($7,380 at cost plus 30%), and made a 48.3% job gross margin between them. Gross margins run from 41.2% to 51.8% by length: the hourly rate covers technician time comfortably, so the gross margin mostly moves with how much material goes on the van.</t>
        </is>
      </c>
    </row>
    <row r="133"/>
    <row r="134">
      <c r="A134" s="5" t="inlineStr">
        <is>
          <t>What you'd do about it</t>
        </is>
      </c>
    </row>
    <row r="135" ht="30" customHeight="1">
      <c r="A135" s="4" t="inlineStr">
        <is>
          <t>All call-outs: 48.3% gross margin, 13.3 points over the 35.0% target ($4,499 ahead on $33,810 in September).</t>
        </is>
      </c>
    </row>
    <row r="136"/>
    <row r="137">
      <c r="A137" s="6" t="inlineStr">
        <is>
          <t>Every type of job at once</t>
        </is>
      </c>
    </row>
    <row r="138">
      <c r="A138" s="13" t="inlineStr">
        <is>
          <t>Job gross margin by month: every month is on the Data sheet.</t>
        </is>
      </c>
    </row>
    <row r="139"/>
    <row r="140"/>
  </sheetData>
  <mergeCells count="12">
    <mergeCell ref="A102:D102"/>
    <mergeCell ref="A5:D5"/>
    <mergeCell ref="A132:D132"/>
    <mergeCell ref="A9:D9"/>
    <mergeCell ref="A6:D6"/>
    <mergeCell ref="A74:D74"/>
    <mergeCell ref="A77:D77"/>
    <mergeCell ref="A12:D12"/>
    <mergeCell ref="A35:D35"/>
    <mergeCell ref="A105:D105"/>
    <mergeCell ref="A135:D135"/>
    <mergeCell ref="A38:D38"/>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5" manualBreakCount="5">
    <brk id="19" min="0" max="16383" man="1"/>
    <brk id="45" min="0" max="16383" man="1"/>
    <brk id="72" min="0" max="16383" man="1"/>
    <brk id="100" min="0" max="16383" man="1"/>
    <brk id="114"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5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c r="A5" s="6" t="inlineStr">
        <is>
          <t>Trades: From gross margin to profit, September 2026</t>
        </is>
      </c>
    </row>
    <row r="6">
      <c r="A6" s="13" t="inlineStr">
        <is>
          <t>Gross margin on the work − time not charged − overheads = profit before tax</t>
        </is>
      </c>
    </row>
    <row r="7">
      <c r="A7" s="7" t="inlineStr"/>
      <c r="B7" s="8" t="inlineStr">
        <is>
          <t>Sep 2026</t>
        </is>
      </c>
    </row>
    <row r="8">
      <c r="A8" t="inlineStr">
        <is>
          <t>Gross margin on jobs</t>
        </is>
      </c>
      <c r="B8" s="14" t="n">
        <v>96230</v>
      </c>
    </row>
    <row r="9">
      <c r="A9" t="inlineStr">
        <is>
          <t>Technician wages and on-costs</t>
        </is>
      </c>
      <c r="B9" s="14" t="n">
        <v>79587</v>
      </c>
    </row>
    <row r="10">
      <c r="A10" t="inlineStr">
        <is>
          <t>Technician time charged to jobs (at cost)</t>
        </is>
      </c>
      <c r="B10" s="14" t="n">
        <v>51170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59580</v>
      </c>
    </row>
    <row r="14">
      <c r="A14" t="inlineStr">
        <is>
          <t>Profit before tax (the P&amp;L)</t>
        </is>
      </c>
      <c r="B14" s="14">
        <f>B12-B13</f>
        <v/>
      </c>
    </row>
    <row r="15">
      <c r="A15" t="inlineStr">
        <is>
          <t>Revenue</t>
        </is>
      </c>
      <c r="B15" s="14" t="n">
        <v>225460</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September 2026 P&amp;L (locked). Wages include their on-costs: super (12%) and leave as it's earned. No payroll tax: wages are under Queensland's $1.3 million threshold.</t>
        </is>
      </c>
    </row>
    <row r="20"/>
    <row r="21"/>
    <row r="22">
      <c r="A22" s="6" t="inlineStr">
        <is>
          <t>Trades, all lines: gross margin, September and August</t>
        </is>
      </c>
    </row>
    <row r="23">
      <c r="A23" s="13" t="inlineStr">
        <is>
          <t>Revenue less direct cost, over revenue. Before overheads.</t>
        </is>
      </c>
    </row>
    <row r="24">
      <c r="A24" s="7" t="inlineStr"/>
      <c r="B24" s="8" t="inlineStr">
        <is>
          <t>Sep 26</t>
        </is>
      </c>
      <c r="C24" s="8" t="inlineStr">
        <is>
          <t>Aug 26</t>
        </is>
      </c>
    </row>
    <row r="25">
      <c r="A25" t="inlineStr">
        <is>
          <t>Revenue</t>
        </is>
      </c>
      <c r="B25" s="14" t="n">
        <v>225460</v>
      </c>
      <c r="C25" s="14" t="n">
        <v>199523</v>
      </c>
    </row>
    <row r="26">
      <c r="A26" t="inlineStr">
        <is>
          <t>Direct cost</t>
        </is>
      </c>
      <c r="B26" s="14" t="n">
        <v>129230</v>
      </c>
      <c r="C26" s="14" t="n">
        <v>105370</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September and August</t>
        </is>
      </c>
    </row>
    <row r="32">
      <c r="A32" s="13" t="inlineStr">
        <is>
          <t>Revenue less direct cost, over revenue. Before overheads.</t>
        </is>
      </c>
    </row>
    <row r="33">
      <c r="A33" s="7" t="inlineStr"/>
      <c r="B33" s="8" t="inlineStr">
        <is>
          <t>Sep 26</t>
        </is>
      </c>
      <c r="C33" s="8" t="inlineStr">
        <is>
          <t>Aug 26</t>
        </is>
      </c>
    </row>
    <row r="34">
      <c r="A34" t="inlineStr">
        <is>
          <t>Revenue</t>
        </is>
      </c>
      <c r="B34" s="14" t="n">
        <v>225460</v>
      </c>
      <c r="C34" s="14" t="n">
        <v>199523</v>
      </c>
    </row>
    <row r="35">
      <c r="A35" t="inlineStr">
        <is>
          <t>Direct cost</t>
        </is>
      </c>
      <c r="B35" s="14" t="n">
        <v>129230</v>
      </c>
      <c r="C35" s="14" t="n">
        <v>105370</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September 2026</t>
        </is>
      </c>
    </row>
    <row r="41">
      <c r="A41" s="13" t="inlineStr">
        <is>
          <t>Gross margin on the work − time not charged − overheads = profit before tax</t>
        </is>
      </c>
    </row>
    <row r="42">
      <c r="A42" s="7" t="inlineStr"/>
      <c r="B42" s="8" t="inlineStr">
        <is>
          <t>Sep 2026</t>
        </is>
      </c>
    </row>
    <row r="43">
      <c r="A43" t="inlineStr">
        <is>
          <t>Gross margin on jobs</t>
        </is>
      </c>
      <c r="B43" s="14" t="n">
        <v>96230</v>
      </c>
    </row>
    <row r="44">
      <c r="A44" t="inlineStr">
        <is>
          <t>Technician wages and on-costs</t>
        </is>
      </c>
      <c r="B44" s="14" t="n">
        <v>79587</v>
      </c>
    </row>
    <row r="45">
      <c r="A45" t="inlineStr">
        <is>
          <t>Technician time charged to jobs (at cost)</t>
        </is>
      </c>
      <c r="B45" s="14" t="n">
        <v>51170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59580</v>
      </c>
    </row>
    <row r="49">
      <c r="A49" t="inlineStr">
        <is>
          <t>Profit before tax (the P&amp;L)</t>
        </is>
      </c>
      <c r="B49" s="14">
        <f>B47-B48</f>
        <v/>
      </c>
    </row>
    <row r="50">
      <c r="A50" t="inlineStr">
        <is>
          <t>Revenue</t>
        </is>
      </c>
      <c r="B50" s="14" t="n">
        <v>225460</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September 2026 P&amp;L (locked). Wages include their on-costs: super (12%) and leave as it's earned. No payroll tax: wages are under Queensland's $1.3 million threshold.</t>
        </is>
      </c>
    </row>
    <row r="55"/>
    <row r="56"/>
    <row r="57">
      <c r="A57" s="6" t="inlineStr">
        <is>
          <t>Maintenance contracts, September</t>
        </is>
      </c>
    </row>
    <row r="58">
      <c r="A58" s="13" t="inlineStr">
        <is>
          <t>Revenue less direct cost (materials, subcontractors, technician time at cost)</t>
        </is>
      </c>
    </row>
    <row r="59">
      <c r="A59" s="7" t="inlineStr"/>
      <c r="B59" s="8" t="inlineStr">
        <is>
          <t>Sep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September</t>
        </is>
      </c>
    </row>
    <row r="67">
      <c r="A67" s="13" t="inlineStr">
        <is>
          <t>Revenue less direct cost (materials, subcontractors, technician time at cost)</t>
        </is>
      </c>
    </row>
    <row r="68">
      <c r="A68" s="7" t="inlineStr"/>
      <c r="B68" s="8" t="inlineStr">
        <is>
          <t>Sep 2026</t>
        </is>
      </c>
    </row>
    <row r="69">
      <c r="A69" t="inlineStr">
        <is>
          <t>Revenue</t>
        </is>
      </c>
      <c r="B69" s="14" t="n">
        <v>146300</v>
      </c>
    </row>
    <row r="70">
      <c r="A70" t="inlineStr">
        <is>
          <t>Direct cost</t>
        </is>
      </c>
      <c r="B70" s="14" t="n">
        <v>95368</v>
      </c>
    </row>
    <row r="71">
      <c r="A71" t="inlineStr">
        <is>
          <t>Gross margin</t>
        </is>
      </c>
      <c r="B71" s="14">
        <f>B69-B70</f>
        <v/>
      </c>
    </row>
    <row r="72">
      <c r="A72" s="16" t="inlineStr">
        <is>
          <t>Gross margin %</t>
        </is>
      </c>
      <c r="B72" s="17">
        <f>B71/B69</f>
        <v/>
      </c>
    </row>
    <row r="73"/>
    <row r="74"/>
    <row r="75">
      <c r="A75" s="6" t="inlineStr">
        <is>
          <t>Call-outs and repairs, September</t>
        </is>
      </c>
    </row>
    <row r="76">
      <c r="A76" s="13" t="inlineStr">
        <is>
          <t>Revenue less direct cost (materials, subcontractors, technician time at cost)</t>
        </is>
      </c>
    </row>
    <row r="77">
      <c r="A77" s="7" t="inlineStr"/>
      <c r="B77" s="8" t="inlineStr">
        <is>
          <t>Sep 2026</t>
        </is>
      </c>
    </row>
    <row r="78">
      <c r="A78" t="inlineStr">
        <is>
          <t>Revenue</t>
        </is>
      </c>
      <c r="B78" s="14" t="n">
        <v>33810</v>
      </c>
    </row>
    <row r="79">
      <c r="A79" t="inlineStr">
        <is>
          <t>Direct cost</t>
        </is>
      </c>
      <c r="B79" s="14" t="n">
        <v>17478</v>
      </c>
    </row>
    <row r="80">
      <c r="A80" t="inlineStr">
        <is>
          <t>Gross margin</t>
        </is>
      </c>
      <c r="B80" s="14">
        <f>B78-B79</f>
        <v/>
      </c>
    </row>
    <row r="81">
      <c r="A81" s="16" t="inlineStr">
        <is>
          <t>Gross margin %</t>
        </is>
      </c>
      <c r="B81" s="17">
        <f>B80/B78</f>
        <v/>
      </c>
    </row>
    <row r="82"/>
    <row r="83"/>
    <row r="84">
      <c r="A84" s="6" t="inlineStr">
        <is>
          <t>Trades, Maintenance contracts: gross margin, September and August</t>
        </is>
      </c>
    </row>
    <row r="85">
      <c r="A85" s="13" t="inlineStr">
        <is>
          <t>Revenue less direct cost, over revenue. Before overheads.</t>
        </is>
      </c>
    </row>
    <row r="86">
      <c r="A86" s="7" t="inlineStr"/>
      <c r="B86" s="8" t="inlineStr">
        <is>
          <t>Sep 26</t>
        </is>
      </c>
      <c r="C86" s="8" t="inlineStr">
        <is>
          <t>Aug 26</t>
        </is>
      </c>
    </row>
    <row r="87">
      <c r="A87" t="inlineStr">
        <is>
          <t>Revenue</t>
        </is>
      </c>
      <c r="B87" s="14" t="n">
        <v>45350</v>
      </c>
      <c r="C87" s="14" t="n">
        <v>45350</v>
      </c>
    </row>
    <row r="88">
      <c r="A88" t="inlineStr">
        <is>
          <t>Direct cost</t>
        </is>
      </c>
      <c r="B88" s="14" t="n">
        <v>16384</v>
      </c>
      <c r="C88" s="14" t="n">
        <v>16384</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September and August</t>
        </is>
      </c>
    </row>
    <row r="94">
      <c r="A94" s="13" t="inlineStr">
        <is>
          <t>Revenue less direct cost, over revenue. Before overheads.</t>
        </is>
      </c>
    </row>
    <row r="95">
      <c r="A95" s="7" t="inlineStr"/>
      <c r="B95" s="8" t="inlineStr">
        <is>
          <t>Sep 26</t>
        </is>
      </c>
      <c r="C95" s="8" t="inlineStr">
        <is>
          <t>Aug 26</t>
        </is>
      </c>
    </row>
    <row r="96">
      <c r="A96" t="inlineStr">
        <is>
          <t>Revenue</t>
        </is>
      </c>
      <c r="B96" s="14" t="n">
        <v>45350</v>
      </c>
      <c r="C96" s="14" t="n">
        <v>45350</v>
      </c>
    </row>
    <row r="97">
      <c r="A97" t="inlineStr">
        <is>
          <t>Direct cost</t>
        </is>
      </c>
      <c r="B97" s="14" t="n">
        <v>16384</v>
      </c>
      <c r="C97" s="14" t="n">
        <v>16384</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September 2026</t>
        </is>
      </c>
    </row>
    <row r="103">
      <c r="A103" s="13" t="inlineStr">
        <is>
          <t>Gross margin on the work − time not charged − overheads = profit before tax</t>
        </is>
      </c>
    </row>
    <row r="104">
      <c r="A104" s="7" t="inlineStr"/>
      <c r="B104" s="8" t="inlineStr">
        <is>
          <t>Sep 2026</t>
        </is>
      </c>
    </row>
    <row r="105">
      <c r="A105" t="inlineStr">
        <is>
          <t>Gross margin on jobs</t>
        </is>
      </c>
      <c r="B105" s="14" t="n">
        <v>96230</v>
      </c>
    </row>
    <row r="106">
      <c r="A106" t="inlineStr">
        <is>
          <t>Technician wages and on-costs</t>
        </is>
      </c>
      <c r="B106" s="14" t="n">
        <v>79587</v>
      </c>
    </row>
    <row r="107">
      <c r="A107" t="inlineStr">
        <is>
          <t>Technician time charged to jobs (at cost)</t>
        </is>
      </c>
      <c r="B107" s="14" t="n">
        <v>51170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59580</v>
      </c>
    </row>
    <row r="111">
      <c r="A111" t="inlineStr">
        <is>
          <t>Profit before tax (the P&amp;L)</t>
        </is>
      </c>
      <c r="B111" s="14">
        <f>B109-B110</f>
        <v/>
      </c>
    </row>
    <row r="112">
      <c r="A112" t="inlineStr">
        <is>
          <t>Revenue</t>
        </is>
      </c>
      <c r="B112" s="14" t="n">
        <v>225460</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September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September and August</t>
        </is>
      </c>
    </row>
    <row r="302">
      <c r="A302" s="13" t="inlineStr">
        <is>
          <t>Revenue less direct cost, over revenue. Before overheads.</t>
        </is>
      </c>
    </row>
    <row r="303">
      <c r="A303" s="7" t="inlineStr"/>
      <c r="B303" s="8" t="inlineStr">
        <is>
          <t>Sep 26</t>
        </is>
      </c>
      <c r="C303" s="8" t="inlineStr">
        <is>
          <t>Aug 26</t>
        </is>
      </c>
    </row>
    <row r="304">
      <c r="A304" t="inlineStr">
        <is>
          <t>Revenue</t>
        </is>
      </c>
      <c r="B304" s="14" t="n">
        <v>146300</v>
      </c>
      <c r="C304" s="14" t="n">
        <v>122800</v>
      </c>
    </row>
    <row r="305">
      <c r="A305" t="inlineStr">
        <is>
          <t>Direct cost</t>
        </is>
      </c>
      <c r="B305" s="14" t="n">
        <v>95368</v>
      </c>
      <c r="C305" s="14" t="n">
        <v>72720</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September and August</t>
        </is>
      </c>
    </row>
    <row r="311">
      <c r="A311" s="13" t="inlineStr">
        <is>
          <t>Revenue less direct cost, over revenue. Before overheads.</t>
        </is>
      </c>
    </row>
    <row r="312">
      <c r="A312" s="7" t="inlineStr"/>
      <c r="B312" s="8" t="inlineStr">
        <is>
          <t>Sep 26</t>
        </is>
      </c>
      <c r="C312" s="8" t="inlineStr">
        <is>
          <t>Aug 26</t>
        </is>
      </c>
    </row>
    <row r="313">
      <c r="A313" t="inlineStr">
        <is>
          <t>Revenue</t>
        </is>
      </c>
      <c r="B313" s="14" t="n">
        <v>146300</v>
      </c>
      <c r="C313" s="14" t="n">
        <v>122800</v>
      </c>
    </row>
    <row r="314">
      <c r="A314" t="inlineStr">
        <is>
          <t>Direct cost</t>
        </is>
      </c>
      <c r="B314" s="14" t="n">
        <v>95368</v>
      </c>
      <c r="C314" s="14" t="n">
        <v>72720</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September 2026</t>
        </is>
      </c>
    </row>
    <row r="320">
      <c r="A320" s="13" t="inlineStr">
        <is>
          <t>Gross margin on the work − time not charged − overheads = profit before tax</t>
        </is>
      </c>
    </row>
    <row r="321">
      <c r="A321" s="7" t="inlineStr"/>
      <c r="B321" s="8" t="inlineStr">
        <is>
          <t>Sep 2026</t>
        </is>
      </c>
    </row>
    <row r="322">
      <c r="A322" t="inlineStr">
        <is>
          <t>Gross margin on jobs</t>
        </is>
      </c>
      <c r="B322" s="14" t="n">
        <v>96230</v>
      </c>
    </row>
    <row r="323">
      <c r="A323" t="inlineStr">
        <is>
          <t>Technician wages and on-costs</t>
        </is>
      </c>
      <c r="B323" s="14" t="n">
        <v>79587</v>
      </c>
    </row>
    <row r="324">
      <c r="A324" t="inlineStr">
        <is>
          <t>Technician time charged to jobs (at cost)</t>
        </is>
      </c>
      <c r="B324" s="14" t="n">
        <v>51170</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59580</v>
      </c>
    </row>
    <row r="328">
      <c r="A328" t="inlineStr">
        <is>
          <t>Profit before tax (the P&amp;L)</t>
        </is>
      </c>
      <c r="B328" s="14">
        <f>B326-B327</f>
        <v/>
      </c>
    </row>
    <row r="329">
      <c r="A329" t="inlineStr">
        <is>
          <t>Revenue</t>
        </is>
      </c>
      <c r="B329" s="14" t="n">
        <v>225460</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September 2026 P&amp;L (locked). Wages include their on-costs: super (12%) and leave as it's earned. No payroll tax: wages are under Queensland's $1.3 million threshold.</t>
        </is>
      </c>
    </row>
    <row r="334"/>
    <row r="335"/>
    <row r="336">
      <c r="A336" s="6" t="inlineStr">
        <is>
          <t>Bulimba EV chargers</t>
        </is>
      </c>
    </row>
    <row r="337">
      <c r="A337" s="13" t="inlineStr">
        <is>
          <t>Job gross margin ÷ revenue for this job (before overheads)</t>
        </is>
      </c>
    </row>
    <row r="338">
      <c r="A338" s="7" t="inlineStr"/>
      <c r="B338" s="8" t="inlineStr">
        <is>
          <t>This job</t>
        </is>
      </c>
    </row>
    <row r="339">
      <c r="A339" t="inlineStr">
        <is>
          <t>Revenue</t>
        </is>
      </c>
      <c r="B339" s="14" t="n">
        <v>11000</v>
      </c>
    </row>
    <row r="340">
      <c r="A340" t="inlineStr">
        <is>
          <t>Materials</t>
        </is>
      </c>
      <c r="B340" s="14" t="n">
        <v>-3600</v>
      </c>
    </row>
    <row r="341">
      <c r="A341" t="inlineStr">
        <is>
          <t>Subcontractors</t>
        </is>
      </c>
      <c r="B341" s="14" t="n">
        <v>0</v>
      </c>
    </row>
    <row r="342">
      <c r="A342" t="inlineStr">
        <is>
          <t>Technician hours</t>
        </is>
      </c>
      <c r="B342" s="18" t="n">
        <v>26</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Milton office LED lighting</t>
        </is>
      </c>
    </row>
    <row r="350">
      <c r="A350" s="13" t="inlineStr">
        <is>
          <t>Job gross margin ÷ revenue for this job (before overheads)</t>
        </is>
      </c>
    </row>
    <row r="351">
      <c r="A351" s="7" t="inlineStr"/>
      <c r="B351" s="8" t="inlineStr">
        <is>
          <t>This job</t>
        </is>
      </c>
    </row>
    <row r="352">
      <c r="A352" t="inlineStr">
        <is>
          <t>Revenue</t>
        </is>
      </c>
      <c r="B352" s="14" t="n">
        <v>20800</v>
      </c>
    </row>
    <row r="353">
      <c r="A353" t="inlineStr">
        <is>
          <t>Materials</t>
        </is>
      </c>
      <c r="B353" s="14" t="n">
        <v>-6900</v>
      </c>
    </row>
    <row r="354">
      <c r="A354" t="inlineStr">
        <is>
          <t>Subcontractors</t>
        </is>
      </c>
      <c r="B354" s="14" t="n">
        <v>0</v>
      </c>
    </row>
    <row r="355">
      <c r="A355" t="inlineStr">
        <is>
          <t>Technician hours</t>
        </is>
      </c>
      <c r="B355" s="18" t="n">
        <v>64</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Chermside clinic cabling</t>
        </is>
      </c>
    </row>
    <row r="363">
      <c r="A363" s="13" t="inlineStr">
        <is>
          <t>Job gross margin ÷ revenue for this job (before overheads)</t>
        </is>
      </c>
    </row>
    <row r="364">
      <c r="A364" s="7" t="inlineStr"/>
      <c r="B364" s="8" t="inlineStr">
        <is>
          <t>This job</t>
        </is>
      </c>
    </row>
    <row r="365">
      <c r="A365" t="inlineStr">
        <is>
          <t>Revenue</t>
        </is>
      </c>
      <c r="B365" s="14" t="n">
        <v>17000</v>
      </c>
    </row>
    <row r="366">
      <c r="A366" t="inlineStr">
        <is>
          <t>Materials</t>
        </is>
      </c>
      <c r="B366" s="14" t="n">
        <v>-4300</v>
      </c>
    </row>
    <row r="367">
      <c r="A367" t="inlineStr">
        <is>
          <t>Subcontractors</t>
        </is>
      </c>
      <c r="B367" s="14" t="n">
        <v>-1800</v>
      </c>
    </row>
    <row r="368">
      <c r="A368" t="inlineStr">
        <is>
          <t>Technician hours</t>
        </is>
      </c>
      <c r="B368" s="18" t="n">
        <v>52</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West End cafe air-con</t>
        </is>
      </c>
    </row>
    <row r="376">
      <c r="A376" s="13" t="inlineStr">
        <is>
          <t>Job gross margin ÷ revenue for this job (before overheads)</t>
        </is>
      </c>
    </row>
    <row r="377">
      <c r="A377" s="7" t="inlineStr"/>
      <c r="B377" s="8" t="inlineStr">
        <is>
          <t>This job</t>
        </is>
      </c>
    </row>
    <row r="378">
      <c r="A378" t="inlineStr">
        <is>
          <t>Revenue</t>
        </is>
      </c>
      <c r="B378" s="14" t="n">
        <v>14400</v>
      </c>
    </row>
    <row r="379">
      <c r="A379" t="inlineStr">
        <is>
          <t>Materials</t>
        </is>
      </c>
      <c r="B379" s="14" t="n">
        <v>-5100</v>
      </c>
    </row>
    <row r="380">
      <c r="A380" t="inlineStr">
        <is>
          <t>Subcontractors</t>
        </is>
      </c>
      <c r="B380" s="14" t="n">
        <v>-900</v>
      </c>
    </row>
    <row r="381">
      <c r="A381" t="inlineStr">
        <is>
          <t>Technician hours</t>
        </is>
      </c>
      <c r="B381" s="18" t="n">
        <v>38</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Carindale solar and battery</t>
        </is>
      </c>
    </row>
    <row r="389">
      <c r="A389" s="13" t="inlineStr">
        <is>
          <t>Job gross margin ÷ revenue for this job (before overheads)</t>
        </is>
      </c>
    </row>
    <row r="390">
      <c r="A390" s="7" t="inlineStr"/>
      <c r="B390" s="8" t="inlineStr">
        <is>
          <t>This job</t>
        </is>
      </c>
    </row>
    <row r="391">
      <c r="A391" t="inlineStr">
        <is>
          <t>Revenue</t>
        </is>
      </c>
      <c r="B391" s="14" t="n">
        <v>30700</v>
      </c>
    </row>
    <row r="392">
      <c r="A392" t="inlineStr">
        <is>
          <t>Materials</t>
        </is>
      </c>
      <c r="B392" s="14" t="n">
        <v>-13800</v>
      </c>
    </row>
    <row r="393">
      <c r="A393" t="inlineStr">
        <is>
          <t>Subcontractors</t>
        </is>
      </c>
      <c r="B393" s="14" t="n">
        <v>-3100</v>
      </c>
    </row>
    <row r="394">
      <c r="A394" t="inlineStr">
        <is>
          <t>Technician hours</t>
        </is>
      </c>
      <c r="B394" s="18" t="n">
        <v>46</v>
      </c>
    </row>
    <row r="395">
      <c r="A395" t="inlineStr">
        <is>
          <t>Technician cost rate ($/hour, wages and all on-costs)</t>
        </is>
      </c>
      <c r="B395" s="14" t="n">
        <v>68</v>
      </c>
    </row>
    <row r="396">
      <c r="A396" t="inlineStr">
        <is>
          <t>Technician time</t>
        </is>
      </c>
      <c r="B396" s="14">
        <f>-B394*B395</f>
        <v/>
      </c>
    </row>
    <row r="397">
      <c r="A397" t="inlineStr">
        <is>
          <t>Job gross margin</t>
        </is>
      </c>
      <c r="B397" s="14">
        <f>B391+B392+B393+B396</f>
        <v/>
      </c>
    </row>
    <row r="398">
      <c r="A398" s="16" t="inlineStr">
        <is>
          <t>Job gross margin %</t>
        </is>
      </c>
      <c r="B398" s="17">
        <f>B397/B391</f>
        <v/>
      </c>
    </row>
    <row r="399"/>
    <row r="400"/>
    <row r="401">
      <c r="A401" s="6" t="inlineStr">
        <is>
          <t>Wacol warehouse switchboard</t>
        </is>
      </c>
    </row>
    <row r="402">
      <c r="A402" s="13" t="inlineStr">
        <is>
          <t>Job gross margin ÷ revenue for this job (before overheads)</t>
        </is>
      </c>
    </row>
    <row r="403">
      <c r="A403" s="7" t="inlineStr"/>
      <c r="B403" s="8" t="inlineStr">
        <is>
          <t>This job</t>
        </is>
      </c>
    </row>
    <row r="404">
      <c r="A404" t="inlineStr">
        <is>
          <t>Revenue</t>
        </is>
      </c>
      <c r="B404" s="14" t="n">
        <v>52400</v>
      </c>
    </row>
    <row r="405">
      <c r="A405" t="inlineStr">
        <is>
          <t>Materials</t>
        </is>
      </c>
      <c r="B405" s="14" t="n">
        <v>-22900</v>
      </c>
    </row>
    <row r="406">
      <c r="A406" t="inlineStr">
        <is>
          <t>Subcontractors</t>
        </is>
      </c>
      <c r="B406" s="14" t="n">
        <v>-7400</v>
      </c>
    </row>
    <row r="407">
      <c r="A407" t="inlineStr">
        <is>
          <t>Technician hours</t>
        </is>
      </c>
      <c r="B407" s="18" t="n">
        <v>150</v>
      </c>
    </row>
    <row r="408">
      <c r="A408" t="inlineStr">
        <is>
          <t>Technician cost rate ($/hour, wages and all on-costs)</t>
        </is>
      </c>
      <c r="B408" s="14" t="n">
        <v>68</v>
      </c>
    </row>
    <row r="409">
      <c r="A409" t="inlineStr">
        <is>
          <t>Technician time</t>
        </is>
      </c>
      <c r="B409" s="14">
        <f>-B407*B408</f>
        <v/>
      </c>
    </row>
    <row r="410">
      <c r="A410" t="inlineStr">
        <is>
          <t>Job gross margin</t>
        </is>
      </c>
      <c r="B410" s="14">
        <f>B404+B405+B406+B409</f>
        <v/>
      </c>
    </row>
    <row r="411">
      <c r="A411" s="16" t="inlineStr">
        <is>
          <t>Job gross margin %</t>
        </is>
      </c>
      <c r="B411" s="17">
        <f>B410/B404</f>
        <v/>
      </c>
    </row>
    <row r="412"/>
    <row r="413"/>
    <row r="414">
      <c r="A414" s="6" t="inlineStr">
        <is>
          <t>Trades, Call-outs and repairs: gross margin, September and August</t>
        </is>
      </c>
    </row>
    <row r="415">
      <c r="A415" s="13" t="inlineStr">
        <is>
          <t>Revenue less direct cost, over revenue. Before overheads.</t>
        </is>
      </c>
    </row>
    <row r="416">
      <c r="A416" s="7" t="inlineStr"/>
      <c r="B416" s="8" t="inlineStr">
        <is>
          <t>Sep 26</t>
        </is>
      </c>
      <c r="C416" s="8" t="inlineStr">
        <is>
          <t>Aug 26</t>
        </is>
      </c>
    </row>
    <row r="417">
      <c r="A417" t="inlineStr">
        <is>
          <t>Revenue</t>
        </is>
      </c>
      <c r="B417" s="14" t="n">
        <v>33810</v>
      </c>
      <c r="C417" s="14" t="n">
        <v>31373</v>
      </c>
    </row>
    <row r="418">
      <c r="A418" t="inlineStr">
        <is>
          <t>Direct cost</t>
        </is>
      </c>
      <c r="B418" s="14" t="n">
        <v>17478</v>
      </c>
      <c r="C418" s="14" t="n">
        <v>16266</v>
      </c>
    </row>
    <row r="419">
      <c r="A419" t="inlineStr">
        <is>
          <t>Gross margin</t>
        </is>
      </c>
      <c r="B419" s="14">
        <f>B417-B418</f>
        <v/>
      </c>
      <c r="C419" s="14">
        <f>C417-C418</f>
        <v/>
      </c>
    </row>
    <row r="420">
      <c r="A420" s="16" t="inlineStr">
        <is>
          <t>Gross margin %</t>
        </is>
      </c>
      <c r="B420" s="17">
        <f>B419/B417</f>
        <v/>
      </c>
      <c r="C420" s="17">
        <f>C419/C417</f>
        <v/>
      </c>
    </row>
    <row r="421"/>
    <row r="422"/>
    <row r="423">
      <c r="A423" s="6" t="inlineStr">
        <is>
          <t>Trades, Call-outs and repairs: gross margin, September and August</t>
        </is>
      </c>
    </row>
    <row r="424">
      <c r="A424" s="13" t="inlineStr">
        <is>
          <t>Revenue less direct cost, over revenue. Before overheads.</t>
        </is>
      </c>
    </row>
    <row r="425">
      <c r="A425" s="7" t="inlineStr"/>
      <c r="B425" s="8" t="inlineStr">
        <is>
          <t>Sep 26</t>
        </is>
      </c>
      <c r="C425" s="8" t="inlineStr">
        <is>
          <t>Aug 26</t>
        </is>
      </c>
    </row>
    <row r="426">
      <c r="A426" t="inlineStr">
        <is>
          <t>Revenue</t>
        </is>
      </c>
      <c r="B426" s="14" t="n">
        <v>33810</v>
      </c>
      <c r="C426" s="14" t="n">
        <v>31373</v>
      </c>
    </row>
    <row r="427">
      <c r="A427" t="inlineStr">
        <is>
          <t>Direct cost</t>
        </is>
      </c>
      <c r="B427" s="14" t="n">
        <v>17478</v>
      </c>
      <c r="C427" s="14" t="n">
        <v>16266</v>
      </c>
    </row>
    <row r="428">
      <c r="A428" t="inlineStr">
        <is>
          <t>Gross margin</t>
        </is>
      </c>
      <c r="B428" s="14">
        <f>B426-B427</f>
        <v/>
      </c>
      <c r="C428" s="14">
        <f>C426-C427</f>
        <v/>
      </c>
    </row>
    <row r="429">
      <c r="A429" s="16" t="inlineStr">
        <is>
          <t>Gross margin %</t>
        </is>
      </c>
      <c r="B429" s="17">
        <f>B428/B426</f>
        <v/>
      </c>
      <c r="C429" s="17">
        <f>C428/C426</f>
        <v/>
      </c>
    </row>
    <row r="430"/>
    <row r="431"/>
    <row r="432">
      <c r="A432" s="6" t="inlineStr">
        <is>
          <t>Trades: From gross margin to profit, September 2026</t>
        </is>
      </c>
    </row>
    <row r="433">
      <c r="A433" s="13" t="inlineStr">
        <is>
          <t>Gross margin on the work − time not charged − overheads = profit before tax</t>
        </is>
      </c>
    </row>
    <row r="434">
      <c r="A434" s="7" t="inlineStr"/>
      <c r="B434" s="8" t="inlineStr">
        <is>
          <t>Sep 2026</t>
        </is>
      </c>
    </row>
    <row r="435">
      <c r="A435" t="inlineStr">
        <is>
          <t>Gross margin on jobs</t>
        </is>
      </c>
      <c r="B435" s="14" t="n">
        <v>96230</v>
      </c>
    </row>
    <row r="436">
      <c r="A436" t="inlineStr">
        <is>
          <t>Technician wages and on-costs</t>
        </is>
      </c>
      <c r="B436" s="14" t="n">
        <v>79587</v>
      </c>
    </row>
    <row r="437">
      <c r="A437" t="inlineStr">
        <is>
          <t>Technician time charged to jobs (at cost)</t>
        </is>
      </c>
      <c r="B437" s="14" t="n">
        <v>51170</v>
      </c>
    </row>
    <row r="438">
      <c r="A438" t="inlineStr">
        <is>
          <t>Technician time not charged to jobs</t>
        </is>
      </c>
      <c r="B438" s="14">
        <f>B436-B437</f>
        <v/>
      </c>
    </row>
    <row r="439">
      <c r="A439" t="inlineStr">
        <is>
          <t>Gross profit (the P&amp;L)</t>
        </is>
      </c>
      <c r="B439" s="14">
        <f>B435-B438</f>
        <v/>
      </c>
    </row>
    <row r="440">
      <c r="A440" t="inlineStr">
        <is>
          <t>Overheads (operating expenses, depreciation, interest)</t>
        </is>
      </c>
      <c r="B440" s="14" t="n">
        <v>59580</v>
      </c>
    </row>
    <row r="441">
      <c r="A441" t="inlineStr">
        <is>
          <t>Profit before tax (the P&amp;L)</t>
        </is>
      </c>
      <c r="B441" s="14">
        <f>B439-B440</f>
        <v/>
      </c>
    </row>
    <row r="442">
      <c r="A442" t="inlineStr">
        <is>
          <t>Revenue</t>
        </is>
      </c>
      <c r="B442" s="14" t="n">
        <v>225460</v>
      </c>
    </row>
    <row r="443">
      <c r="A443" t="inlineStr">
        <is>
          <t>Gross margin on jobs, %</t>
        </is>
      </c>
      <c r="B443" s="15">
        <f>B435/B442</f>
        <v/>
      </c>
    </row>
    <row r="444">
      <c r="A444" t="inlineStr">
        <is>
          <t>Profit before tax, % of revenue</t>
        </is>
      </c>
      <c r="B444" s="15">
        <f>B441/B442</f>
        <v/>
      </c>
    </row>
    <row r="445">
      <c r="A445" s="16" t="inlineStr">
        <is>
          <t>Gross margin jobs need just to cover overheads and time not charged</t>
        </is>
      </c>
      <c r="B445" s="17">
        <f>(B438+B440)/B442</f>
        <v/>
      </c>
    </row>
    <row r="446">
      <c r="A446" s="2" t="inlineStr">
        <is>
          <t>Ties to the September 2026 P&amp;L (locked). Wages include their on-costs: super (12%) and leave as it's earned. No payroll tax: wages are under Queensland's $1.3 million threshold.</t>
        </is>
      </c>
    </row>
    <row r="447"/>
    <row r="448"/>
    <row r="449">
      <c r="A449" s="6" t="inlineStr">
        <is>
          <t>Call-out revenue, September</t>
        </is>
      </c>
    </row>
    <row r="450">
      <c r="A450" s="13" t="inlineStr">
        <is>
          <t>Technician time charged at $163/hour + materials charged at cost × 1.3</t>
        </is>
      </c>
    </row>
    <row r="451">
      <c r="A451" s="7" t="inlineStr"/>
      <c r="B451" s="8" t="inlineStr">
        <is>
          <t>Sep 2026</t>
        </is>
      </c>
    </row>
    <row r="452">
      <c r="A452" t="inlineStr">
        <is>
          <t>Technician time charged ($163/hour)</t>
        </is>
      </c>
      <c r="B452" s="14" t="n">
        <v>24216</v>
      </c>
    </row>
    <row r="453">
      <c r="A453" t="inlineStr">
        <is>
          <t>Materials at cost</t>
        </is>
      </c>
      <c r="B453" s="14" t="n">
        <v>7380</v>
      </c>
    </row>
    <row r="454">
      <c r="A454" t="inlineStr">
        <is>
          <t>Mark-up on materials</t>
        </is>
      </c>
      <c r="B454" s="15" t="n">
        <v>0.3</v>
      </c>
    </row>
    <row r="455">
      <c r="A455" t="inlineStr">
        <is>
          <t>Materials charged (cost × 1.3)</t>
        </is>
      </c>
      <c r="B455" s="14">
        <f>B453*(1+B454)</f>
        <v/>
      </c>
    </row>
    <row r="456">
      <c r="A456" t="inlineStr">
        <is>
          <t>Materials charged (as invoiced, rounded per call-out)</t>
        </is>
      </c>
      <c r="B456" s="14" t="n">
        <v>9594</v>
      </c>
    </row>
    <row r="457">
      <c r="A457" t="inlineStr">
        <is>
          <t>Call-out revenue</t>
        </is>
      </c>
      <c r="B457" s="14">
        <f>B452+B456</f>
        <v/>
      </c>
    </row>
    <row r="458">
      <c r="A458" s="16" t="inlineStr">
        <is>
          <t>Technician time, % of call-out revenue</t>
        </is>
      </c>
      <c r="B458" s="17">
        <f>B452/B457</f>
        <v/>
      </c>
    </row>
    <row r="459"/>
    <row r="460"/>
    <row r="461">
      <c r="A461" s="6" t="inlineStr">
        <is>
          <t>Call-out revenue, September</t>
        </is>
      </c>
    </row>
    <row r="462">
      <c r="A462" s="13" t="inlineStr">
        <is>
          <t>Technician time charged at $163/hour + materials charged at cost × 1.3</t>
        </is>
      </c>
    </row>
    <row r="463">
      <c r="A463" s="7" t="inlineStr"/>
      <c r="B463" s="8" t="inlineStr">
        <is>
          <t>Sep 2026</t>
        </is>
      </c>
    </row>
    <row r="464">
      <c r="A464" t="inlineStr">
        <is>
          <t>Technician time charged ($163/hour)</t>
        </is>
      </c>
      <c r="B464" s="14" t="n">
        <v>24216</v>
      </c>
    </row>
    <row r="465">
      <c r="A465" t="inlineStr">
        <is>
          <t>Materials at cost</t>
        </is>
      </c>
      <c r="B465" s="14" t="n">
        <v>7380</v>
      </c>
    </row>
    <row r="466">
      <c r="A466" t="inlineStr">
        <is>
          <t>Mark-up on materials</t>
        </is>
      </c>
      <c r="B466" s="15" t="n">
        <v>0.3</v>
      </c>
    </row>
    <row r="467">
      <c r="A467" t="inlineStr">
        <is>
          <t>Materials charged (cost × 1.3)</t>
        </is>
      </c>
      <c r="B467" s="14">
        <f>B465*(1+B466)</f>
        <v/>
      </c>
    </row>
    <row r="468">
      <c r="A468" t="inlineStr">
        <is>
          <t>Materials charged (as invoiced, rounded per call-out)</t>
        </is>
      </c>
      <c r="B468" s="14" t="n">
        <v>9594</v>
      </c>
    </row>
    <row r="469">
      <c r="A469" t="inlineStr">
        <is>
          <t>Call-out revenue</t>
        </is>
      </c>
      <c r="B469" s="14">
        <f>B464+B468</f>
        <v/>
      </c>
    </row>
    <row r="470">
      <c r="A470" s="16" t="inlineStr">
        <is>
          <t>Technician time, % of call-out revenue</t>
        </is>
      </c>
      <c r="B470" s="17">
        <f>B464/B469</f>
        <v/>
      </c>
    </row>
    <row r="471"/>
    <row r="472"/>
    <row r="473">
      <c r="A473" s="6" t="inlineStr">
        <is>
          <t>1-hour call-outs (6)</t>
        </is>
      </c>
    </row>
    <row r="474">
      <c r="A474" s="13" t="inlineStr">
        <is>
          <t>Call-outs of this length in September, added together</t>
        </is>
      </c>
    </row>
    <row r="475">
      <c r="A475" s="7" t="inlineStr"/>
      <c r="B475" s="8" t="inlineStr">
        <is>
          <t>Sep 2026</t>
        </is>
      </c>
    </row>
    <row r="476">
      <c r="A476" t="inlineStr">
        <is>
          <t>Call-outs</t>
        </is>
      </c>
      <c r="B476" s="14" t="n">
        <v>6</v>
      </c>
    </row>
    <row r="477">
      <c r="A477" t="inlineStr">
        <is>
          <t>Technician time charged ($163/hour)</t>
        </is>
      </c>
      <c r="B477" s="14" t="n">
        <v>978</v>
      </c>
    </row>
    <row r="478">
      <c r="A478" t="inlineStr">
        <is>
          <t>Materials charged (cost × 1.3)</t>
        </is>
      </c>
      <c r="B478" s="14" t="n">
        <v>923</v>
      </c>
    </row>
    <row r="479">
      <c r="A479" t="inlineStr">
        <is>
          <t>Revenue</t>
        </is>
      </c>
      <c r="B479" s="14">
        <f>B477+B478</f>
        <v/>
      </c>
    </row>
    <row r="480">
      <c r="A480" t="inlineStr">
        <is>
          <t>Materials at cost</t>
        </is>
      </c>
      <c r="B480" s="14" t="n">
        <v>-710</v>
      </c>
    </row>
    <row r="481">
      <c r="A481" t="inlineStr">
        <is>
          <t>Technician time at cost</t>
        </is>
      </c>
      <c r="B481" s="14" t="n">
        <v>-408</v>
      </c>
    </row>
    <row r="482">
      <c r="A482" t="inlineStr">
        <is>
          <t>Job gross margin</t>
        </is>
      </c>
      <c r="B482" s="14">
        <f>B479+B480+B481</f>
        <v/>
      </c>
    </row>
    <row r="483">
      <c r="A483" s="16" t="inlineStr">
        <is>
          <t>Job gross margin %</t>
        </is>
      </c>
      <c r="B483" s="17">
        <f>B482/B479</f>
        <v/>
      </c>
    </row>
    <row r="484"/>
    <row r="485"/>
    <row r="486">
      <c r="A486" s="6" t="inlineStr">
        <is>
          <t>1.5-hour call-outs (13)</t>
        </is>
      </c>
    </row>
    <row r="487">
      <c r="A487" s="13" t="inlineStr">
        <is>
          <t>Call-outs of this length in September, added together</t>
        </is>
      </c>
    </row>
    <row r="488">
      <c r="A488" s="7" t="inlineStr"/>
      <c r="B488" s="8" t="inlineStr">
        <is>
          <t>Sep 2026</t>
        </is>
      </c>
    </row>
    <row r="489">
      <c r="A489" t="inlineStr">
        <is>
          <t>Call-outs</t>
        </is>
      </c>
      <c r="B489" s="14" t="n">
        <v>13</v>
      </c>
    </row>
    <row r="490">
      <c r="A490" t="inlineStr">
        <is>
          <t>Technician time charged ($163/hour)</t>
        </is>
      </c>
      <c r="B490" s="14" t="n">
        <v>3185</v>
      </c>
    </row>
    <row r="491">
      <c r="A491" t="inlineStr">
        <is>
          <t>Materials charged (cost × 1.3)</t>
        </is>
      </c>
      <c r="B491" s="14" t="n">
        <v>1833</v>
      </c>
    </row>
    <row r="492">
      <c r="A492" t="inlineStr">
        <is>
          <t>Revenue</t>
        </is>
      </c>
      <c r="B492" s="14">
        <f>B490+B491</f>
        <v/>
      </c>
    </row>
    <row r="493">
      <c r="A493" t="inlineStr">
        <is>
          <t>Materials at cost</t>
        </is>
      </c>
      <c r="B493" s="14" t="n">
        <v>-1410</v>
      </c>
    </row>
    <row r="494">
      <c r="A494" t="inlineStr">
        <is>
          <t>Technician time at cost</t>
        </is>
      </c>
      <c r="B494" s="14" t="n">
        <v>-1326</v>
      </c>
    </row>
    <row r="495">
      <c r="A495" t="inlineStr">
        <is>
          <t>Job gross margin</t>
        </is>
      </c>
      <c r="B495" s="14">
        <f>B492+B493+B494</f>
        <v/>
      </c>
    </row>
    <row r="496">
      <c r="A496" s="16" t="inlineStr">
        <is>
          <t>Job gross margin %</t>
        </is>
      </c>
      <c r="B496" s="17">
        <f>B495/B492</f>
        <v/>
      </c>
    </row>
    <row r="497"/>
    <row r="498"/>
    <row r="499">
      <c r="A499" s="6" t="inlineStr">
        <is>
          <t>2-hour call-outs (17)</t>
        </is>
      </c>
    </row>
    <row r="500">
      <c r="A500" s="13" t="inlineStr">
        <is>
          <t>Call-outs of this length in September, added together</t>
        </is>
      </c>
    </row>
    <row r="501">
      <c r="A501" s="7" t="inlineStr"/>
      <c r="B501" s="8" t="inlineStr">
        <is>
          <t>Sep 2026</t>
        </is>
      </c>
    </row>
    <row r="502">
      <c r="A502" t="inlineStr">
        <is>
          <t>Call-outs</t>
        </is>
      </c>
      <c r="B502" s="14" t="n">
        <v>17</v>
      </c>
    </row>
    <row r="503">
      <c r="A503" t="inlineStr">
        <is>
          <t>Technician time charged ($163/hour)</t>
        </is>
      </c>
      <c r="B503" s="14" t="n">
        <v>5542</v>
      </c>
    </row>
    <row r="504">
      <c r="A504" t="inlineStr">
        <is>
          <t>Materials charged (cost × 1.3)</t>
        </is>
      </c>
      <c r="B504" s="14" t="n">
        <v>2860</v>
      </c>
    </row>
    <row r="505">
      <c r="A505" t="inlineStr">
        <is>
          <t>Revenue</t>
        </is>
      </c>
      <c r="B505" s="14">
        <f>B503+B504</f>
        <v/>
      </c>
    </row>
    <row r="506">
      <c r="A506" t="inlineStr">
        <is>
          <t>Materials at cost</t>
        </is>
      </c>
      <c r="B506" s="14" t="n">
        <v>-2200</v>
      </c>
    </row>
    <row r="507">
      <c r="A507" t="inlineStr">
        <is>
          <t>Technician time at cost</t>
        </is>
      </c>
      <c r="B507" s="14" t="n">
        <v>-2312</v>
      </c>
    </row>
    <row r="508">
      <c r="A508" t="inlineStr">
        <is>
          <t>Job gross margin</t>
        </is>
      </c>
      <c r="B508" s="14">
        <f>B505+B506+B507</f>
        <v/>
      </c>
    </row>
    <row r="509">
      <c r="A509" s="16" t="inlineStr">
        <is>
          <t>Job gross margin %</t>
        </is>
      </c>
      <c r="B509" s="17">
        <f>B508/B505</f>
        <v/>
      </c>
    </row>
    <row r="510"/>
    <row r="511"/>
    <row r="512">
      <c r="A512" s="6" t="inlineStr">
        <is>
          <t>2.5-hour call-outs (8)</t>
        </is>
      </c>
    </row>
    <row r="513">
      <c r="A513" s="13" t="inlineStr">
        <is>
          <t>Call-outs of this length in September, added together</t>
        </is>
      </c>
    </row>
    <row r="514">
      <c r="A514" s="7" t="inlineStr"/>
      <c r="B514" s="8" t="inlineStr">
        <is>
          <t>Sep 2026</t>
        </is>
      </c>
    </row>
    <row r="515">
      <c r="A515" t="inlineStr">
        <is>
          <t>Call-outs</t>
        </is>
      </c>
      <c r="B515" s="14" t="n">
        <v>8</v>
      </c>
    </row>
    <row r="516">
      <c r="A516" t="inlineStr">
        <is>
          <t>Technician time charged ($163/hour)</t>
        </is>
      </c>
      <c r="B516" s="14" t="n">
        <v>3264</v>
      </c>
    </row>
    <row r="517">
      <c r="A517" t="inlineStr">
        <is>
          <t>Materials charged (cost × 1.3)</t>
        </is>
      </c>
      <c r="B517" s="14" t="n">
        <v>1092</v>
      </c>
    </row>
    <row r="518">
      <c r="A518" t="inlineStr">
        <is>
          <t>Revenue</t>
        </is>
      </c>
      <c r="B518" s="14">
        <f>B516+B517</f>
        <v/>
      </c>
    </row>
    <row r="519">
      <c r="A519" t="inlineStr">
        <is>
          <t>Materials at cost</t>
        </is>
      </c>
      <c r="B519" s="14" t="n">
        <v>-840</v>
      </c>
    </row>
    <row r="520">
      <c r="A520" t="inlineStr">
        <is>
          <t>Technician time at cost</t>
        </is>
      </c>
      <c r="B520" s="14" t="n">
        <v>-1360</v>
      </c>
    </row>
    <row r="521">
      <c r="A521" t="inlineStr">
        <is>
          <t>Job gross margin</t>
        </is>
      </c>
      <c r="B521" s="14">
        <f>B518+B519+B520</f>
        <v/>
      </c>
    </row>
    <row r="522">
      <c r="A522" s="16" t="inlineStr">
        <is>
          <t>Job gross margin %</t>
        </is>
      </c>
      <c r="B522" s="17">
        <f>B521/B518</f>
        <v/>
      </c>
    </row>
    <row r="523"/>
    <row r="524"/>
    <row r="525">
      <c r="A525" s="6" t="inlineStr">
        <is>
          <t>3-hour call-outs (11)</t>
        </is>
      </c>
    </row>
    <row r="526">
      <c r="A526" s="13" t="inlineStr">
        <is>
          <t>Call-outs of this length in September, added together</t>
        </is>
      </c>
    </row>
    <row r="527">
      <c r="A527" s="7" t="inlineStr"/>
      <c r="B527" s="8" t="inlineStr">
        <is>
          <t>Sep 2026</t>
        </is>
      </c>
    </row>
    <row r="528">
      <c r="A528" t="inlineStr">
        <is>
          <t>Call-outs</t>
        </is>
      </c>
      <c r="B528" s="14" t="n">
        <v>11</v>
      </c>
    </row>
    <row r="529">
      <c r="A529" t="inlineStr">
        <is>
          <t>Technician time charged ($163/hour)</t>
        </is>
      </c>
      <c r="B529" s="14" t="n">
        <v>5379</v>
      </c>
    </row>
    <row r="530">
      <c r="A530" t="inlineStr">
        <is>
          <t>Materials charged (cost × 1.3)</t>
        </is>
      </c>
      <c r="B530" s="14" t="n">
        <v>1573</v>
      </c>
    </row>
    <row r="531">
      <c r="A531" t="inlineStr">
        <is>
          <t>Revenue</t>
        </is>
      </c>
      <c r="B531" s="14">
        <f>B529+B530</f>
        <v/>
      </c>
    </row>
    <row r="532">
      <c r="A532" t="inlineStr">
        <is>
          <t>Materials at cost</t>
        </is>
      </c>
      <c r="B532" s="14" t="n">
        <v>-1210</v>
      </c>
    </row>
    <row r="533">
      <c r="A533" t="inlineStr">
        <is>
          <t>Technician time at cost</t>
        </is>
      </c>
      <c r="B533" s="14" t="n">
        <v>-2244</v>
      </c>
    </row>
    <row r="534">
      <c r="A534" t="inlineStr">
        <is>
          <t>Job gross margin</t>
        </is>
      </c>
      <c r="B534" s="14">
        <f>B531+B532+B533</f>
        <v/>
      </c>
    </row>
    <row r="535">
      <c r="A535" s="16" t="inlineStr">
        <is>
          <t>Job gross margin %</t>
        </is>
      </c>
      <c r="B535" s="17">
        <f>B534/B531</f>
        <v/>
      </c>
    </row>
    <row r="536"/>
    <row r="537"/>
    <row r="538">
      <c r="A538" s="6" t="inlineStr">
        <is>
          <t>4-hour call-outs (9)</t>
        </is>
      </c>
    </row>
    <row r="539">
      <c r="A539" s="13" t="inlineStr">
        <is>
          <t>Call-outs of this length in September, added together</t>
        </is>
      </c>
    </row>
    <row r="540">
      <c r="A540" s="7" t="inlineStr"/>
      <c r="B540" s="8" t="inlineStr">
        <is>
          <t>Sep 2026</t>
        </is>
      </c>
    </row>
    <row r="541">
      <c r="A541" t="inlineStr">
        <is>
          <t>Call-outs</t>
        </is>
      </c>
      <c r="B541" s="14" t="n">
        <v>9</v>
      </c>
    </row>
    <row r="542">
      <c r="A542" t="inlineStr">
        <is>
          <t>Technician time charged ($163/hour)</t>
        </is>
      </c>
      <c r="B542" s="14" t="n">
        <v>5868</v>
      </c>
    </row>
    <row r="543">
      <c r="A543" t="inlineStr">
        <is>
          <t>Materials charged (cost × 1.3)</t>
        </is>
      </c>
      <c r="B543" s="14" t="n">
        <v>1313</v>
      </c>
    </row>
    <row r="544">
      <c r="A544" t="inlineStr">
        <is>
          <t>Revenue</t>
        </is>
      </c>
      <c r="B544" s="14">
        <f>B542+B543</f>
        <v/>
      </c>
    </row>
    <row r="545">
      <c r="A545" t="inlineStr">
        <is>
          <t>Materials at cost</t>
        </is>
      </c>
      <c r="B545" s="14" t="n">
        <v>-1010</v>
      </c>
    </row>
    <row r="546">
      <c r="A546" t="inlineStr">
        <is>
          <t>Technician time at cost</t>
        </is>
      </c>
      <c r="B546" s="14" t="n">
        <v>-2448</v>
      </c>
    </row>
    <row r="547">
      <c r="A547" t="inlineStr">
        <is>
          <t>Job gross margin</t>
        </is>
      </c>
      <c r="B547" s="14">
        <f>B544+B545+B546</f>
        <v/>
      </c>
    </row>
    <row r="548">
      <c r="A548" s="16" t="inlineStr">
        <is>
          <t>Job gross margin %</t>
        </is>
      </c>
      <c r="B548" s="17">
        <f>B547/B544</f>
        <v/>
      </c>
    </row>
    <row r="549"/>
    <row r="550"/>
    <row r="55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0" min="0" max="16383" man="1"/>
    <brk id="431" min="0" max="16383" man="1"/>
    <brk id="460" min="0" max="16383" man="1"/>
    <brk id="485" min="0" max="16383" man="1"/>
    <brk id="511" min="0" max="16383" man="1"/>
    <brk id="537"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September 2026: Target 35.0%</t>
        </is>
      </c>
    </row>
    <row r="4">
      <c r="B4" t="n">
        <v>0.35</v>
      </c>
      <c r="C4" t="n">
        <v>0</v>
      </c>
    </row>
    <row r="5">
      <c r="B5" t="n">
        <v>0.35</v>
      </c>
      <c r="C5" t="n">
        <v>1</v>
      </c>
    </row>
    <row r="6"/>
    <row r="7">
      <c r="A7" t="inlineStr">
        <is>
          <t>Report: Job gross margin by type of job, September 2026: Break-even 39.0%</t>
        </is>
      </c>
    </row>
    <row r="8">
      <c r="B8" t="n">
        <v>0.39</v>
      </c>
      <c r="C8" t="n">
        <v>0</v>
      </c>
    </row>
    <row r="9">
      <c r="B9" t="n">
        <v>0.39</v>
      </c>
      <c r="C9" t="n">
        <v>1</v>
      </c>
    </row>
    <row r="10"/>
    <row r="11">
      <c r="A11" t="inlineStr">
        <is>
          <t>Report: Job gross margin on each maintenance contract, September 2026: Target 35.0%</t>
        </is>
      </c>
    </row>
    <row r="12">
      <c r="B12" t="n">
        <v>0.35</v>
      </c>
      <c r="C12" t="n">
        <v>0</v>
      </c>
    </row>
    <row r="13">
      <c r="B13" t="n">
        <v>0.35</v>
      </c>
      <c r="C13" t="n">
        <v>1</v>
      </c>
    </row>
    <row r="14"/>
    <row r="15">
      <c r="A15" t="inlineStr">
        <is>
          <t>Report: Job gross margin on each maintenance contract, September 2026: Break-even 39.0%</t>
        </is>
      </c>
    </row>
    <row r="16">
      <c r="B16" t="n">
        <v>0.39</v>
      </c>
      <c r="C16" t="n">
        <v>0</v>
      </c>
    </row>
    <row r="17">
      <c r="B17" t="n">
        <v>0.39</v>
      </c>
      <c r="C17" t="n">
        <v>1</v>
      </c>
    </row>
    <row r="18"/>
    <row r="19">
      <c r="A19" t="inlineStr">
        <is>
          <t>Report: Job gross margin on each installation invoiced in September 2026: Target 35.0%</t>
        </is>
      </c>
    </row>
    <row r="20">
      <c r="B20" t="n">
        <v>0.35</v>
      </c>
      <c r="C20" t="n">
        <v>0</v>
      </c>
    </row>
    <row r="21">
      <c r="B21" t="n">
        <v>0.35</v>
      </c>
      <c r="C21" t="n">
        <v>1</v>
      </c>
    </row>
    <row r="22"/>
    <row r="23">
      <c r="A23" t="inlineStr">
        <is>
          <t>Report: Job gross margin on each installation invoiced in September 2026: Break-even 39.0%</t>
        </is>
      </c>
    </row>
    <row r="24">
      <c r="B24" t="n">
        <v>0.39</v>
      </c>
      <c r="C24" t="n">
        <v>0</v>
      </c>
    </row>
    <row r="25">
      <c r="B25" t="n">
        <v>0.39</v>
      </c>
      <c r="C25" t="n">
        <v>1</v>
      </c>
    </row>
    <row r="26"/>
    <row r="27">
      <c r="A27" t="inlineStr">
        <is>
          <t>Report: Job gross margin on call-outs by length, September 2026: Target 35.0%</t>
        </is>
      </c>
    </row>
    <row r="28">
      <c r="B28" t="n">
        <v>0.35</v>
      </c>
      <c r="C28" t="n">
        <v>0</v>
      </c>
    </row>
    <row r="29">
      <c r="B29" t="n">
        <v>0.35</v>
      </c>
      <c r="C29" t="n">
        <v>1</v>
      </c>
    </row>
    <row r="30"/>
    <row r="31">
      <c r="A31" t="inlineStr">
        <is>
          <t>Report: Job gross margin on call-outs by length, September 2026: Break-even 39.0%</t>
        </is>
      </c>
    </row>
    <row r="32">
      <c r="B32" t="n">
        <v>0.39</v>
      </c>
      <c r="C32" t="n">
        <v>0</v>
      </c>
    </row>
    <row r="33">
      <c r="B33" t="n">
        <v>0.39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All</t>
        </is>
      </c>
      <c r="B26" s="19" t="inlineStr">
        <is>
          <t>Jun 26</t>
        </is>
      </c>
      <c r="C26" s="19" t="inlineStr">
        <is>
          <t>Locked</t>
        </is>
      </c>
      <c r="D26" s="14" t="n">
        <v>193032</v>
      </c>
      <c r="E26" s="14" t="n">
        <v>106500</v>
      </c>
      <c r="F26" s="14">
        <f>D26-E26</f>
        <v/>
      </c>
      <c r="G26" s="15">
        <f>IF(D26=0,"",F26/D26)</f>
        <v/>
      </c>
    </row>
    <row r="27">
      <c r="A27" s="19" t="inlineStr">
        <is>
          <t>All</t>
        </is>
      </c>
      <c r="B27" s="19" t="inlineStr">
        <is>
          <t>Jul 26</t>
        </is>
      </c>
      <c r="C27" s="19" t="inlineStr">
        <is>
          <t>Locked</t>
        </is>
      </c>
      <c r="D27" s="14" t="n">
        <v>215610</v>
      </c>
      <c r="E27" s="14" t="n">
        <v>122124</v>
      </c>
      <c r="F27" s="14">
        <f>D27-E27</f>
        <v/>
      </c>
      <c r="G27" s="15">
        <f>IF(D27=0,"",F27/D27)</f>
        <v/>
      </c>
    </row>
    <row r="28">
      <c r="A28" s="19" t="inlineStr">
        <is>
          <t>All</t>
        </is>
      </c>
      <c r="B28" s="19" t="inlineStr">
        <is>
          <t>Aug 26</t>
        </is>
      </c>
      <c r="C28" s="19" t="inlineStr">
        <is>
          <t>Locked</t>
        </is>
      </c>
      <c r="D28" s="14" t="n">
        <v>199523</v>
      </c>
      <c r="E28" s="14" t="n">
        <v>105370</v>
      </c>
      <c r="F28" s="14">
        <f>D28-E28</f>
        <v/>
      </c>
      <c r="G28" s="15">
        <f>IF(D28=0,"",F28/D28)</f>
        <v/>
      </c>
    </row>
    <row r="29">
      <c r="A29" s="19" t="inlineStr">
        <is>
          <t>All</t>
        </is>
      </c>
      <c r="B29" s="19" t="inlineStr">
        <is>
          <t>Sep 26</t>
        </is>
      </c>
      <c r="C29" s="19" t="inlineStr">
        <is>
          <t>Locked</t>
        </is>
      </c>
      <c r="D29" s="14" t="n">
        <v>225460</v>
      </c>
      <c r="E29" s="14" t="n">
        <v>129230</v>
      </c>
      <c r="F29" s="14">
        <f>D29-E29</f>
        <v/>
      </c>
      <c r="G29" s="15">
        <f>IF(D29=0,"",F29/D29)</f>
        <v/>
      </c>
    </row>
    <row r="30">
      <c r="A30" s="19" t="inlineStr">
        <is>
          <t>Maintenance contracts</t>
        </is>
      </c>
      <c r="B30" s="19" t="inlineStr">
        <is>
          <t>Oct 24</t>
        </is>
      </c>
      <c r="C30" s="19" t="inlineStr">
        <is>
          <t>Locked</t>
        </is>
      </c>
      <c r="D30" s="14" t="n">
        <v>27650</v>
      </c>
      <c r="E30" s="14" t="n">
        <v>10420</v>
      </c>
      <c r="F30" s="14">
        <f>D30-E30</f>
        <v/>
      </c>
      <c r="G30" s="15">
        <f>IF(D30=0,"",F30/D30)</f>
        <v/>
      </c>
    </row>
    <row r="31">
      <c r="A31" s="19" t="inlineStr">
        <is>
          <t>Maintenance contracts</t>
        </is>
      </c>
      <c r="B31" s="19" t="inlineStr">
        <is>
          <t>Nov 24</t>
        </is>
      </c>
      <c r="C31" s="19" t="inlineStr">
        <is>
          <t>Locked</t>
        </is>
      </c>
      <c r="D31" s="14" t="n">
        <v>27650</v>
      </c>
      <c r="E31" s="14" t="n">
        <v>10420</v>
      </c>
      <c r="F31" s="14">
        <f>D31-E31</f>
        <v/>
      </c>
      <c r="G31" s="15">
        <f>IF(D31=0,"",F31/D31)</f>
        <v/>
      </c>
    </row>
    <row r="32">
      <c r="A32" s="19" t="inlineStr">
        <is>
          <t>Maintenance contracts</t>
        </is>
      </c>
      <c r="B32" s="19" t="inlineStr">
        <is>
          <t>Dec 24</t>
        </is>
      </c>
      <c r="C32" s="19" t="inlineStr">
        <is>
          <t>Locked</t>
        </is>
      </c>
      <c r="D32" s="14" t="n">
        <v>27650</v>
      </c>
      <c r="E32" s="14" t="n">
        <v>10420</v>
      </c>
      <c r="F32" s="14">
        <f>D32-E32</f>
        <v/>
      </c>
      <c r="G32" s="15">
        <f>IF(D32=0,"",F32/D32)</f>
        <v/>
      </c>
    </row>
    <row r="33">
      <c r="A33" s="19" t="inlineStr">
        <is>
          <t>Maintenance contracts</t>
        </is>
      </c>
      <c r="B33" s="19" t="inlineStr">
        <is>
          <t>Jan 25</t>
        </is>
      </c>
      <c r="C33" s="19" t="inlineStr">
        <is>
          <t>Locked</t>
        </is>
      </c>
      <c r="D33" s="14" t="n">
        <v>27650</v>
      </c>
      <c r="E33" s="14" t="n">
        <v>10420</v>
      </c>
      <c r="F33" s="14">
        <f>D33-E33</f>
        <v/>
      </c>
      <c r="G33" s="15">
        <f>IF(D33=0,"",F33/D33)</f>
        <v/>
      </c>
    </row>
    <row r="34">
      <c r="A34" s="19" t="inlineStr">
        <is>
          <t>Maintenance contracts</t>
        </is>
      </c>
      <c r="B34" s="19" t="inlineStr">
        <is>
          <t>Feb 25</t>
        </is>
      </c>
      <c r="C34" s="19" t="inlineStr">
        <is>
          <t>Locked</t>
        </is>
      </c>
      <c r="D34" s="14" t="n">
        <v>31300</v>
      </c>
      <c r="E34" s="14" t="n">
        <v>11782</v>
      </c>
      <c r="F34" s="14">
        <f>D34-E34</f>
        <v/>
      </c>
      <c r="G34" s="15">
        <f>IF(D34=0,"",F34/D34)</f>
        <v/>
      </c>
    </row>
    <row r="35">
      <c r="A35" s="19" t="inlineStr">
        <is>
          <t>Maintenance contracts</t>
        </is>
      </c>
      <c r="B35" s="19" t="inlineStr">
        <is>
          <t>Mar 25</t>
        </is>
      </c>
      <c r="C35" s="19" t="inlineStr">
        <is>
          <t>Locked</t>
        </is>
      </c>
      <c r="D35" s="14" t="n">
        <v>31300</v>
      </c>
      <c r="E35" s="14" t="n">
        <v>11782</v>
      </c>
      <c r="F35" s="14">
        <f>D35-E35</f>
        <v/>
      </c>
      <c r="G35" s="15">
        <f>IF(D35=0,"",F35/D35)</f>
        <v/>
      </c>
    </row>
    <row r="36">
      <c r="A36" s="19" t="inlineStr">
        <is>
          <t>Maintenance contracts</t>
        </is>
      </c>
      <c r="B36" s="19" t="inlineStr">
        <is>
          <t>Apr 25</t>
        </is>
      </c>
      <c r="C36" s="19" t="inlineStr">
        <is>
          <t>Locked</t>
        </is>
      </c>
      <c r="D36" s="14" t="n">
        <v>31300</v>
      </c>
      <c r="E36" s="14" t="n">
        <v>11782</v>
      </c>
      <c r="F36" s="14">
        <f>D36-E36</f>
        <v/>
      </c>
      <c r="G36" s="15">
        <f>IF(D36=0,"",F36/D36)</f>
        <v/>
      </c>
    </row>
    <row r="37">
      <c r="A37" s="19" t="inlineStr">
        <is>
          <t>Maintenance contracts</t>
        </is>
      </c>
      <c r="B37" s="19" t="inlineStr">
        <is>
          <t>May 25</t>
        </is>
      </c>
      <c r="C37" s="19" t="inlineStr">
        <is>
          <t>Locked</t>
        </is>
      </c>
      <c r="D37" s="14" t="n">
        <v>31300</v>
      </c>
      <c r="E37" s="14" t="n">
        <v>11782</v>
      </c>
      <c r="F37" s="14">
        <f>D37-E37</f>
        <v/>
      </c>
      <c r="G37" s="15">
        <f>IF(D37=0,"",F37/D37)</f>
        <v/>
      </c>
    </row>
    <row r="38">
      <c r="A38" s="19" t="inlineStr">
        <is>
          <t>Maintenance contracts</t>
        </is>
      </c>
      <c r="B38" s="19" t="inlineStr">
        <is>
          <t>Jun 25</t>
        </is>
      </c>
      <c r="C38" s="19" t="inlineStr">
        <is>
          <t>Locked</t>
        </is>
      </c>
      <c r="D38" s="14" t="n">
        <v>35720</v>
      </c>
      <c r="E38" s="14" t="n">
        <v>13446</v>
      </c>
      <c r="F38" s="14">
        <f>D38-E38</f>
        <v/>
      </c>
      <c r="G38" s="15">
        <f>IF(D38=0,"",F38/D38)</f>
        <v/>
      </c>
    </row>
    <row r="39">
      <c r="A39" s="19" t="inlineStr">
        <is>
          <t>Maintenance contracts</t>
        </is>
      </c>
      <c r="B39" s="19" t="inlineStr">
        <is>
          <t>Jul 25</t>
        </is>
      </c>
      <c r="C39" s="19" t="inlineStr">
        <is>
          <t>Locked</t>
        </is>
      </c>
      <c r="D39" s="14" t="n">
        <v>37200</v>
      </c>
      <c r="E39" s="14" t="n">
        <v>13446</v>
      </c>
      <c r="F39" s="14">
        <f>D39-E39</f>
        <v/>
      </c>
      <c r="G39" s="15">
        <f>IF(D39=0,"",F39/D39)</f>
        <v/>
      </c>
    </row>
    <row r="40">
      <c r="A40" s="19" t="inlineStr">
        <is>
          <t>Maintenance contracts</t>
        </is>
      </c>
      <c r="B40" s="19" t="inlineStr">
        <is>
          <t>Aug 25</t>
        </is>
      </c>
      <c r="C40" s="19" t="inlineStr">
        <is>
          <t>Locked</t>
        </is>
      </c>
      <c r="D40" s="14" t="n">
        <v>37200</v>
      </c>
      <c r="E40" s="14" t="n">
        <v>13446</v>
      </c>
      <c r="F40" s="14">
        <f>D40-E40</f>
        <v/>
      </c>
      <c r="G40" s="15">
        <f>IF(D40=0,"",F40/D40)</f>
        <v/>
      </c>
    </row>
    <row r="41">
      <c r="A41" s="19" t="inlineStr">
        <is>
          <t>Maintenance contracts</t>
        </is>
      </c>
      <c r="B41" s="19" t="inlineStr">
        <is>
          <t>Sep 25</t>
        </is>
      </c>
      <c r="C41" s="19" t="inlineStr">
        <is>
          <t>Locked</t>
        </is>
      </c>
      <c r="D41" s="14" t="n">
        <v>37200</v>
      </c>
      <c r="E41" s="14" t="n">
        <v>13446</v>
      </c>
      <c r="F41" s="14">
        <f>D41-E41</f>
        <v/>
      </c>
      <c r="G41" s="15">
        <f>IF(D41=0,"",F41/D41)</f>
        <v/>
      </c>
    </row>
    <row r="42">
      <c r="A42" s="19" t="inlineStr">
        <is>
          <t>Maintenance contracts</t>
        </is>
      </c>
      <c r="B42" s="19" t="inlineStr">
        <is>
          <t>Oct 25</t>
        </is>
      </c>
      <c r="C42" s="19" t="inlineStr">
        <is>
          <t>Locked</t>
        </is>
      </c>
      <c r="D42" s="14" t="n">
        <v>40100</v>
      </c>
      <c r="E42" s="14" t="n">
        <v>14516</v>
      </c>
      <c r="F42" s="14">
        <f>D42-E42</f>
        <v/>
      </c>
      <c r="G42" s="15">
        <f>IF(D42=0,"",F42/D42)</f>
        <v/>
      </c>
    </row>
    <row r="43">
      <c r="A43" s="19" t="inlineStr">
        <is>
          <t>Maintenance contracts</t>
        </is>
      </c>
      <c r="B43" s="19" t="inlineStr">
        <is>
          <t>Nov 25</t>
        </is>
      </c>
      <c r="C43" s="19" t="inlineStr">
        <is>
          <t>Locked</t>
        </is>
      </c>
      <c r="D43" s="14" t="n">
        <v>40100</v>
      </c>
      <c r="E43" s="14" t="n">
        <v>14516</v>
      </c>
      <c r="F43" s="14">
        <f>D43-E43</f>
        <v/>
      </c>
      <c r="G43" s="15">
        <f>IF(D43=0,"",F43/D43)</f>
        <v/>
      </c>
    </row>
    <row r="44">
      <c r="A44" s="19" t="inlineStr">
        <is>
          <t>Maintenance contracts</t>
        </is>
      </c>
      <c r="B44" s="19" t="inlineStr">
        <is>
          <t>Dec 25</t>
        </is>
      </c>
      <c r="C44" s="19" t="inlineStr">
        <is>
          <t>Locked</t>
        </is>
      </c>
      <c r="D44" s="14" t="n">
        <v>40100</v>
      </c>
      <c r="E44" s="14" t="n">
        <v>14516</v>
      </c>
      <c r="F44" s="14">
        <f>D44-E44</f>
        <v/>
      </c>
      <c r="G44" s="15">
        <f>IF(D44=0,"",F44/D44)</f>
        <v/>
      </c>
    </row>
    <row r="45">
      <c r="A45" s="19" t="inlineStr">
        <is>
          <t>Maintenance contracts</t>
        </is>
      </c>
      <c r="B45" s="19" t="inlineStr">
        <is>
          <t>Jan 26</t>
        </is>
      </c>
      <c r="C45" s="19" t="inlineStr">
        <is>
          <t>Locked</t>
        </is>
      </c>
      <c r="D45" s="14" t="n">
        <v>40100</v>
      </c>
      <c r="E45" s="14" t="n">
        <v>14516</v>
      </c>
      <c r="F45" s="14">
        <f>D45-E45</f>
        <v/>
      </c>
      <c r="G45" s="15">
        <f>IF(D45=0,"",F45/D45)</f>
        <v/>
      </c>
    </row>
    <row r="46">
      <c r="A46" s="19" t="inlineStr">
        <is>
          <t>Maintenance contracts</t>
        </is>
      </c>
      <c r="B46" s="19" t="inlineStr">
        <is>
          <t>Feb 26</t>
        </is>
      </c>
      <c r="C46" s="19" t="inlineStr">
        <is>
          <t>Locked</t>
        </is>
      </c>
      <c r="D46" s="14" t="n">
        <v>42000</v>
      </c>
      <c r="E46" s="14" t="n">
        <v>15158</v>
      </c>
      <c r="F46" s="14">
        <f>D46-E46</f>
        <v/>
      </c>
      <c r="G46" s="15">
        <f>IF(D46=0,"",F46/D46)</f>
        <v/>
      </c>
    </row>
    <row r="47">
      <c r="A47" s="19" t="inlineStr">
        <is>
          <t>Maintenance contracts</t>
        </is>
      </c>
      <c r="B47" s="19" t="inlineStr">
        <is>
          <t>Mar 26</t>
        </is>
      </c>
      <c r="C47" s="19" t="inlineStr">
        <is>
          <t>Locked</t>
        </is>
      </c>
      <c r="D47" s="14" t="n">
        <v>42000</v>
      </c>
      <c r="E47" s="14" t="n">
        <v>15158</v>
      </c>
      <c r="F47" s="14">
        <f>D47-E47</f>
        <v/>
      </c>
      <c r="G47" s="15">
        <f>IF(D47=0,"",F47/D47)</f>
        <v/>
      </c>
    </row>
    <row r="48">
      <c r="A48" s="19" t="inlineStr">
        <is>
          <t>Maintenance contracts</t>
        </is>
      </c>
      <c r="B48" s="19" t="inlineStr">
        <is>
          <t>Apr 26</t>
        </is>
      </c>
      <c r="C48" s="19" t="inlineStr">
        <is>
          <t>Locked</t>
        </is>
      </c>
      <c r="D48" s="14" t="n">
        <v>42000</v>
      </c>
      <c r="E48" s="14" t="n">
        <v>15158</v>
      </c>
      <c r="F48" s="14">
        <f>D48-E48</f>
        <v/>
      </c>
      <c r="G48" s="15">
        <f>IF(D48=0,"",F48/D48)</f>
        <v/>
      </c>
    </row>
    <row r="49">
      <c r="A49" s="19" t="inlineStr">
        <is>
          <t>Maintenance contracts</t>
        </is>
      </c>
      <c r="B49" s="19" t="inlineStr">
        <is>
          <t>May 26</t>
        </is>
      </c>
      <c r="C49" s="19" t="inlineStr">
        <is>
          <t>Locked</t>
        </is>
      </c>
      <c r="D49" s="14" t="n">
        <v>45350</v>
      </c>
      <c r="E49" s="14" t="n">
        <v>16384</v>
      </c>
      <c r="F49" s="14">
        <f>D49-E49</f>
        <v/>
      </c>
      <c r="G49" s="15">
        <f>IF(D49=0,"",F49/D49)</f>
        <v/>
      </c>
    </row>
    <row r="50">
      <c r="A50" s="19" t="inlineStr">
        <is>
          <t>Maintenance contracts</t>
        </is>
      </c>
      <c r="B50" s="19" t="inlineStr">
        <is>
          <t>Jun 26</t>
        </is>
      </c>
      <c r="C50" s="19" t="inlineStr">
        <is>
          <t>Locked</t>
        </is>
      </c>
      <c r="D50" s="14" t="n">
        <v>45350</v>
      </c>
      <c r="E50" s="14" t="n">
        <v>16384</v>
      </c>
      <c r="F50" s="14">
        <f>D50-E50</f>
        <v/>
      </c>
      <c r="G50" s="15">
        <f>IF(D50=0,"",F50/D50)</f>
        <v/>
      </c>
    </row>
    <row r="51">
      <c r="A51" s="19" t="inlineStr">
        <is>
          <t>Maintenance contracts</t>
        </is>
      </c>
      <c r="B51" s="19" t="inlineStr">
        <is>
          <t>Jul 26</t>
        </is>
      </c>
      <c r="C51" s="19" t="inlineStr">
        <is>
          <t>Locked</t>
        </is>
      </c>
      <c r="D51" s="14" t="n">
        <v>45350</v>
      </c>
      <c r="E51" s="14" t="n">
        <v>16384</v>
      </c>
      <c r="F51" s="14">
        <f>D51-E51</f>
        <v/>
      </c>
      <c r="G51" s="15">
        <f>IF(D51=0,"",F51/D51)</f>
        <v/>
      </c>
    </row>
    <row r="52">
      <c r="A52" s="19" t="inlineStr">
        <is>
          <t>Maintenance contracts</t>
        </is>
      </c>
      <c r="B52" s="19" t="inlineStr">
        <is>
          <t>Aug 26</t>
        </is>
      </c>
      <c r="C52" s="19" t="inlineStr">
        <is>
          <t>Locked</t>
        </is>
      </c>
      <c r="D52" s="14" t="n">
        <v>45350</v>
      </c>
      <c r="E52" s="14" t="n">
        <v>16384</v>
      </c>
      <c r="F52" s="14">
        <f>D52-E52</f>
        <v/>
      </c>
      <c r="G52" s="15">
        <f>IF(D52=0,"",F52/D52)</f>
        <v/>
      </c>
    </row>
    <row r="53">
      <c r="A53" s="19" t="inlineStr">
        <is>
          <t>Maintenance contracts</t>
        </is>
      </c>
      <c r="B53" s="19" t="inlineStr">
        <is>
          <t>Sep 26</t>
        </is>
      </c>
      <c r="C53" s="19" t="inlineStr">
        <is>
          <t>Locked</t>
        </is>
      </c>
      <c r="D53" s="14" t="n">
        <v>45350</v>
      </c>
      <c r="E53" s="14" t="n">
        <v>16384</v>
      </c>
      <c r="F53" s="14">
        <f>D53-E53</f>
        <v/>
      </c>
      <c r="G53" s="15">
        <f>IF(D53=0,"",F53/D53)</f>
        <v/>
      </c>
    </row>
    <row r="54">
      <c r="A54" s="19" t="inlineStr">
        <is>
          <t>Installations</t>
        </is>
      </c>
      <c r="B54" s="19" t="inlineStr">
        <is>
          <t>Oct 24</t>
        </is>
      </c>
      <c r="C54" s="19" t="inlineStr">
        <is>
          <t>Locked</t>
        </is>
      </c>
      <c r="D54" s="14" t="n">
        <v>141600</v>
      </c>
      <c r="E54" s="14" t="n">
        <v>92430</v>
      </c>
      <c r="F54" s="14">
        <f>D54-E54</f>
        <v/>
      </c>
      <c r="G54" s="15">
        <f>IF(D54=0,"",F54/D54)</f>
        <v/>
      </c>
    </row>
    <row r="55">
      <c r="A55" s="19" t="inlineStr">
        <is>
          <t>Installations</t>
        </is>
      </c>
      <c r="B55" s="19" t="inlineStr">
        <is>
          <t>Nov 24</t>
        </is>
      </c>
      <c r="C55" s="19" t="inlineStr">
        <is>
          <t>Locked</t>
        </is>
      </c>
      <c r="D55" s="14" t="n">
        <v>147100</v>
      </c>
      <c r="E55" s="14" t="n">
        <v>89070</v>
      </c>
      <c r="F55" s="14">
        <f>D55-E55</f>
        <v/>
      </c>
      <c r="G55" s="15">
        <f>IF(D55=0,"",F55/D55)</f>
        <v/>
      </c>
    </row>
    <row r="56">
      <c r="A56" s="19" t="inlineStr">
        <is>
          <t>Installations</t>
        </is>
      </c>
      <c r="B56" s="19" t="inlineStr">
        <is>
          <t>Dec 24</t>
        </is>
      </c>
      <c r="C56" s="19" t="inlineStr">
        <is>
          <t>Locked</t>
        </is>
      </c>
      <c r="D56" s="14" t="n">
        <v>103700</v>
      </c>
      <c r="E56" s="14" t="n">
        <v>59908</v>
      </c>
      <c r="F56" s="14">
        <f>D56-E56</f>
        <v/>
      </c>
      <c r="G56" s="15">
        <f>IF(D56=0,"",F56/D56)</f>
        <v/>
      </c>
    </row>
    <row r="57">
      <c r="A57" s="19" t="inlineStr">
        <is>
          <t>Installations</t>
        </is>
      </c>
      <c r="B57" s="19" t="inlineStr">
        <is>
          <t>Jan 25</t>
        </is>
      </c>
      <c r="C57" s="19" t="inlineStr">
        <is>
          <t>Locked</t>
        </is>
      </c>
      <c r="D57" s="14" t="n">
        <v>100100</v>
      </c>
      <c r="E57" s="14" t="n">
        <v>54678</v>
      </c>
      <c r="F57" s="14">
        <f>D57-E57</f>
        <v/>
      </c>
      <c r="G57" s="15">
        <f>IF(D57=0,"",F57/D57)</f>
        <v/>
      </c>
    </row>
    <row r="58">
      <c r="A58" s="19" t="inlineStr">
        <is>
          <t>Installations</t>
        </is>
      </c>
      <c r="B58" s="19" t="inlineStr">
        <is>
          <t>Feb 25</t>
        </is>
      </c>
      <c r="C58" s="19" t="inlineStr">
        <is>
          <t>Locked</t>
        </is>
      </c>
      <c r="D58" s="14" t="n">
        <v>118600</v>
      </c>
      <c r="E58" s="14" t="n">
        <v>74966</v>
      </c>
      <c r="F58" s="14">
        <f>D58-E58</f>
        <v/>
      </c>
      <c r="G58" s="15">
        <f>IF(D58=0,"",F58/D58)</f>
        <v/>
      </c>
    </row>
    <row r="59">
      <c r="A59" s="19" t="inlineStr">
        <is>
          <t>Installations</t>
        </is>
      </c>
      <c r="B59" s="19" t="inlineStr">
        <is>
          <t>Mar 25</t>
        </is>
      </c>
      <c r="C59" s="19" t="inlineStr">
        <is>
          <t>Locked</t>
        </is>
      </c>
      <c r="D59" s="14" t="n">
        <v>96400</v>
      </c>
      <c r="E59" s="14" t="n">
        <v>61664</v>
      </c>
      <c r="F59" s="14">
        <f>D59-E59</f>
        <v/>
      </c>
      <c r="G59" s="15">
        <f>IF(D59=0,"",F59/D59)</f>
        <v/>
      </c>
    </row>
    <row r="60">
      <c r="A60" s="19" t="inlineStr">
        <is>
          <t>Installations</t>
        </is>
      </c>
      <c r="B60" s="19" t="inlineStr">
        <is>
          <t>Apr 25</t>
        </is>
      </c>
      <c r="C60" s="19" t="inlineStr">
        <is>
          <t>Locked</t>
        </is>
      </c>
      <c r="D60" s="14" t="n">
        <v>83900</v>
      </c>
      <c r="E60" s="14" t="n">
        <v>52264</v>
      </c>
      <c r="F60" s="14">
        <f>D60-E60</f>
        <v/>
      </c>
      <c r="G60" s="15">
        <f>IF(D60=0,"",F60/D60)</f>
        <v/>
      </c>
    </row>
    <row r="61">
      <c r="A61" s="19" t="inlineStr">
        <is>
          <t>Installations</t>
        </is>
      </c>
      <c r="B61" s="19" t="inlineStr">
        <is>
          <t>May 25</t>
        </is>
      </c>
      <c r="C61" s="19" t="inlineStr">
        <is>
          <t>Locked</t>
        </is>
      </c>
      <c r="D61" s="14" t="n">
        <v>89900</v>
      </c>
      <c r="E61" s="14" t="n">
        <v>59534</v>
      </c>
      <c r="F61" s="14">
        <f>D61-E61</f>
        <v/>
      </c>
      <c r="G61" s="15">
        <f>IF(D61=0,"",F61/D61)</f>
        <v/>
      </c>
    </row>
    <row r="62">
      <c r="A62" s="19" t="inlineStr">
        <is>
          <t>Installations</t>
        </is>
      </c>
      <c r="B62" s="19" t="inlineStr">
        <is>
          <t>Jun 25</t>
        </is>
      </c>
      <c r="C62" s="19" t="inlineStr">
        <is>
          <t>Locked</t>
        </is>
      </c>
      <c r="D62" s="14" t="n">
        <v>126300</v>
      </c>
      <c r="E62" s="14" t="n">
        <v>72976</v>
      </c>
      <c r="F62" s="14">
        <f>D62-E62</f>
        <v/>
      </c>
      <c r="G62" s="15">
        <f>IF(D62=0,"",F62/D62)</f>
        <v/>
      </c>
    </row>
    <row r="63">
      <c r="A63" s="19" t="inlineStr">
        <is>
          <t>Installations</t>
        </is>
      </c>
      <c r="B63" s="19" t="inlineStr">
        <is>
          <t>Jul 25</t>
        </is>
      </c>
      <c r="C63" s="19" t="inlineStr">
        <is>
          <t>Locked</t>
        </is>
      </c>
      <c r="D63" s="14" t="n">
        <v>152100</v>
      </c>
      <c r="E63" s="14" t="n">
        <v>96920</v>
      </c>
      <c r="F63" s="14">
        <f>D63-E63</f>
        <v/>
      </c>
      <c r="G63" s="15">
        <f>IF(D63=0,"",F63/D63)</f>
        <v/>
      </c>
    </row>
    <row r="64">
      <c r="A64" s="19" t="inlineStr">
        <is>
          <t>Installations</t>
        </is>
      </c>
      <c r="B64" s="19" t="inlineStr">
        <is>
          <t>Aug 25</t>
        </is>
      </c>
      <c r="C64" s="19" t="inlineStr">
        <is>
          <t>Locked</t>
        </is>
      </c>
      <c r="D64" s="14" t="n">
        <v>96500</v>
      </c>
      <c r="E64" s="14" t="n">
        <v>53590</v>
      </c>
      <c r="F64" s="14">
        <f>D64-E64</f>
        <v/>
      </c>
      <c r="G64" s="15">
        <f>IF(D64=0,"",F64/D64)</f>
        <v/>
      </c>
    </row>
    <row r="65">
      <c r="A65" s="19" t="inlineStr">
        <is>
          <t>Installations</t>
        </is>
      </c>
      <c r="B65" s="19" t="inlineStr">
        <is>
          <t>Sep 25</t>
        </is>
      </c>
      <c r="C65" s="19" t="inlineStr">
        <is>
          <t>Locked</t>
        </is>
      </c>
      <c r="D65" s="14" t="n">
        <v>84200</v>
      </c>
      <c r="E65" s="14" t="n">
        <v>55440</v>
      </c>
      <c r="F65" s="14">
        <f>D65-E65</f>
        <v/>
      </c>
      <c r="G65" s="15">
        <f>IF(D65=0,"",F65/D65)</f>
        <v/>
      </c>
    </row>
    <row r="66">
      <c r="A66" s="19" t="inlineStr">
        <is>
          <t>Installations</t>
        </is>
      </c>
      <c r="B66" s="19" t="inlineStr">
        <is>
          <t>Oct 25</t>
        </is>
      </c>
      <c r="C66" s="19" t="inlineStr">
        <is>
          <t>Locked</t>
        </is>
      </c>
      <c r="D66" s="14" t="n">
        <v>79300</v>
      </c>
      <c r="E66" s="14" t="n">
        <v>52288</v>
      </c>
      <c r="F66" s="14">
        <f>D66-E66</f>
        <v/>
      </c>
      <c r="G66" s="15">
        <f>IF(D66=0,"",F66/D66)</f>
        <v/>
      </c>
    </row>
    <row r="67">
      <c r="A67" s="19" t="inlineStr">
        <is>
          <t>Installations</t>
        </is>
      </c>
      <c r="B67" s="19" t="inlineStr">
        <is>
          <t>Nov 25</t>
        </is>
      </c>
      <c r="C67" s="19" t="inlineStr">
        <is>
          <t>Locked</t>
        </is>
      </c>
      <c r="D67" s="14" t="n">
        <v>126900</v>
      </c>
      <c r="E67" s="14" t="n">
        <v>87174</v>
      </c>
      <c r="F67" s="14">
        <f>D67-E67</f>
        <v/>
      </c>
      <c r="G67" s="15">
        <f>IF(D67=0,"",F67/D67)</f>
        <v/>
      </c>
    </row>
    <row r="68">
      <c r="A68" s="19" t="inlineStr">
        <is>
          <t>Installations</t>
        </is>
      </c>
      <c r="B68" s="19" t="inlineStr">
        <is>
          <t>Dec 25</t>
        </is>
      </c>
      <c r="C68" s="19" t="inlineStr">
        <is>
          <t>Locked</t>
        </is>
      </c>
      <c r="D68" s="14" t="n">
        <v>78100</v>
      </c>
      <c r="E68" s="14" t="n">
        <v>53408</v>
      </c>
      <c r="F68" s="14">
        <f>D68-E68</f>
        <v/>
      </c>
      <c r="G68" s="15">
        <f>IF(D68=0,"",F68/D68)</f>
        <v/>
      </c>
    </row>
    <row r="69">
      <c r="A69" s="19" t="inlineStr">
        <is>
          <t>Installations</t>
        </is>
      </c>
      <c r="B69" s="19" t="inlineStr">
        <is>
          <t>Jan 26</t>
        </is>
      </c>
      <c r="C69" s="19" t="inlineStr">
        <is>
          <t>Locked</t>
        </is>
      </c>
      <c r="D69" s="14" t="n">
        <v>109100</v>
      </c>
      <c r="E69" s="14" t="n">
        <v>74216</v>
      </c>
      <c r="F69" s="14">
        <f>D69-E69</f>
        <v/>
      </c>
      <c r="G69" s="15">
        <f>IF(D69=0,"",F69/D69)</f>
        <v/>
      </c>
    </row>
    <row r="70">
      <c r="A70" s="19" t="inlineStr">
        <is>
          <t>Installations</t>
        </is>
      </c>
      <c r="B70" s="19" t="inlineStr">
        <is>
          <t>Feb 26</t>
        </is>
      </c>
      <c r="C70" s="19" t="inlineStr">
        <is>
          <t>Locked</t>
        </is>
      </c>
      <c r="D70" s="14" t="n">
        <v>144800</v>
      </c>
      <c r="E70" s="14" t="n">
        <v>88896</v>
      </c>
      <c r="F70" s="14">
        <f>D70-E70</f>
        <v/>
      </c>
      <c r="G70" s="15">
        <f>IF(D70=0,"",F70/D70)</f>
        <v/>
      </c>
    </row>
    <row r="71">
      <c r="A71" s="19" t="inlineStr">
        <is>
          <t>Installations</t>
        </is>
      </c>
      <c r="B71" s="19" t="inlineStr">
        <is>
          <t>Mar 26</t>
        </is>
      </c>
      <c r="C71" s="19" t="inlineStr">
        <is>
          <t>Locked</t>
        </is>
      </c>
      <c r="D71" s="14" t="n">
        <v>144900</v>
      </c>
      <c r="E71" s="14" t="n">
        <v>94290</v>
      </c>
      <c r="F71" s="14">
        <f>D71-E71</f>
        <v/>
      </c>
      <c r="G71" s="15">
        <f>IF(D71=0,"",F71/D71)</f>
        <v/>
      </c>
    </row>
    <row r="72">
      <c r="A72" s="19" t="inlineStr">
        <is>
          <t>Installations</t>
        </is>
      </c>
      <c r="B72" s="19" t="inlineStr">
        <is>
          <t>Apr 26</t>
        </is>
      </c>
      <c r="C72" s="19" t="inlineStr">
        <is>
          <t>Locked</t>
        </is>
      </c>
      <c r="D72" s="14" t="n">
        <v>116900</v>
      </c>
      <c r="E72" s="14" t="n">
        <v>68016</v>
      </c>
      <c r="F72" s="14">
        <f>D72-E72</f>
        <v/>
      </c>
      <c r="G72" s="15">
        <f>IF(D72=0,"",F72/D72)</f>
        <v/>
      </c>
    </row>
    <row r="73">
      <c r="A73" s="19" t="inlineStr">
        <is>
          <t>Installations</t>
        </is>
      </c>
      <c r="B73" s="19" t="inlineStr">
        <is>
          <t>May 26</t>
        </is>
      </c>
      <c r="C73" s="19" t="inlineStr">
        <is>
          <t>Locked</t>
        </is>
      </c>
      <c r="D73" s="14" t="n">
        <v>103400</v>
      </c>
      <c r="E73" s="14" t="n">
        <v>66240</v>
      </c>
      <c r="F73" s="14">
        <f>D73-E73</f>
        <v/>
      </c>
      <c r="G73" s="15">
        <f>IF(D73=0,"",F73/D73)</f>
        <v/>
      </c>
    </row>
    <row r="74">
      <c r="A74" s="19" t="inlineStr">
        <is>
          <t>Installations</t>
        </is>
      </c>
      <c r="B74" s="19" t="inlineStr">
        <is>
          <t>Jun 26</t>
        </is>
      </c>
      <c r="C74" s="19" t="inlineStr">
        <is>
          <t>Locked</t>
        </is>
      </c>
      <c r="D74" s="14" t="n">
        <v>115600</v>
      </c>
      <c r="E74" s="14" t="n">
        <v>73792</v>
      </c>
      <c r="F74" s="14">
        <f>D74-E74</f>
        <v/>
      </c>
      <c r="G74" s="15">
        <f>IF(D74=0,"",F74/D74)</f>
        <v/>
      </c>
    </row>
    <row r="75">
      <c r="A75" s="19" t="inlineStr">
        <is>
          <t>Installations</t>
        </is>
      </c>
      <c r="B75" s="19" t="inlineStr">
        <is>
          <t>Jul 26</t>
        </is>
      </c>
      <c r="C75" s="19" t="inlineStr">
        <is>
          <t>Locked</t>
        </is>
      </c>
      <c r="D75" s="14" t="n">
        <v>143000</v>
      </c>
      <c r="E75" s="14" t="n">
        <v>91520</v>
      </c>
      <c r="F75" s="14">
        <f>D75-E75</f>
        <v/>
      </c>
      <c r="G75" s="15">
        <f>IF(D75=0,"",F75/D75)</f>
        <v/>
      </c>
    </row>
    <row r="76">
      <c r="A76" s="19" t="inlineStr">
        <is>
          <t>Installations</t>
        </is>
      </c>
      <c r="B76" s="19" t="inlineStr">
        <is>
          <t>Aug 26</t>
        </is>
      </c>
      <c r="C76" s="19" t="inlineStr">
        <is>
          <t>Locked</t>
        </is>
      </c>
      <c r="D76" s="14" t="n">
        <v>122800</v>
      </c>
      <c r="E76" s="14" t="n">
        <v>72720</v>
      </c>
      <c r="F76" s="14">
        <f>D76-E76</f>
        <v/>
      </c>
      <c r="G76" s="15">
        <f>IF(D76=0,"",F76/D76)</f>
        <v/>
      </c>
    </row>
    <row r="77">
      <c r="A77" s="19" t="inlineStr">
        <is>
          <t>Installations</t>
        </is>
      </c>
      <c r="B77" s="19" t="inlineStr">
        <is>
          <t>Sep 26</t>
        </is>
      </c>
      <c r="C77" s="19" t="inlineStr">
        <is>
          <t>Locked</t>
        </is>
      </c>
      <c r="D77" s="14" t="n">
        <v>146300</v>
      </c>
      <c r="E77" s="14" t="n">
        <v>95368</v>
      </c>
      <c r="F77" s="14">
        <f>D77-E77</f>
        <v/>
      </c>
      <c r="G77" s="15">
        <f>IF(D77=0,"",F77/D77)</f>
        <v/>
      </c>
    </row>
    <row r="78">
      <c r="A78" s="19" t="inlineStr">
        <is>
          <t>Call-outs and repairs</t>
        </is>
      </c>
      <c r="B78" s="19" t="inlineStr">
        <is>
          <t>Oct 24</t>
        </is>
      </c>
      <c r="C78" s="19" t="inlineStr">
        <is>
          <t>Locked</t>
        </is>
      </c>
      <c r="D78" s="14" t="n">
        <v>21764</v>
      </c>
      <c r="E78" s="14" t="n">
        <v>11484</v>
      </c>
      <c r="F78" s="14">
        <f>D78-E78</f>
        <v/>
      </c>
      <c r="G78" s="15">
        <f>IF(D78=0,"",F78/D78)</f>
        <v/>
      </c>
    </row>
    <row r="79">
      <c r="A79" s="19" t="inlineStr">
        <is>
          <t>Call-outs and repairs</t>
        </is>
      </c>
      <c r="B79" s="19" t="inlineStr">
        <is>
          <t>Nov 24</t>
        </is>
      </c>
      <c r="C79" s="19" t="inlineStr">
        <is>
          <t>Locked</t>
        </is>
      </c>
      <c r="D79" s="14" t="n">
        <v>25374</v>
      </c>
      <c r="E79" s="14" t="n">
        <v>13526</v>
      </c>
      <c r="F79" s="14">
        <f>D79-E79</f>
        <v/>
      </c>
      <c r="G79" s="15">
        <f>IF(D79=0,"",F79/D79)</f>
        <v/>
      </c>
    </row>
    <row r="80">
      <c r="A80" s="19" t="inlineStr">
        <is>
          <t>Call-outs and repairs</t>
        </is>
      </c>
      <c r="B80" s="19" t="inlineStr">
        <is>
          <t>Dec 24</t>
        </is>
      </c>
      <c r="C80" s="19" t="inlineStr">
        <is>
          <t>Locked</t>
        </is>
      </c>
      <c r="D80" s="14" t="n">
        <v>28056</v>
      </c>
      <c r="E80" s="14" t="n">
        <v>14988</v>
      </c>
      <c r="F80" s="14">
        <f>D80-E80</f>
        <v/>
      </c>
      <c r="G80" s="15">
        <f>IF(D80=0,"",F80/D80)</f>
        <v/>
      </c>
    </row>
    <row r="81">
      <c r="A81" s="19" t="inlineStr">
        <is>
          <t>Call-outs and repairs</t>
        </is>
      </c>
      <c r="B81" s="19" t="inlineStr">
        <is>
          <t>Jan 25</t>
        </is>
      </c>
      <c r="C81" s="19" t="inlineStr">
        <is>
          <t>Locked</t>
        </is>
      </c>
      <c r="D81" s="14" t="n">
        <v>29044</v>
      </c>
      <c r="E81" s="14" t="n">
        <v>15644</v>
      </c>
      <c r="F81" s="14">
        <f>D81-E81</f>
        <v/>
      </c>
      <c r="G81" s="15">
        <f>IF(D81=0,"",F81/D81)</f>
        <v/>
      </c>
    </row>
    <row r="82">
      <c r="A82" s="19" t="inlineStr">
        <is>
          <t>Call-outs and repairs</t>
        </is>
      </c>
      <c r="B82" s="19" t="inlineStr">
        <is>
          <t>Feb 25</t>
        </is>
      </c>
      <c r="C82" s="19" t="inlineStr">
        <is>
          <t>Locked</t>
        </is>
      </c>
      <c r="D82" s="14" t="n">
        <v>29290</v>
      </c>
      <c r="E82" s="14" t="n">
        <v>15600</v>
      </c>
      <c r="F82" s="14">
        <f>D82-E82</f>
        <v/>
      </c>
      <c r="G82" s="15">
        <f>IF(D82=0,"",F82/D82)</f>
        <v/>
      </c>
    </row>
    <row r="83">
      <c r="A83" s="19" t="inlineStr">
        <is>
          <t>Call-outs and repairs</t>
        </is>
      </c>
      <c r="B83" s="19" t="inlineStr">
        <is>
          <t>Mar 25</t>
        </is>
      </c>
      <c r="C83" s="19" t="inlineStr">
        <is>
          <t>Locked</t>
        </is>
      </c>
      <c r="D83" s="14" t="n">
        <v>22765</v>
      </c>
      <c r="E83" s="14" t="n">
        <v>12306</v>
      </c>
      <c r="F83" s="14">
        <f>D83-E83</f>
        <v/>
      </c>
      <c r="G83" s="15">
        <f>IF(D83=0,"",F83/D83)</f>
        <v/>
      </c>
    </row>
    <row r="84">
      <c r="A84" s="19" t="inlineStr">
        <is>
          <t>Call-outs and repairs</t>
        </is>
      </c>
      <c r="B84" s="19" t="inlineStr">
        <is>
          <t>Apr 25</t>
        </is>
      </c>
      <c r="C84" s="19" t="inlineStr">
        <is>
          <t>Locked</t>
        </is>
      </c>
      <c r="D84" s="14" t="n">
        <v>23665</v>
      </c>
      <c r="E84" s="14" t="n">
        <v>12762</v>
      </c>
      <c r="F84" s="14">
        <f>D84-E84</f>
        <v/>
      </c>
      <c r="G84" s="15">
        <f>IF(D84=0,"",F84/D84)</f>
        <v/>
      </c>
    </row>
    <row r="85">
      <c r="A85" s="19" t="inlineStr">
        <is>
          <t>Call-outs and repairs</t>
        </is>
      </c>
      <c r="B85" s="19" t="inlineStr">
        <is>
          <t>May 25</t>
        </is>
      </c>
      <c r="C85" s="19" t="inlineStr">
        <is>
          <t>Locked</t>
        </is>
      </c>
      <c r="D85" s="14" t="n">
        <v>23449</v>
      </c>
      <c r="E85" s="14" t="n">
        <v>12384</v>
      </c>
      <c r="F85" s="14">
        <f>D85-E85</f>
        <v/>
      </c>
      <c r="G85" s="15">
        <f>IF(D85=0,"",F85/D85)</f>
        <v/>
      </c>
    </row>
    <row r="86">
      <c r="A86" s="19" t="inlineStr">
        <is>
          <t>Call-outs and repairs</t>
        </is>
      </c>
      <c r="B86" s="19" t="inlineStr">
        <is>
          <t>Jun 25</t>
        </is>
      </c>
      <c r="C86" s="19" t="inlineStr">
        <is>
          <t>Locked</t>
        </is>
      </c>
      <c r="D86" s="14" t="n">
        <v>21245</v>
      </c>
      <c r="E86" s="14" t="n">
        <v>11162</v>
      </c>
      <c r="F86" s="14">
        <f>D86-E86</f>
        <v/>
      </c>
      <c r="G86" s="15">
        <f>IF(D86=0,"",F86/D86)</f>
        <v/>
      </c>
    </row>
    <row r="87">
      <c r="A87" s="19" t="inlineStr">
        <is>
          <t>Call-outs and repairs</t>
        </is>
      </c>
      <c r="B87" s="19" t="inlineStr">
        <is>
          <t>Jul 25</t>
        </is>
      </c>
      <c r="C87" s="19" t="inlineStr">
        <is>
          <t>Locked</t>
        </is>
      </c>
      <c r="D87" s="14" t="n">
        <v>19288</v>
      </c>
      <c r="E87" s="14" t="n">
        <v>9960</v>
      </c>
      <c r="F87" s="14">
        <f>D87-E87</f>
        <v/>
      </c>
      <c r="G87" s="15">
        <f>IF(D87=0,"",F87/D87)</f>
        <v/>
      </c>
    </row>
    <row r="88">
      <c r="A88" s="19" t="inlineStr">
        <is>
          <t>Call-outs and repairs</t>
        </is>
      </c>
      <c r="B88" s="19" t="inlineStr">
        <is>
          <t>Aug 25</t>
        </is>
      </c>
      <c r="C88" s="19" t="inlineStr">
        <is>
          <t>Locked</t>
        </is>
      </c>
      <c r="D88" s="14" t="n">
        <v>21418</v>
      </c>
      <c r="E88" s="14" t="n">
        <v>11222</v>
      </c>
      <c r="F88" s="14">
        <f>D88-E88</f>
        <v/>
      </c>
      <c r="G88" s="15">
        <f>IF(D88=0,"",F88/D88)</f>
        <v/>
      </c>
    </row>
    <row r="89">
      <c r="A89" s="19" t="inlineStr">
        <is>
          <t>Call-outs and repairs</t>
        </is>
      </c>
      <c r="B89" s="19" t="inlineStr">
        <is>
          <t>Sep 25</t>
        </is>
      </c>
      <c r="C89" s="19" t="inlineStr">
        <is>
          <t>Locked</t>
        </is>
      </c>
      <c r="D89" s="14" t="n">
        <v>21677</v>
      </c>
      <c r="E89" s="14" t="n">
        <v>11168</v>
      </c>
      <c r="F89" s="14">
        <f>D89-E89</f>
        <v/>
      </c>
      <c r="G89" s="15">
        <f>IF(D89=0,"",F89/D89)</f>
        <v/>
      </c>
    </row>
    <row r="90">
      <c r="A90" s="19" t="inlineStr">
        <is>
          <t>Call-outs and repairs</t>
        </is>
      </c>
      <c r="B90" s="19" t="inlineStr">
        <is>
          <t>Oct 25</t>
        </is>
      </c>
      <c r="C90" s="19" t="inlineStr">
        <is>
          <t>Locked</t>
        </is>
      </c>
      <c r="D90" s="14" t="n">
        <v>24166</v>
      </c>
      <c r="E90" s="14" t="n">
        <v>12648</v>
      </c>
      <c r="F90" s="14">
        <f>D90-E90</f>
        <v/>
      </c>
      <c r="G90" s="15">
        <f>IF(D90=0,"",F90/D90)</f>
        <v/>
      </c>
    </row>
    <row r="91">
      <c r="A91" s="19" t="inlineStr">
        <is>
          <t>Call-outs and repairs</t>
        </is>
      </c>
      <c r="B91" s="19" t="inlineStr">
        <is>
          <t>Nov 25</t>
        </is>
      </c>
      <c r="C91" s="19" t="inlineStr">
        <is>
          <t>Locked</t>
        </is>
      </c>
      <c r="D91" s="14" t="n">
        <v>27966</v>
      </c>
      <c r="E91" s="14" t="n">
        <v>14252</v>
      </c>
      <c r="F91" s="14">
        <f>D91-E91</f>
        <v/>
      </c>
      <c r="G91" s="15">
        <f>IF(D91=0,"",F91/D91)</f>
        <v/>
      </c>
    </row>
    <row r="92">
      <c r="A92" s="19" t="inlineStr">
        <is>
          <t>Call-outs and repairs</t>
        </is>
      </c>
      <c r="B92" s="19" t="inlineStr">
        <is>
          <t>Dec 25</t>
        </is>
      </c>
      <c r="C92" s="19" t="inlineStr">
        <is>
          <t>Locked</t>
        </is>
      </c>
      <c r="D92" s="14" t="n">
        <v>32083</v>
      </c>
      <c r="E92" s="14" t="n">
        <v>16702</v>
      </c>
      <c r="F92" s="14">
        <f>D92-E92</f>
        <v/>
      </c>
      <c r="G92" s="15">
        <f>IF(D92=0,"",F92/D92)</f>
        <v/>
      </c>
    </row>
    <row r="93">
      <c r="A93" s="19" t="inlineStr">
        <is>
          <t>Call-outs and repairs</t>
        </is>
      </c>
      <c r="B93" s="19" t="inlineStr">
        <is>
          <t>Jan 26</t>
        </is>
      </c>
      <c r="C93" s="19" t="inlineStr">
        <is>
          <t>Locked</t>
        </is>
      </c>
      <c r="D93" s="14" t="n">
        <v>34106</v>
      </c>
      <c r="E93" s="14" t="n">
        <v>17858</v>
      </c>
      <c r="F93" s="14">
        <f>D93-E93</f>
        <v/>
      </c>
      <c r="G93" s="15">
        <f>IF(D93=0,"",F93/D93)</f>
        <v/>
      </c>
    </row>
    <row r="94">
      <c r="A94" s="19" t="inlineStr">
        <is>
          <t>Call-outs and repairs</t>
        </is>
      </c>
      <c r="B94" s="19" t="inlineStr">
        <is>
          <t>Feb 26</t>
        </is>
      </c>
      <c r="C94" s="19" t="inlineStr">
        <is>
          <t>Locked</t>
        </is>
      </c>
      <c r="D94" s="14" t="n">
        <v>32108</v>
      </c>
      <c r="E94" s="14" t="n">
        <v>16608</v>
      </c>
      <c r="F94" s="14">
        <f>D94-E94</f>
        <v/>
      </c>
      <c r="G94" s="15">
        <f>IF(D94=0,"",F94/D94)</f>
        <v/>
      </c>
    </row>
    <row r="95">
      <c r="A95" s="19" t="inlineStr">
        <is>
          <t>Call-outs and repairs</t>
        </is>
      </c>
      <c r="B95" s="19" t="inlineStr">
        <is>
          <t>Mar 26</t>
        </is>
      </c>
      <c r="C95" s="19" t="inlineStr">
        <is>
          <t>Locked</t>
        </is>
      </c>
      <c r="D95" s="14" t="n">
        <v>26678</v>
      </c>
      <c r="E95" s="14" t="n">
        <v>13894</v>
      </c>
      <c r="F95" s="14">
        <f>D95-E95</f>
        <v/>
      </c>
      <c r="G95" s="15">
        <f>IF(D95=0,"",F95/D95)</f>
        <v/>
      </c>
    </row>
    <row r="96">
      <c r="A96" s="19" t="inlineStr">
        <is>
          <t>Call-outs and repairs</t>
        </is>
      </c>
      <c r="B96" s="19" t="inlineStr">
        <is>
          <t>Apr 26</t>
        </is>
      </c>
      <c r="C96" s="19" t="inlineStr">
        <is>
          <t>Locked</t>
        </is>
      </c>
      <c r="D96" s="14" t="n">
        <v>25067</v>
      </c>
      <c r="E96" s="14" t="n">
        <v>12970</v>
      </c>
      <c r="F96" s="14">
        <f>D96-E96</f>
        <v/>
      </c>
      <c r="G96" s="15">
        <f>IF(D96=0,"",F96/D96)</f>
        <v/>
      </c>
    </row>
    <row r="97">
      <c r="A97" s="19" t="inlineStr">
        <is>
          <t>Call-outs and repairs</t>
        </is>
      </c>
      <c r="B97" s="19" t="inlineStr">
        <is>
          <t>May 26</t>
        </is>
      </c>
      <c r="C97" s="19" t="inlineStr">
        <is>
          <t>Locked</t>
        </is>
      </c>
      <c r="D97" s="14" t="n">
        <v>31592</v>
      </c>
      <c r="E97" s="14" t="n">
        <v>16234</v>
      </c>
      <c r="F97" s="14">
        <f>D97-E97</f>
        <v/>
      </c>
      <c r="G97" s="15">
        <f>IF(D97=0,"",F97/D97)</f>
        <v/>
      </c>
    </row>
    <row r="98">
      <c r="A98" s="19" t="inlineStr">
        <is>
          <t>Call-outs and repairs</t>
        </is>
      </c>
      <c r="B98" s="19" t="inlineStr">
        <is>
          <t>Jun 26</t>
        </is>
      </c>
      <c r="C98" s="19" t="inlineStr">
        <is>
          <t>Locked</t>
        </is>
      </c>
      <c r="D98" s="14" t="n">
        <v>32082</v>
      </c>
      <c r="E98" s="14" t="n">
        <v>16324</v>
      </c>
      <c r="F98" s="14">
        <f>D98-E98</f>
        <v/>
      </c>
      <c r="G98" s="15">
        <f>IF(D98=0,"",F98/D98)</f>
        <v/>
      </c>
    </row>
    <row r="99">
      <c r="A99" s="19" t="inlineStr">
        <is>
          <t>Call-outs and repairs</t>
        </is>
      </c>
      <c r="B99" s="19" t="inlineStr">
        <is>
          <t>Jul 26</t>
        </is>
      </c>
      <c r="C99" s="19" t="inlineStr">
        <is>
          <t>Locked</t>
        </is>
      </c>
      <c r="D99" s="14" t="n">
        <v>27260</v>
      </c>
      <c r="E99" s="14" t="n">
        <v>14220</v>
      </c>
      <c r="F99" s="14">
        <f>D99-E99</f>
        <v/>
      </c>
      <c r="G99" s="15">
        <f>IF(D99=0,"",F99/D99)</f>
        <v/>
      </c>
    </row>
    <row r="100">
      <c r="A100" s="19" t="inlineStr">
        <is>
          <t>Call-outs and repairs</t>
        </is>
      </c>
      <c r="B100" s="19" t="inlineStr">
        <is>
          <t>Aug 26</t>
        </is>
      </c>
      <c r="C100" s="19" t="inlineStr">
        <is>
          <t>Locked</t>
        </is>
      </c>
      <c r="D100" s="14" t="n">
        <v>31373</v>
      </c>
      <c r="E100" s="14" t="n">
        <v>16266</v>
      </c>
      <c r="F100" s="14">
        <f>D100-E100</f>
        <v/>
      </c>
      <c r="G100" s="15">
        <f>IF(D100=0,"",F100/D100)</f>
        <v/>
      </c>
    </row>
    <row r="101">
      <c r="A101" s="19" t="inlineStr">
        <is>
          <t>Call-outs and repairs</t>
        </is>
      </c>
      <c r="B101" s="19" t="inlineStr">
        <is>
          <t>Sep 26</t>
        </is>
      </c>
      <c r="C101" s="19" t="inlineStr">
        <is>
          <t>Locked</t>
        </is>
      </c>
      <c r="D101" s="14" t="n">
        <v>33810</v>
      </c>
      <c r="E101" s="14" t="n">
        <v>17478</v>
      </c>
      <c r="F101" s="14">
        <f>D101-E101</f>
        <v/>
      </c>
      <c r="G101" s="15">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2026-10-10T11:56:46Z</dcterms:created>
  <dcterms:modified xmlns:dcterms="http://purl.org/dc/terms/" xmlns:xsi="http://www.w3.org/2001/XMLSchema-instance" xsi:type="dcterms:W3CDTF">2026-10-10T11:56:47Z</dcterms:modified>
</cp:coreProperties>
</file>