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September">'Report'!$B$8</definedName>
    <definedName name="Couldn_t_reach_September">'Report'!$B$9</definedName>
    <definedName name="Share_reached_Septem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672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672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9" headerRowCount="1">
  <autoFilter ref="A5:E2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September</t>
        </is>
      </c>
      <c r="B8" s="6">
        <f>Workings!B10</f>
        <v/>
      </c>
      <c r="C8" s="7" t="inlineStr">
        <is>
          <t>August 522</t>
        </is>
      </c>
    </row>
    <row r="9">
      <c r="A9" t="inlineStr">
        <is>
          <t>Couldn't reach, September</t>
        </is>
      </c>
      <c r="B9" s="6">
        <f>Workings!B18</f>
        <v/>
      </c>
      <c r="C9" s="7" t="inlineStr">
        <is>
          <t>August 112</t>
        </is>
      </c>
    </row>
    <row r="10">
      <c r="A10" t="inlineStr">
        <is>
          <t>Share reached, September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September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September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50</t>
        </is>
      </c>
    </row>
    <row r="31">
      <c r="A31" s="11" t="inlineStr">
        <is>
          <t>Waitlist</t>
        </is>
      </c>
      <c r="B31" s="12" t="inlineStr">
        <is>
          <t>25</t>
        </is>
      </c>
    </row>
    <row r="32">
      <c r="A32" s="11" t="inlineStr">
        <is>
          <t>Couldn't make contact</t>
        </is>
      </c>
      <c r="B32" s="12" t="inlineStr">
        <is>
          <t>8</t>
        </is>
      </c>
    </row>
    <row r="33">
      <c r="A33" s="11" t="inlineStr">
        <is>
          <t>Not eligible</t>
        </is>
      </c>
      <c r="B33" s="12" t="inlineStr">
        <is>
          <t>7</t>
        </is>
      </c>
    </row>
    <row r="34">
      <c r="A34" s="11" t="inlineStr">
        <is>
          <t>Outside the service area</t>
        </is>
      </c>
      <c r="B34" s="12" t="inlineStr">
        <is>
          <t>4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548 people were helped in September, and 94 came to a program but couldn't be helped: 85.4% reached (target 90.0%), against 82.3% in August.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Housing support reached the smallest share: 79.5% (26 couldn't be helped). The main reason: program at capacity (50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>
      <c r="A5" s="14" t="inlineStr">
        <is>
          <t>People helped, September and August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People helped</t>
        </is>
      </c>
      <c r="B8" s="15" t="n">
        <v>548</v>
      </c>
      <c r="C8" s="15" t="n">
        <v>522</v>
      </c>
    </row>
    <row r="9">
      <c r="A9" t="inlineStr">
        <is>
          <t>People we couldn't reach</t>
        </is>
      </c>
      <c r="B9" s="15" t="n">
        <v>94</v>
      </c>
      <c r="C9" s="15" t="n">
        <v>112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September and August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Sep 26</t>
        </is>
      </c>
      <c r="C15" s="5" t="inlineStr">
        <is>
          <t>Aug 26</t>
        </is>
      </c>
    </row>
    <row r="16">
      <c r="A16" t="inlineStr">
        <is>
          <t>People helped</t>
        </is>
      </c>
      <c r="B16" s="15" t="n">
        <v>548</v>
      </c>
      <c r="C16" s="15" t="n">
        <v>522</v>
      </c>
    </row>
    <row r="17">
      <c r="A17" t="inlineStr">
        <is>
          <t>People we couldn't reach</t>
        </is>
      </c>
      <c r="B17" s="15" t="n">
        <v>94</v>
      </c>
      <c r="C17" s="15" t="n">
        <v>112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September and August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Sep 26</t>
        </is>
      </c>
      <c r="C23" s="5" t="inlineStr">
        <is>
          <t>Aug 26</t>
        </is>
      </c>
    </row>
    <row r="24">
      <c r="A24" t="inlineStr">
        <is>
          <t>People helped</t>
        </is>
      </c>
      <c r="B24" s="15" t="n">
        <v>548</v>
      </c>
      <c r="C24" s="15" t="n">
        <v>522</v>
      </c>
    </row>
    <row r="25">
      <c r="A25" t="inlineStr">
        <is>
          <t>People we couldn't reach</t>
        </is>
      </c>
      <c r="B25" s="15" t="n">
        <v>94</v>
      </c>
      <c r="C25" s="15" t="n">
        <v>112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September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Sep 2026</t>
        </is>
      </c>
    </row>
    <row r="32">
      <c r="A32" t="inlineStr">
        <is>
          <t>People helped</t>
        </is>
      </c>
      <c r="B32" s="15" t="n">
        <v>195</v>
      </c>
    </row>
    <row r="33">
      <c r="A33" t="inlineStr">
        <is>
          <t>Couldn't reach</t>
        </is>
      </c>
      <c r="B33" s="15" t="n">
        <v>37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September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Sep 2026</t>
        </is>
      </c>
    </row>
    <row r="40">
      <c r="A40" t="inlineStr">
        <is>
          <t>People helped</t>
        </is>
      </c>
      <c r="B40" s="15" t="n">
        <v>123</v>
      </c>
    </row>
    <row r="41">
      <c r="A41" t="inlineStr">
        <is>
          <t>Couldn't reach</t>
        </is>
      </c>
      <c r="B41" s="15" t="n">
        <v>17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September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Sep 2026</t>
        </is>
      </c>
    </row>
    <row r="48">
      <c r="A48" t="inlineStr">
        <is>
          <t>People helped</t>
        </is>
      </c>
      <c r="B48" s="15" t="n">
        <v>101</v>
      </c>
    </row>
    <row r="49">
      <c r="A49" t="inlineStr">
        <is>
          <t>Couldn't reach</t>
        </is>
      </c>
      <c r="B49" s="15" t="n">
        <v>26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September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Sep 2026</t>
        </is>
      </c>
    </row>
    <row r="56">
      <c r="A56" t="inlineStr">
        <is>
          <t>People helped</t>
        </is>
      </c>
      <c r="B56" s="15" t="n">
        <v>77</v>
      </c>
    </row>
    <row r="57">
      <c r="A57" t="inlineStr">
        <is>
          <t>Couldn't reach</t>
        </is>
      </c>
      <c r="B57" s="15" t="n">
        <v>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September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Sep 2026</t>
        </is>
      </c>
    </row>
    <row r="64">
      <c r="A64" t="inlineStr">
        <is>
          <t>People helped</t>
        </is>
      </c>
      <c r="B64" s="15" t="n">
        <v>52</v>
      </c>
    </row>
    <row r="65">
      <c r="A65" t="inlineStr">
        <is>
          <t>Couldn't reach</t>
        </is>
      </c>
      <c r="B65" s="15" t="n">
        <v>8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September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102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97</v>
      </c>
      <c r="E27" s="19">
        <f>IF(C27+D27=0,"",C27/(C27+D27))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5" t="n">
        <v>522</v>
      </c>
      <c r="D28" s="15" t="n">
        <v>112</v>
      </c>
      <c r="E28" s="19">
        <f>IF(C28+D28=0,"",C28/(C28+D28))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5" t="n">
        <v>548</v>
      </c>
      <c r="D29" s="15" t="n">
        <v>94</v>
      </c>
      <c r="E29" s="19">
        <f>IF(C29+D29=0,"",C29/(C29+D29))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