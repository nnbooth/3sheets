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September">'Report'!$B$8</definedName>
    <definedName name="Couldn_t_reach_September">'Report'!$B$9</definedName>
    <definedName name="Share_reached_September">'Report'!$B$10</definedName>
    <definedName name="_xlnm.Print_Area" localSheetId="0">'Report'!$A$1:$D$40</definedName>
    <definedName name="_xlnm.Print_Area" localSheetId="1">'Workings'!$A$1:$C$66</definedName>
    <definedName name="_xlnm.Print_Titles" localSheetId="3">'Data'!$5:$5</definedName>
    <definedName name="_xlnm.Print_Area" localSheetId="3">'Data'!$A$1:$E$29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'Report'!$A$14:$A$18</f>
            </numRef>
          </cat>
          <val>
            <numRef>
              <f>'Report'!$B$14:$B$18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3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3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9" headerRowCount="1">
  <autoFilter ref="A5:E29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11:41pm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September</t>
        </is>
      </c>
      <c r="B8" s="6">
        <f>Workings!B10</f>
        <v/>
      </c>
      <c r="C8" s="7" t="inlineStr">
        <is>
          <t>August 522</t>
        </is>
      </c>
    </row>
    <row r="9">
      <c r="A9" t="inlineStr">
        <is>
          <t>Couldn't reach, September</t>
        </is>
      </c>
      <c r="B9" s="6">
        <f>Workings!B18</f>
        <v/>
      </c>
      <c r="C9" s="7" t="inlineStr">
        <is>
          <t>August 93</t>
        </is>
      </c>
    </row>
    <row r="10">
      <c r="A10" t="inlineStr">
        <is>
          <t>Share reached, September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September 2026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Housing support</t>
        </is>
      </c>
      <c r="B16" s="6">
        <f>Workings!B50</f>
        <v/>
      </c>
      <c r="C16" s="9">
        <f>Workings!B49</f>
        <v/>
      </c>
    </row>
    <row r="17">
      <c r="A17" t="inlineStr">
        <is>
          <t>Mental health first aid</t>
        </is>
      </c>
      <c r="B17" s="6">
        <f>Workings!B58</f>
        <v/>
      </c>
      <c r="C17" s="9">
        <f>Workings!B57</f>
        <v/>
      </c>
    </row>
    <row r="18">
      <c r="A18" t="inlineStr">
        <is>
          <t>Digital literacy</t>
        </is>
      </c>
      <c r="B18" s="6">
        <f>Workings!B66</f>
        <v/>
      </c>
      <c r="C18" s="9">
        <f>Workings!B65</f>
        <v/>
      </c>
    </row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September 2026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45</t>
        </is>
      </c>
    </row>
    <row r="31">
      <c r="A31" s="11" t="inlineStr">
        <is>
          <t>Waitlist</t>
        </is>
      </c>
      <c r="B31" s="12" t="inlineStr">
        <is>
          <t>24</t>
        </is>
      </c>
    </row>
    <row r="32">
      <c r="A32" s="11" t="inlineStr">
        <is>
          <t>Outside the service area</t>
        </is>
      </c>
      <c r="B32" s="12" t="inlineStr">
        <is>
          <t>14</t>
        </is>
      </c>
    </row>
    <row r="33">
      <c r="A33" s="11" t="inlineStr">
        <is>
          <t>Not eligible</t>
        </is>
      </c>
      <c r="B33" s="12" t="inlineStr">
        <is>
          <t>9</t>
        </is>
      </c>
    </row>
    <row r="34">
      <c r="A34" s="11" t="inlineStr">
        <is>
          <t>Couldn't make contact</t>
        </is>
      </c>
      <c r="B34" s="12" t="inlineStr">
        <is>
          <t>8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548 people were helped in September, and 100 came to a program but couldn't be helped: 84.6% reached (target 90.0%), against 84.9% in August.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Digital literacy reached the smallest share: 81.2% (12 couldn't be helped). The main reason: program at capacity (45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11:41pm</t>
        </is>
      </c>
    </row>
    <row r="4"/>
    <row r="5">
      <c r="A5" s="14" t="inlineStr">
        <is>
          <t>People helped, September and August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Sep 26</t>
        </is>
      </c>
      <c r="C7" s="5" t="inlineStr">
        <is>
          <t>Aug 26</t>
        </is>
      </c>
    </row>
    <row r="8">
      <c r="A8" t="inlineStr">
        <is>
          <t>People helped</t>
        </is>
      </c>
      <c r="B8" s="15" t="n">
        <v>548</v>
      </c>
      <c r="C8" s="15" t="n">
        <v>522</v>
      </c>
    </row>
    <row r="9">
      <c r="A9" t="inlineStr">
        <is>
          <t>People we couldn't reach</t>
        </is>
      </c>
      <c r="B9" s="15" t="n">
        <v>100</v>
      </c>
      <c r="C9" s="15" t="n">
        <v>93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September and August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Sep 26</t>
        </is>
      </c>
      <c r="C15" s="5" t="inlineStr">
        <is>
          <t>Aug 26</t>
        </is>
      </c>
    </row>
    <row r="16">
      <c r="A16" t="inlineStr">
        <is>
          <t>People helped</t>
        </is>
      </c>
      <c r="B16" s="15" t="n">
        <v>548</v>
      </c>
      <c r="C16" s="15" t="n">
        <v>522</v>
      </c>
    </row>
    <row r="17">
      <c r="A17" t="inlineStr">
        <is>
          <t>People we couldn't reach</t>
        </is>
      </c>
      <c r="B17" s="15" t="n">
        <v>100</v>
      </c>
      <c r="C17" s="15" t="n">
        <v>93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September and August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Sep 26</t>
        </is>
      </c>
      <c r="C23" s="5" t="inlineStr">
        <is>
          <t>Aug 26</t>
        </is>
      </c>
    </row>
    <row r="24">
      <c r="A24" t="inlineStr">
        <is>
          <t>People helped</t>
        </is>
      </c>
      <c r="B24" s="15" t="n">
        <v>548</v>
      </c>
      <c r="C24" s="15" t="n">
        <v>522</v>
      </c>
    </row>
    <row r="25">
      <c r="A25" t="inlineStr">
        <is>
          <t>People we couldn't reach</t>
        </is>
      </c>
      <c r="B25" s="15" t="n">
        <v>100</v>
      </c>
      <c r="C25" s="15" t="n">
        <v>93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September 2026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Sep 2026</t>
        </is>
      </c>
    </row>
    <row r="32">
      <c r="A32" t="inlineStr">
        <is>
          <t>People helped</t>
        </is>
      </c>
      <c r="B32" s="15" t="n">
        <v>195</v>
      </c>
    </row>
    <row r="33">
      <c r="A33" t="inlineStr">
        <is>
          <t>Couldn't reach</t>
        </is>
      </c>
      <c r="B33" s="15" t="n">
        <v>31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September 2026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Sep 2026</t>
        </is>
      </c>
    </row>
    <row r="40">
      <c r="A40" t="inlineStr">
        <is>
          <t>People helped</t>
        </is>
      </c>
      <c r="B40" s="15" t="n">
        <v>123</v>
      </c>
    </row>
    <row r="41">
      <c r="A41" t="inlineStr">
        <is>
          <t>Couldn't reach</t>
        </is>
      </c>
      <c r="B41" s="15" t="n">
        <v>23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Housing support, September 2026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Sep 2026</t>
        </is>
      </c>
    </row>
    <row r="48">
      <c r="A48" t="inlineStr">
        <is>
          <t>People helped</t>
        </is>
      </c>
      <c r="B48" s="15" t="n">
        <v>101</v>
      </c>
    </row>
    <row r="49">
      <c r="A49" t="inlineStr">
        <is>
          <t>Couldn't reach</t>
        </is>
      </c>
      <c r="B49" s="15" t="n">
        <v>20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Mental health first aid, September 2026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Sep 2026</t>
        </is>
      </c>
    </row>
    <row r="56">
      <c r="A56" t="inlineStr">
        <is>
          <t>People helped</t>
        </is>
      </c>
      <c r="B56" s="15" t="n">
        <v>77</v>
      </c>
    </row>
    <row r="57">
      <c r="A57" t="inlineStr">
        <is>
          <t>Couldn't reach</t>
        </is>
      </c>
      <c r="B57" s="15" t="n">
        <v>14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>
      <c r="A61" s="14" t="inlineStr">
        <is>
          <t>Digital literacy, September 2026</t>
        </is>
      </c>
    </row>
    <row r="62">
      <c r="A62" s="10" t="inlineStr">
        <is>
          <t>Helped ÷ (helped + couldn't reach)</t>
        </is>
      </c>
    </row>
    <row r="63">
      <c r="A63" s="4" t="inlineStr"/>
      <c r="B63" s="5" t="inlineStr">
        <is>
          <t>Sep 2026</t>
        </is>
      </c>
    </row>
    <row r="64">
      <c r="A64" t="inlineStr">
        <is>
          <t>People helped</t>
        </is>
      </c>
      <c r="B64" s="15" t="n">
        <v>52</v>
      </c>
    </row>
    <row r="65">
      <c r="A65" t="inlineStr">
        <is>
          <t>Couldn't reach</t>
        </is>
      </c>
      <c r="B65" s="15" t="n">
        <v>12</v>
      </c>
    </row>
    <row r="66">
      <c r="A66" s="16" t="inlineStr">
        <is>
          <t>Share reached</t>
        </is>
      </c>
      <c r="B66" s="17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September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12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12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20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20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25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25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34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32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68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65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55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50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52</v>
      </c>
      <c r="E19" s="19">
        <f>IF(C19+D19=0,"",C19/(C19+D19))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5" t="n">
        <v>521</v>
      </c>
      <c r="D20" s="15" t="n">
        <v>43</v>
      </c>
      <c r="E20" s="19">
        <f>IF(C20+D20=0,"",C20/(C20+D20))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5" t="n">
        <v>427</v>
      </c>
      <c r="D21" s="15" t="n">
        <v>49</v>
      </c>
      <c r="E21" s="19">
        <f>IF(C21+D21=0,"",C21/(C21+D21))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5" t="n">
        <v>396</v>
      </c>
      <c r="D22" s="15" t="n">
        <v>43</v>
      </c>
      <c r="E22" s="19">
        <f>IF(C22+D22=0,"",C22/(C22+D22))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5" t="n">
        <v>412</v>
      </c>
      <c r="D23" s="15" t="n">
        <v>69</v>
      </c>
      <c r="E23" s="19">
        <f>IF(C23+D23=0,"",C23/(C23+D23))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5" t="n">
        <v>491</v>
      </c>
      <c r="D24" s="15" t="n">
        <v>93</v>
      </c>
      <c r="E24" s="19">
        <f>IF(C24+D24=0,"",C24/(C24+D24))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5" t="n">
        <v>487</v>
      </c>
      <c r="D25" s="15" t="n">
        <v>62</v>
      </c>
      <c r="E25" s="19">
        <f>IF(C25+D25=0,"",C25/(C25+D25))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5" t="n">
        <v>490</v>
      </c>
      <c r="D26" s="15" t="n">
        <v>95</v>
      </c>
      <c r="E26" s="19">
        <f>IF(C26+D26=0,"",C26/(C26+D26))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5" t="n">
        <v>497</v>
      </c>
      <c r="D27" s="15" t="n">
        <v>94</v>
      </c>
      <c r="E27" s="19">
        <f>IF(C27+D27=0,"",C27/(C27+D27))</f>
        <v/>
      </c>
    </row>
    <row r="28">
      <c r="A28" s="18" t="inlineStr">
        <is>
          <t>Aug 26</t>
        </is>
      </c>
      <c r="B28" s="18" t="inlineStr">
        <is>
          <t>Locked</t>
        </is>
      </c>
      <c r="C28" s="15" t="n">
        <v>522</v>
      </c>
      <c r="D28" s="15" t="n">
        <v>93</v>
      </c>
      <c r="E28" s="19">
        <f>IF(C28+D28=0,"",C28/(C28+D28))</f>
        <v/>
      </c>
    </row>
    <row r="29">
      <c r="A29" s="18" t="inlineStr">
        <is>
          <t>Sep 26</t>
        </is>
      </c>
      <c r="B29" s="18" t="inlineStr">
        <is>
          <t>Locked</t>
        </is>
      </c>
      <c r="C29" s="15" t="n">
        <v>548</v>
      </c>
      <c r="D29" s="15" t="n">
        <v>100</v>
      </c>
      <c r="E29" s="19">
        <f>IF(C29+D29=0,"",C29/(C29+D29))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2026-10-08T13:42:18Z</dcterms:created>
  <dcterms:modified xmlns:dcterms="http://purl.org/dc/terms/" xmlns:xsi="http://www.w3.org/2001/XMLSchema-instance" xsi:type="dcterms:W3CDTF">2026-10-08T13:42:18Z</dcterms:modified>
</cp:coreProperties>
</file>