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7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September 2026</t>
        </is>
      </c>
      <c r="B8" s="6">
        <f>Workings!B10</f>
        <v/>
      </c>
      <c r="C8" s="7" t="inlineStr">
        <is>
          <t>August $205</t>
        </is>
      </c>
    </row>
    <row r="9">
      <c r="A9" t="inlineStr">
        <is>
          <t>September last year</t>
        </is>
      </c>
      <c r="B9" s="6">
        <f>Workings!B18</f>
        <v/>
      </c>
      <c r="C9" s="7" t="inlineStr">
        <is>
          <t>32 new customers from $8,600</t>
        </is>
      </c>
    </row>
    <row r="10">
      <c r="A10" t="inlineStr">
        <is>
          <t>Year to date (Jul to Sep 2026)</t>
        </is>
      </c>
      <c r="B10" s="8">
        <f>Workings!B30</f>
        <v/>
      </c>
      <c r="C10" s="7" t="inlineStr">
        <is>
          <t>(23.1%) on the same period last year ($265)</t>
        </is>
      </c>
    </row>
    <row r="11"/>
    <row r="12">
      <c r="A12" s="9" t="inlineStr">
        <is>
          <t>Cost to win a customer, by month: every month is on the Data sheet.</t>
        </is>
      </c>
    </row>
    <row r="13"/>
    <row r="14">
      <c r="A14" s="10" t="inlineStr">
        <is>
          <t>What it shows</t>
        </is>
      </c>
    </row>
    <row r="15" ht="30" customHeight="1">
      <c r="A15" s="3" t="inlineStr">
        <is>
          <t>47 new customers came from $7,600 of marketing in September, against 41 from $8,400 in August: $162 each, down from $205.</t>
        </is>
      </c>
    </row>
    <row r="16"/>
    <row r="17">
      <c r="A17" s="10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11" t="inlineStr">
        <is>
          <t>Cost to win a customer, September and August</t>
        </is>
      </c>
    </row>
    <row r="6">
      <c r="A6" s="9" t="inlineStr">
        <is>
          <t>Marketing spend ÷ new customers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Marketing spend (ledger)</t>
        </is>
      </c>
      <c r="B8" s="12" t="n">
        <v>7600</v>
      </c>
      <c r="C8" s="12" t="n">
        <v>8400</v>
      </c>
    </row>
    <row r="9">
      <c r="A9" t="inlineStr">
        <is>
          <t>New customers (first job ever)</t>
        </is>
      </c>
      <c r="B9" s="12" t="n">
        <v>47</v>
      </c>
      <c r="C9" s="12" t="n">
        <v>41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Sep 25</t>
        </is>
      </c>
    </row>
    <row r="14">
      <c r="A14" s="9" t="inlineStr">
        <is>
          <t>Marketing spend ÷ new customers</t>
        </is>
      </c>
    </row>
    <row r="15">
      <c r="A15" s="4" t="inlineStr"/>
      <c r="B15" s="5" t="inlineStr">
        <is>
          <t>Sep 25</t>
        </is>
      </c>
    </row>
    <row r="16">
      <c r="A16" t="inlineStr">
        <is>
          <t>Marketing spend (ledger)</t>
        </is>
      </c>
      <c r="B16" s="12" t="n">
        <v>8600</v>
      </c>
    </row>
    <row r="17">
      <c r="A17" t="inlineStr">
        <is>
          <t>New customers (first job ever)</t>
        </is>
      </c>
      <c r="B17" s="12" t="n">
        <v>32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year to date against the same period last year</t>
        </is>
      </c>
    </row>
    <row r="22">
      <c r="A22" s="9" t="inlineStr">
        <is>
          <t>Total marketing ÷ total new customers, for each period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Sep 2026</t>
        </is>
      </c>
      <c r="B24" s="12" t="n">
        <v>24400</v>
      </c>
    </row>
    <row r="25">
      <c r="A25" t="inlineStr">
        <is>
          <t>New customers, Jul to Sep 2026</t>
        </is>
      </c>
      <c r="B25" s="12" t="n">
        <v>120</v>
      </c>
    </row>
    <row r="26">
      <c r="A26" t="inlineStr">
        <is>
          <t>Cost per customer, year to date</t>
        </is>
      </c>
      <c r="B26" s="12">
        <f>B24/B25</f>
        <v/>
      </c>
    </row>
    <row r="27">
      <c r="A27" t="inlineStr">
        <is>
          <t>Marketing, Jul to Sep 2025</t>
        </is>
      </c>
      <c r="B27" s="12" t="n">
        <v>25400</v>
      </c>
    </row>
    <row r="28">
      <c r="A28" t="inlineStr">
        <is>
          <t>New customers, Jul to Sep 2025</t>
        </is>
      </c>
      <c r="B28" s="12" t="n">
        <v>96</v>
      </c>
    </row>
    <row r="29">
      <c r="A29" t="inlineStr">
        <is>
          <t>Cost per customer, same period last year</t>
        </is>
      </c>
      <c r="B29" s="12">
        <f>B27/B28</f>
        <v/>
      </c>
    </row>
    <row r="30">
      <c r="A30" s="13" t="inlineStr">
        <is>
          <t>Change</t>
        </is>
      </c>
      <c r="B30" s="15">
        <f>B26/B29-1</f>
        <v/>
      </c>
    </row>
    <row r="31"/>
    <row r="32"/>
    <row r="33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  <rowBreaks count="1" manualBreakCount="1">
    <brk id="2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6" t="inlineStr">
        <is>
          <t>Oct 24</t>
        </is>
      </c>
      <c r="B6" s="16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6" t="inlineStr">
        <is>
          <t>Nov 24</t>
        </is>
      </c>
      <c r="B7" s="16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6" t="inlineStr">
        <is>
          <t>Dec 24</t>
        </is>
      </c>
      <c r="B8" s="16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6" t="inlineStr">
        <is>
          <t>Jan 25</t>
        </is>
      </c>
      <c r="B9" s="16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6" t="inlineStr">
        <is>
          <t>Feb 25</t>
        </is>
      </c>
      <c r="B10" s="16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6" t="inlineStr">
        <is>
          <t>Mar 25</t>
        </is>
      </c>
      <c r="B11" s="16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6" t="inlineStr">
        <is>
          <t>Apr 25</t>
        </is>
      </c>
      <c r="B12" s="16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6" t="inlineStr">
        <is>
          <t>May 25</t>
        </is>
      </c>
      <c r="B13" s="16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6" t="inlineStr">
        <is>
          <t>Jun 25</t>
        </is>
      </c>
      <c r="B14" s="16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6" t="inlineStr">
        <is>
          <t>Jul 25</t>
        </is>
      </c>
      <c r="B15" s="16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6" t="inlineStr">
        <is>
          <t>Aug 25</t>
        </is>
      </c>
      <c r="B16" s="16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6" t="inlineStr">
        <is>
          <t>Sep 25</t>
        </is>
      </c>
      <c r="B17" s="16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6" t="inlineStr">
        <is>
          <t>Oct 25</t>
        </is>
      </c>
      <c r="B18" s="16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6" t="inlineStr">
        <is>
          <t>Nov 25</t>
        </is>
      </c>
      <c r="B19" s="16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6" t="inlineStr">
        <is>
          <t>Dec 25</t>
        </is>
      </c>
      <c r="B20" s="16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6" t="inlineStr">
        <is>
          <t>Jan 26</t>
        </is>
      </c>
      <c r="B21" s="16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  <row r="22">
      <c r="A22" s="16" t="inlineStr">
        <is>
          <t>Feb 26</t>
        </is>
      </c>
      <c r="B22" s="16" t="inlineStr">
        <is>
          <t>Locked</t>
        </is>
      </c>
      <c r="C22" s="12" t="n">
        <v>8600</v>
      </c>
      <c r="D22" s="12" t="n">
        <v>39</v>
      </c>
      <c r="E22" s="12">
        <f>C22/D22</f>
        <v/>
      </c>
    </row>
    <row r="23">
      <c r="A23" s="16" t="inlineStr">
        <is>
          <t>Mar 26</t>
        </is>
      </c>
      <c r="B23" s="16" t="inlineStr">
        <is>
          <t>Locked</t>
        </is>
      </c>
      <c r="C23" s="12" t="n">
        <v>8400</v>
      </c>
      <c r="D23" s="12" t="n">
        <v>37</v>
      </c>
      <c r="E23" s="12">
        <f>C23/D23</f>
        <v/>
      </c>
    </row>
    <row r="24">
      <c r="A24" s="16" t="inlineStr">
        <is>
          <t>Apr 26</t>
        </is>
      </c>
      <c r="B24" s="16" t="inlineStr">
        <is>
          <t>Locked</t>
        </is>
      </c>
      <c r="C24" s="12" t="n">
        <v>8400</v>
      </c>
      <c r="D24" s="12" t="n">
        <v>35</v>
      </c>
      <c r="E24" s="12">
        <f>C24/D24</f>
        <v/>
      </c>
    </row>
    <row r="25">
      <c r="A25" s="16" t="inlineStr">
        <is>
          <t>May 26</t>
        </is>
      </c>
      <c r="B25" s="16" t="inlineStr">
        <is>
          <t>Locked</t>
        </is>
      </c>
      <c r="C25" s="12" t="n">
        <v>8400</v>
      </c>
      <c r="D25" s="12" t="n">
        <v>36</v>
      </c>
      <c r="E25" s="12">
        <f>C25/D25</f>
        <v/>
      </c>
    </row>
    <row r="26">
      <c r="A26" s="16" t="inlineStr">
        <is>
          <t>Jun 26</t>
        </is>
      </c>
      <c r="B26" s="16" t="inlineStr">
        <is>
          <t>Locked</t>
        </is>
      </c>
      <c r="C26" s="12" t="n">
        <v>8400</v>
      </c>
      <c r="D26" s="12" t="n">
        <v>39</v>
      </c>
      <c r="E26" s="12">
        <f>C26/D26</f>
        <v/>
      </c>
    </row>
    <row r="27">
      <c r="A27" s="16" t="inlineStr">
        <is>
          <t>Jul 26</t>
        </is>
      </c>
      <c r="B27" s="16" t="inlineStr">
        <is>
          <t>Locked</t>
        </is>
      </c>
      <c r="C27" s="12" t="n">
        <v>8400</v>
      </c>
      <c r="D27" s="12" t="n">
        <v>32</v>
      </c>
      <c r="E27" s="12">
        <f>C27/D27</f>
        <v/>
      </c>
    </row>
    <row r="28">
      <c r="A28" s="16" t="inlineStr">
        <is>
          <t>Aug 26</t>
        </is>
      </c>
      <c r="B28" s="16" t="inlineStr">
        <is>
          <t>Locked</t>
        </is>
      </c>
      <c r="C28" s="12" t="n">
        <v>8400</v>
      </c>
      <c r="D28" s="12" t="n">
        <v>41</v>
      </c>
      <c r="E28" s="12">
        <f>C28/D28</f>
        <v/>
      </c>
    </row>
    <row r="29">
      <c r="A29" s="16" t="inlineStr">
        <is>
          <t>Sep 26</t>
        </is>
      </c>
      <c r="B29" s="16" t="inlineStr">
        <is>
          <t>Locked</t>
        </is>
      </c>
      <c r="C29" s="12" t="n">
        <v>7600</v>
      </c>
      <c r="D29" s="12" t="n">
        <v>47</v>
      </c>
      <c r="E29" s="12">
        <f>C29/D29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2026-10-06T07:09:28Z</dcterms:created>
  <dcterms:modified xmlns:dcterms="http://purl.org/dc/terms/" xmlns:xsi="http://www.w3.org/2001/XMLSchema-instance" xsi:type="dcterms:W3CDTF">2026-10-06T07:09:28Z</dcterms:modified>
</cp:coreProperties>
</file>