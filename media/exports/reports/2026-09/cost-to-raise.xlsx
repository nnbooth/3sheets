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September · all fundraising</t>
        </is>
      </c>
      <c r="B9" s="7">
        <f>Workings!B10</f>
        <v/>
      </c>
      <c r="C9" s="8" t="inlineStr">
        <is>
          <t>August 13¢</t>
        </is>
      </c>
    </row>
    <row r="10">
      <c r="A10" t="inlineStr">
        <is>
          <t>Year to date (Jul to Sep 2026)</t>
        </is>
      </c>
      <c r="B10" s="7">
        <f>Workings!B21</f>
        <v/>
      </c>
      <c r="C10" s="8" t="inlineStr">
        <is>
          <t>same period last year: 16¢</t>
        </is>
      </c>
    </row>
    <row r="11"/>
    <row r="12">
      <c r="A12" s="9" t="inlineStr">
        <is>
          <t>Cost to raise a dollar, by source, September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9</v>
      </c>
    </row>
    <row r="15">
      <c r="A15" t="inlineStr">
        <is>
          <t>Donations</t>
        </is>
      </c>
      <c r="B15" s="7" t="n">
        <v>19</v>
      </c>
    </row>
    <row r="16">
      <c r="A16" t="inlineStr">
        <is>
          <t>Fundraising events</t>
        </is>
      </c>
      <c r="B16" s="7" t="n">
        <v>41</v>
      </c>
    </row>
    <row r="17"/>
    <row r="18">
      <c r="A18" s="10" t="inlineStr">
        <is>
          <t>What it shows</t>
        </is>
      </c>
    </row>
    <row r="19" ht="45" customHeight="1">
      <c r="A19" s="3" t="inlineStr">
        <is>
          <t>September cost 20¢ to raise each dollar, against 13¢ in August. Fundraising events raised $41,600 and cost $16,900. This financial year to date it has cost 15¢ a dollar, against 16¢ in the same period last year.</t>
        </is>
      </c>
    </row>
    <row r="20"/>
    <row r="21">
      <c r="A21" s="10" t="inlineStr">
        <is>
          <t>What you'd do about it</t>
        </is>
      </c>
    </row>
    <row r="22" ht="30" customHeight="1">
      <c r="A22" s="3" t="inlineStr">
        <is>
          <t>The year-to-date figure is steadier than single months: events make some months jump. Pick a source above to see which one moves it.</t>
        </is>
      </c>
    </row>
    <row r="23"/>
    <row r="24">
      <c r="A24" s="4" t="inlineStr">
        <is>
          <t>Source: Grants</t>
        </is>
      </c>
    </row>
    <row r="25">
      <c r="A25" s="5" t="inlineStr">
        <is>
          <t>Headline number</t>
        </is>
      </c>
      <c r="B25" s="6" t="inlineStr">
        <is>
          <t>Value</t>
        </is>
      </c>
      <c r="C25" s="6" t="inlineStr">
        <is>
          <t>Compared with</t>
        </is>
      </c>
    </row>
    <row r="26">
      <c r="A26" t="inlineStr">
        <is>
          <t>September · Grants</t>
        </is>
      </c>
      <c r="B26" s="7">
        <f>Workings!B43</f>
        <v/>
      </c>
      <c r="C26" s="8" t="inlineStr">
        <is>
          <t>August 10¢</t>
        </is>
      </c>
    </row>
    <row r="27">
      <c r="A27" t="inlineStr">
        <is>
          <t>Year to date (Jul to Sep 2026)</t>
        </is>
      </c>
      <c r="B27" s="7">
        <f>Workings!B54</f>
        <v/>
      </c>
      <c r="C27" s="8" t="inlineStr">
        <is>
          <t>same period last year: 12¢</t>
        </is>
      </c>
    </row>
    <row r="28"/>
    <row r="29">
      <c r="A29" s="10" t="inlineStr">
        <is>
          <t>What it shows</t>
        </is>
      </c>
    </row>
    <row r="30" ht="30" customHeight="1">
      <c r="A30" s="3" t="inlineStr">
        <is>
          <t>Grants cost 10¢ to raise each dollar this financial year to date ($21,300 of grant writing and reporting for $223,318), against 12¢ in the same period last year.</t>
        </is>
      </c>
    </row>
    <row r="31"/>
    <row r="32">
      <c r="A32" s="10" t="inlineStr">
        <is>
          <t>What you'd do about it</t>
        </is>
      </c>
    </row>
    <row r="33" ht="30" customHeight="1">
      <c r="A33" s="3" t="inlineStr">
        <is>
          <t>Usually the cheapest money to raise, as long as the time that goes into applications and acquittals is protected.</t>
        </is>
      </c>
    </row>
    <row r="34"/>
    <row r="35">
      <c r="A35" s="4" t="inlineStr">
        <is>
          <t>Source: Donations</t>
        </is>
      </c>
    </row>
    <row r="36">
      <c r="A36" s="5" t="inlineStr">
        <is>
          <t>Headline number</t>
        </is>
      </c>
      <c r="B36" s="6" t="inlineStr">
        <is>
          <t>Value</t>
        </is>
      </c>
      <c r="C36" s="6" t="inlineStr">
        <is>
          <t>Compared with</t>
        </is>
      </c>
    </row>
    <row r="37">
      <c r="A37" t="inlineStr">
        <is>
          <t>September · Donations</t>
        </is>
      </c>
      <c r="B37" s="7">
        <f>Workings!B62</f>
        <v/>
      </c>
      <c r="C37" s="8" t="inlineStr">
        <is>
          <t>August 12¢</t>
        </is>
      </c>
    </row>
    <row r="38">
      <c r="A38" t="inlineStr">
        <is>
          <t>Year to date (Jul to Sep 2026)</t>
        </is>
      </c>
      <c r="B38" s="7">
        <f>Workings!B73</f>
        <v/>
      </c>
      <c r="C38" s="8" t="inlineStr">
        <is>
          <t>same period last year: 14¢</t>
        </is>
      </c>
    </row>
    <row r="39"/>
    <row r="40">
      <c r="A40" s="10" t="inlineStr">
        <is>
          <t>What it shows</t>
        </is>
      </c>
    </row>
    <row r="41" ht="30" customHeight="1">
      <c r="A41" s="3" t="inlineStr">
        <is>
          <t>Donations cost 16¢ to raise each dollar this financial year to date ($9,800 of donor campaigns for $60,600), against 14¢ in the same period last year.</t>
        </is>
      </c>
    </row>
    <row r="42"/>
    <row r="43">
      <c r="A43" s="10" t="inlineStr">
        <is>
          <t>What you'd do about it</t>
        </is>
      </c>
    </row>
    <row r="44" ht="30" customHeight="1">
      <c r="A44" s="3" t="inlineStr">
        <is>
          <t>Steady and cheap, and untied: the money that builds reserves.</t>
        </is>
      </c>
    </row>
    <row r="45"/>
    <row r="46">
      <c r="A46" s="4" t="inlineStr">
        <is>
          <t>Source: Fundraising events</t>
        </is>
      </c>
    </row>
    <row r="47">
      <c r="A47" s="5" t="inlineStr">
        <is>
          <t>Headline number</t>
        </is>
      </c>
      <c r="B47" s="6" t="inlineStr">
        <is>
          <t>Value</t>
        </is>
      </c>
      <c r="C47" s="6" t="inlineStr">
        <is>
          <t>Compared with</t>
        </is>
      </c>
    </row>
    <row r="48">
      <c r="A48" t="inlineStr">
        <is>
          <t>September · Fundraising events</t>
        </is>
      </c>
      <c r="B48" s="11">
        <f>Workings!B80</f>
        <v/>
      </c>
      <c r="C48" s="8" t="inlineStr">
        <is>
          <t>August none raised</t>
        </is>
      </c>
    </row>
    <row r="49">
      <c r="A49" t="inlineStr">
        <is>
          <t>Year to date (Jul to Sep 2026)</t>
        </is>
      </c>
      <c r="B49" s="7">
        <f>Workings!B92</f>
        <v/>
      </c>
      <c r="C49" s="8" t="inlineStr">
        <is>
          <t>same period last year: 41¢</t>
        </is>
      </c>
    </row>
    <row r="50"/>
    <row r="51">
      <c r="A51" s="10" t="inlineStr">
        <is>
          <t>What it shows</t>
        </is>
      </c>
    </row>
    <row r="52" ht="30" customHeight="1">
      <c r="A52" s="3" t="inlineStr">
        <is>
          <t>Fundraising events cost 46¢ to raise each dollar this financial year to date ($19,300 of event costs for $41,600), against 41¢ in the same period last year.</t>
        </is>
      </c>
    </row>
    <row r="53"/>
    <row r="54">
      <c r="A54" s="10" t="inlineStr">
        <is>
          <t>What you'd do about it</t>
        </is>
      </c>
    </row>
    <row r="55" ht="30" customHeight="1">
      <c r="A55" s="3" t="inlineStr">
        <is>
          <t>Usually the dearest money to raise: events are worth counting for what else they bring too (new donors, profile).</t>
        </is>
      </c>
    </row>
    <row r="56"/>
    <row r="57">
      <c r="A57" s="4" t="inlineStr">
        <is>
          <t>Every source at once</t>
        </is>
      </c>
    </row>
    <row r="58">
      <c r="A58" s="12" t="inlineStr">
        <is>
          <t>Cost to raise a dollar, by month (cents): every month is on the Data sheet.</t>
        </is>
      </c>
    </row>
    <row r="59"/>
    <row r="60"/>
  </sheetData>
  <mergeCells count="9">
    <mergeCell ref="A5:D5"/>
    <mergeCell ref="A22:D22"/>
    <mergeCell ref="A30:D30"/>
    <mergeCell ref="A55:D55"/>
    <mergeCell ref="A52:D52"/>
    <mergeCell ref="A41:D41"/>
    <mergeCell ref="A33:D33"/>
    <mergeCell ref="A19:D19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4" min="0" max="16383" man="1"/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s="4" t="inlineStr">
        <is>
          <t>Cost to raise a dollar, all fundraising, September and August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Cost of raising it</t>
        </is>
      </c>
      <c r="B8" s="13" t="n">
        <v>29400</v>
      </c>
      <c r="C8" s="13" t="n">
        <v>11700</v>
      </c>
    </row>
    <row r="9">
      <c r="A9" t="inlineStr">
        <is>
          <t>Money raised</t>
        </is>
      </c>
      <c r="B9" s="13" t="n">
        <v>146500</v>
      </c>
      <c r="C9" s="13" t="n">
        <v>92100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50400</v>
      </c>
    </row>
    <row r="17">
      <c r="A17" t="inlineStr">
        <is>
          <t>Raised, year to date</t>
        </is>
      </c>
      <c r="B17" s="13" t="n">
        <v>325518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43100</v>
      </c>
    </row>
    <row r="20">
      <c r="A20" t="inlineStr">
        <is>
          <t>Raised, same period last year</t>
        </is>
      </c>
      <c r="B20" s="13" t="n">
        <v>265144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4" t="inlineStr">
        <is>
          <t>Cost to raise a dollar, by source, September 2026</t>
        </is>
      </c>
    </row>
    <row r="25">
      <c r="A25" s="12" t="inlineStr">
        <is>
          <t>Fundraising cost ÷ money raised, for each source, in cents</t>
        </is>
      </c>
    </row>
    <row r="26">
      <c r="A26" s="5" t="inlineStr"/>
      <c r="B26" s="6" t="inlineStr">
        <is>
          <t>Sep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77000</v>
      </c>
    </row>
    <row r="29">
      <c r="A29" t="inlineStr">
        <is>
          <t>Donations: cost (donor campaigns)</t>
        </is>
      </c>
      <c r="B29" s="13" t="n">
        <v>5400</v>
      </c>
    </row>
    <row r="30">
      <c r="A30" t="inlineStr">
        <is>
          <t>Donations: raised</t>
        </is>
      </c>
      <c r="B30" s="13" t="n">
        <v>27900</v>
      </c>
    </row>
    <row r="31">
      <c r="A31" t="inlineStr">
        <is>
          <t>Fundraising events: cost (event costs)</t>
        </is>
      </c>
      <c r="B31" s="13" t="n">
        <v>16900</v>
      </c>
    </row>
    <row r="32">
      <c r="A32" t="inlineStr">
        <is>
          <t>Fundraising events: raised</t>
        </is>
      </c>
      <c r="B32" s="13" t="n">
        <v>41600</v>
      </c>
    </row>
    <row r="33">
      <c r="A33" t="inlineStr">
        <is>
          <t>Grants: cost per dollar raised</t>
        </is>
      </c>
      <c r="B33" s="16">
        <f>B27/B28*100</f>
        <v/>
      </c>
    </row>
    <row r="34">
      <c r="A34" t="inlineStr">
        <is>
          <t>Donations: cost per dollar raised</t>
        </is>
      </c>
      <c r="B34" s="16">
        <f>B29/B30*100</f>
        <v/>
      </c>
    </row>
    <row r="35">
      <c r="A35" s="14" t="inlineStr">
        <is>
          <t>Fundraising events: cost per dollar raised</t>
        </is>
      </c>
      <c r="B35" s="15">
        <f>B31/B32*100</f>
        <v/>
      </c>
    </row>
    <row r="36"/>
    <row r="37"/>
    <row r="38">
      <c r="A38" s="4" t="inlineStr">
        <is>
          <t>Cost to raise a dollar, grants, September and August</t>
        </is>
      </c>
    </row>
    <row r="39">
      <c r="A39" s="12" t="inlineStr">
        <is>
          <t>Cost of raising it ÷ money raised, in cents</t>
        </is>
      </c>
    </row>
    <row r="40">
      <c r="A40" s="5" t="inlineStr"/>
      <c r="B40" s="6" t="inlineStr">
        <is>
          <t>Sep 26</t>
        </is>
      </c>
      <c r="C40" s="6" t="inlineStr">
        <is>
          <t>Aug 26</t>
        </is>
      </c>
    </row>
    <row r="41">
      <c r="A41" t="inlineStr">
        <is>
          <t>Cost of raising it</t>
        </is>
      </c>
      <c r="B41" s="13" t="n">
        <v>7100</v>
      </c>
      <c r="C41" s="13" t="n">
        <v>7100</v>
      </c>
    </row>
    <row r="42">
      <c r="A42" t="inlineStr">
        <is>
          <t>Money raised</t>
        </is>
      </c>
      <c r="B42" s="13" t="n">
        <v>77000</v>
      </c>
      <c r="C42" s="13" t="n">
        <v>73700</v>
      </c>
    </row>
    <row r="43">
      <c r="A43" s="14" t="inlineStr">
        <is>
          <t>Cents per dollar</t>
        </is>
      </c>
      <c r="B43" s="15">
        <f>B41/B42*100</f>
        <v/>
      </c>
      <c r="C43" s="15">
        <f>C41/C42*100</f>
        <v/>
      </c>
    </row>
    <row r="44"/>
    <row r="45"/>
    <row r="46">
      <c r="A46" s="4" t="inlineStr">
        <is>
          <t>Cost to raise a dollar, grants, year to date against the same period last year</t>
        </is>
      </c>
    </row>
    <row r="47">
      <c r="A47" s="12" t="inlineStr">
        <is>
          <t>Cost ÷ money raised, in cents</t>
        </is>
      </c>
    </row>
    <row r="48">
      <c r="A48" s="5" t="inlineStr"/>
      <c r="B48" s="6" t="inlineStr">
        <is>
          <t>Year to date</t>
        </is>
      </c>
    </row>
    <row r="49">
      <c r="A49" t="inlineStr">
        <is>
          <t>Cost, year to date</t>
        </is>
      </c>
      <c r="B49" s="13" t="n">
        <v>21300</v>
      </c>
    </row>
    <row r="50">
      <c r="A50" t="inlineStr">
        <is>
          <t>Raised, year to date</t>
        </is>
      </c>
      <c r="B50" s="13" t="n">
        <v>223318</v>
      </c>
    </row>
    <row r="51">
      <c r="A51" t="inlineStr">
        <is>
          <t>Cents, year to date</t>
        </is>
      </c>
      <c r="B51" s="16">
        <f>B49/B50*100</f>
        <v/>
      </c>
    </row>
    <row r="52">
      <c r="A52" t="inlineStr">
        <is>
          <t>Cost, same period last year</t>
        </is>
      </c>
      <c r="B52" s="13" t="n">
        <v>21300</v>
      </c>
    </row>
    <row r="53">
      <c r="A53" t="inlineStr">
        <is>
          <t>Raised, same period last year</t>
        </is>
      </c>
      <c r="B53" s="13" t="n">
        <v>182744</v>
      </c>
    </row>
    <row r="54">
      <c r="A54" s="14" t="inlineStr">
        <is>
          <t>Cents, same period last year</t>
        </is>
      </c>
      <c r="B54" s="15">
        <f>B52/B53*100</f>
        <v/>
      </c>
    </row>
    <row r="55"/>
    <row r="56"/>
    <row r="57">
      <c r="A57" s="4" t="inlineStr">
        <is>
          <t>Cost to raise a dollar, donations, September and August</t>
        </is>
      </c>
    </row>
    <row r="58">
      <c r="A58" s="12" t="inlineStr">
        <is>
          <t>Cost of raising it ÷ money raised, in cents</t>
        </is>
      </c>
    </row>
    <row r="59">
      <c r="A59" s="5" t="inlineStr"/>
      <c r="B59" s="6" t="inlineStr">
        <is>
          <t>Sep 26</t>
        </is>
      </c>
      <c r="C59" s="6" t="inlineStr">
        <is>
          <t>Aug 26</t>
        </is>
      </c>
    </row>
    <row r="60">
      <c r="A60" t="inlineStr">
        <is>
          <t>Cost of raising it</t>
        </is>
      </c>
      <c r="B60" s="13" t="n">
        <v>5400</v>
      </c>
      <c r="C60" s="13" t="n">
        <v>2200</v>
      </c>
    </row>
    <row r="61">
      <c r="A61" t="inlineStr">
        <is>
          <t>Money raised</t>
        </is>
      </c>
      <c r="B61" s="13" t="n">
        <v>27900</v>
      </c>
      <c r="C61" s="13" t="n">
        <v>18400</v>
      </c>
    </row>
    <row r="62">
      <c r="A62" s="14" t="inlineStr">
        <is>
          <t>Cents per dollar</t>
        </is>
      </c>
      <c r="B62" s="15">
        <f>B60/B61*100</f>
        <v/>
      </c>
      <c r="C62" s="15">
        <f>C60/C61*100</f>
        <v/>
      </c>
    </row>
    <row r="63"/>
    <row r="64"/>
    <row r="65">
      <c r="A65" s="4" t="inlineStr">
        <is>
          <t>Cost to raise a dollar, donations, year to date against the same period last year</t>
        </is>
      </c>
    </row>
    <row r="66">
      <c r="A66" s="12" t="inlineStr">
        <is>
          <t>Cost ÷ money raised, in cents</t>
        </is>
      </c>
    </row>
    <row r="67">
      <c r="A67" s="5" t="inlineStr"/>
      <c r="B67" s="6" t="inlineStr">
        <is>
          <t>Year to date</t>
        </is>
      </c>
    </row>
    <row r="68">
      <c r="A68" t="inlineStr">
        <is>
          <t>Cost, year to date</t>
        </is>
      </c>
      <c r="B68" s="13" t="n">
        <v>9800</v>
      </c>
    </row>
    <row r="69">
      <c r="A69" t="inlineStr">
        <is>
          <t>Raised, year to date</t>
        </is>
      </c>
      <c r="B69" s="13" t="n">
        <v>60600</v>
      </c>
    </row>
    <row r="70">
      <c r="A70" t="inlineStr">
        <is>
          <t>Cents, year to date</t>
        </is>
      </c>
      <c r="B70" s="16">
        <f>B68/B69*100</f>
        <v/>
      </c>
    </row>
    <row r="71">
      <c r="A71" t="inlineStr">
        <is>
          <t>Cost, same period last year</t>
        </is>
      </c>
      <c r="B71" s="13" t="n">
        <v>6600</v>
      </c>
    </row>
    <row r="72">
      <c r="A72" t="inlineStr">
        <is>
          <t>Raised, same period last year</t>
        </is>
      </c>
      <c r="B72" s="13" t="n">
        <v>45600</v>
      </c>
    </row>
    <row r="73">
      <c r="A73" s="14" t="inlineStr">
        <is>
          <t>Cents, same period last year</t>
        </is>
      </c>
      <c r="B73" s="15">
        <f>B71/B72*100</f>
        <v/>
      </c>
    </row>
    <row r="74"/>
    <row r="75"/>
    <row r="76">
      <c r="A76" s="4" t="inlineStr">
        <is>
          <t>Cost to raise a dollar, fundraising events, September and August</t>
        </is>
      </c>
    </row>
    <row r="77">
      <c r="A77" s="12" t="inlineStr">
        <is>
          <t>Cost of raising it ÷ money raised, in cents</t>
        </is>
      </c>
    </row>
    <row r="78">
      <c r="A78" s="5" t="inlineStr"/>
      <c r="B78" s="6" t="inlineStr">
        <is>
          <t>Sep 26</t>
        </is>
      </c>
      <c r="C78" s="6" t="inlineStr">
        <is>
          <t>Aug 26</t>
        </is>
      </c>
    </row>
    <row r="79">
      <c r="A79" t="inlineStr">
        <is>
          <t>Cost of raising it</t>
        </is>
      </c>
      <c r="B79" s="13" t="n">
        <v>16900</v>
      </c>
      <c r="C79" s="13" t="n">
        <v>2400</v>
      </c>
    </row>
    <row r="80">
      <c r="A80" s="14" t="inlineStr">
        <is>
          <t>Money raised</t>
        </is>
      </c>
      <c r="B80" s="17" t="n">
        <v>41600</v>
      </c>
      <c r="C80" s="17" t="n">
        <v>0</v>
      </c>
    </row>
    <row r="81">
      <c r="A81" s="2" t="inlineStr">
        <is>
          <t>Nothing raised in one of the months, so there's no cost per dollar for it.</t>
        </is>
      </c>
    </row>
    <row r="82"/>
    <row r="83"/>
    <row r="84">
      <c r="A84" s="4" t="inlineStr">
        <is>
          <t>Cost to raise a dollar, fundraising events, year to date against the same period last year</t>
        </is>
      </c>
    </row>
    <row r="85">
      <c r="A85" s="12" t="inlineStr">
        <is>
          <t>Cost ÷ money raised, in cents</t>
        </is>
      </c>
    </row>
    <row r="86">
      <c r="A86" s="5" t="inlineStr"/>
      <c r="B86" s="6" t="inlineStr">
        <is>
          <t>Year to date</t>
        </is>
      </c>
    </row>
    <row r="87">
      <c r="A87" t="inlineStr">
        <is>
          <t>Cost, year to date</t>
        </is>
      </c>
      <c r="B87" s="13" t="n">
        <v>19300</v>
      </c>
    </row>
    <row r="88">
      <c r="A88" t="inlineStr">
        <is>
          <t>Raised, year to date</t>
        </is>
      </c>
      <c r="B88" s="13" t="n">
        <v>41600</v>
      </c>
    </row>
    <row r="89">
      <c r="A89" t="inlineStr">
        <is>
          <t>Cents, year to date</t>
        </is>
      </c>
      <c r="B89" s="16">
        <f>B87/B88*100</f>
        <v/>
      </c>
    </row>
    <row r="90">
      <c r="A90" t="inlineStr">
        <is>
          <t>Cost, same period last year</t>
        </is>
      </c>
      <c r="B90" s="13" t="n">
        <v>15200</v>
      </c>
    </row>
    <row r="91">
      <c r="A91" t="inlineStr">
        <is>
          <t>Raised, same period last year</t>
        </is>
      </c>
      <c r="B91" s="13" t="n">
        <v>36800</v>
      </c>
    </row>
    <row r="92">
      <c r="A92" s="14" t="inlineStr">
        <is>
          <t>Cents, same period last year</t>
        </is>
      </c>
      <c r="B92" s="15">
        <f>B90/B91*100</f>
        <v/>
      </c>
    </row>
    <row r="93"/>
    <row r="94"/>
    <row r="9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3" min="0" max="16383" man="1"/>
    <brk id="45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3" t="n">
        <v>7100</v>
      </c>
      <c r="D28" s="13" t="n">
        <v>2200</v>
      </c>
      <c r="E28" s="13" t="n">
        <v>2400</v>
      </c>
      <c r="F28" s="13" t="n">
        <v>73700</v>
      </c>
      <c r="G28" s="13" t="n">
        <v>18400</v>
      </c>
      <c r="H28" s="13" t="n">
        <v>0</v>
      </c>
      <c r="I28" s="16">
        <f>IF(SUM(F28:H28)=0,"",SUM(C28:E28)/SUM(F28:H28)*100)</f>
        <v/>
      </c>
    </row>
    <row r="29">
      <c r="A29" s="18" t="inlineStr">
        <is>
          <t>Sep 26</t>
        </is>
      </c>
      <c r="B29" s="18" t="inlineStr">
        <is>
          <t>Locked</t>
        </is>
      </c>
      <c r="C29" s="13" t="n">
        <v>7100</v>
      </c>
      <c r="D29" s="13" t="n">
        <v>5400</v>
      </c>
      <c r="E29" s="13" t="n">
        <v>16900</v>
      </c>
      <c r="F29" s="13" t="n">
        <v>77000</v>
      </c>
      <c r="G29" s="13" t="n">
        <v>27900</v>
      </c>
      <c r="H29" s="13" t="n">
        <v>41600</v>
      </c>
      <c r="I29" s="16">
        <f>IF(SUM(F29:H29)=0,"",SUM(C29:E29)/SUM(F29:H29)*100)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2026-10-07T07:37:16Z</dcterms:created>
  <dcterms:modified xmlns:dcterms="http://purl.org/dc/terms/" xmlns:xsi="http://www.w3.org/2001/XMLSchema-instance" xsi:type="dcterms:W3CDTF">2026-10-07T07:37:16Z</dcterms:modified>
</cp:coreProperties>
</file>