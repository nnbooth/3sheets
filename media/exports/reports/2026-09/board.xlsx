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0.0&quot; months&quot;;[Red](0.0&quot; months&quot;)"/>
    <numFmt numFmtId="166" formatCode="0&quot;¢&quot;;[Red](0&quot;¢&quot;)"/>
    <numFmt numFmtId="167" formatCode="0.0%;[Red](0.0%);&quot;-&quot;"/>
  </numFmts>
  <fonts count="10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FFFFFF"/>
    </font>
    <font>
      <b val="1"/>
      <color rgb="002F7A5D"/>
      <sz val="12"/>
    </font>
    <font>
      <i val="1"/>
      <color rgb="005F6F63"/>
    </font>
    <font>
      <b val="1"/>
    </font>
    <font>
      <color rgb="005F6F63"/>
    </font>
    <font>
      <b val="1"/>
      <color rgb="002F7A5D"/>
    </font>
    <font>
      <b val="1"/>
      <color rgb="0025342A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49" fontId="0" fillId="0" borderId="0" pivotButton="0" quotePrefix="0" xfId="0"/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  <col width="13" customWidth="1" min="6" max="6"/>
  </cols>
  <sheetData>
    <row r="1">
      <c r="A1" s="1" t="inlineStr">
        <is>
          <t>What does the board need to see?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September 2026 · Data status: Aug 2026 locked · Sep 2026 locked · Oct 2026 incomplete (data retrieved 2pm, Tue 6 Oct 2026)</t>
        </is>
      </c>
    </row>
    <row r="4"/>
    <row r="5" ht="32" customHeight="1">
      <c r="A5" s="3" t="inlineStr">
        <is>
          <t>A one-page board summary for September 2026: the result, the money, the risks, and the decisions to make. The full statements are in the downloads.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Surplus, September</t>
        </is>
      </c>
      <c r="B8" s="6">
        <f>Workings!B10</f>
        <v/>
      </c>
      <c r="C8" s="7" t="inlineStr">
        <is>
          <t>August ($23,750)</t>
        </is>
      </c>
    </row>
    <row r="9">
      <c r="A9" t="inlineStr">
        <is>
          <t>Surplus (deficit), year to date</t>
        </is>
      </c>
      <c r="B9" s="6">
        <f>Workings!B24</f>
        <v/>
      </c>
      <c r="C9" s="7" t="inlineStr">
        <is>
          <t>Jul to Sep 2026</t>
        </is>
      </c>
    </row>
    <row r="10">
      <c r="A10" t="inlineStr">
        <is>
          <t>Unrestricted cash runway</t>
        </is>
      </c>
      <c r="B10" s="8">
        <f>Workings!B35</f>
        <v/>
      </c>
      <c r="C10" s="7" t="inlineStr">
        <is>
          <t>reserves target 3.0 months</t>
        </is>
      </c>
    </row>
    <row r="11">
      <c r="A11" t="inlineStr">
        <is>
          <t>Cost to raise a dollar, September</t>
        </is>
      </c>
      <c r="B11" s="9">
        <f>Workings!B44</f>
        <v/>
      </c>
      <c r="C11" s="7" t="inlineStr">
        <is>
          <t>August 13¢</t>
        </is>
      </c>
    </row>
    <row r="12"/>
    <row r="13">
      <c r="A13" s="10" t="inlineStr">
        <is>
          <t>What the board should note</t>
        </is>
      </c>
    </row>
    <row r="14" ht="90" customHeight="1">
      <c r="A14" s="3" t="inlineStr">
        <is>
          <t>• Unrestricted cash covers 2.0 months of spending, against a 3.0 months reserves target.
• 2 grant(s) end within 6 months with $117,300 still to spend. Housing support: $102,300 left in 3 months ($34,100 a month needed, against $31,200 spent in September).
• Fundraising cost 20¢ per dollar in September: grants the cheapest (9¢), fundraising events the dearest (41¢).</t>
        </is>
      </c>
    </row>
    <row r="15"/>
    <row r="16">
      <c r="A16" s="11" t="inlineStr">
        <is>
          <t>Grants</t>
        </is>
      </c>
    </row>
    <row r="17">
      <c r="A17" s="4" t="inlineStr">
        <is>
          <t>Program</t>
        </is>
      </c>
      <c r="B17" s="5" t="inlineStr">
        <is>
          <t>Spent to date</t>
        </is>
      </c>
      <c r="C17" s="5" t="inlineStr">
        <is>
          <t>Budget to date</t>
        </is>
      </c>
      <c r="D17" s="5" t="inlineStr">
        <is>
          <t>Against budget</t>
        </is>
      </c>
      <c r="E17" s="5" t="inlineStr">
        <is>
          <t>Still to spend</t>
        </is>
      </c>
      <c r="F17" s="5" t="inlineStr">
        <is>
          <t>Months left</t>
        </is>
      </c>
    </row>
    <row r="18">
      <c r="A18" s="12" t="inlineStr">
        <is>
          <t>Housing support</t>
        </is>
      </c>
      <c r="B18" s="13" t="inlineStr">
        <is>
          <t>$257,700</t>
        </is>
      </c>
      <c r="C18" s="13" t="inlineStr">
        <is>
          <t>$270,000</t>
        </is>
      </c>
      <c r="D18" s="13" t="inlineStr">
        <is>
          <t>95.4%</t>
        </is>
      </c>
      <c r="E18" s="13" t="inlineStr">
        <is>
          <t>$102,300</t>
        </is>
      </c>
      <c r="F18" s="13" t="inlineStr">
        <is>
          <t>3</t>
        </is>
      </c>
    </row>
    <row r="19">
      <c r="A19" s="12" t="inlineStr">
        <is>
          <t>Volunteer coordinator</t>
        </is>
      </c>
      <c r="B19" s="13" t="inlineStr">
        <is>
          <t>$21,000</t>
        </is>
      </c>
      <c r="C19" s="13" t="inlineStr">
        <is>
          <t>$21,000</t>
        </is>
      </c>
      <c r="D19" s="13" t="inlineStr">
        <is>
          <t>100.0%</t>
        </is>
      </c>
      <c r="E19" s="13" t="inlineStr">
        <is>
          <t>$15,000</t>
        </is>
      </c>
      <c r="F19" s="13" t="inlineStr">
        <is>
          <t>5</t>
        </is>
      </c>
    </row>
    <row r="20">
      <c r="A20" s="12" t="inlineStr">
        <is>
          <t>Digital literacy</t>
        </is>
      </c>
      <c r="B20" s="13" t="inlineStr">
        <is>
          <t>$59,600</t>
        </is>
      </c>
      <c r="C20" s="13" t="inlineStr">
        <is>
          <t>$60,000</t>
        </is>
      </c>
      <c r="D20" s="13" t="inlineStr">
        <is>
          <t>99.3%</t>
        </is>
      </c>
      <c r="E20" s="13" t="inlineStr">
        <is>
          <t>$30,400</t>
        </is>
      </c>
      <c r="F20" s="13" t="inlineStr">
        <is>
          <t>6</t>
        </is>
      </c>
    </row>
    <row r="21">
      <c r="A21" s="12" t="inlineStr">
        <is>
          <t>Mental health first aid</t>
        </is>
      </c>
      <c r="B21" s="13" t="inlineStr">
        <is>
          <t>$57,200</t>
        </is>
      </c>
      <c r="C21" s="13" t="inlineStr">
        <is>
          <t>$60,000</t>
        </is>
      </c>
      <c r="D21" s="13" t="inlineStr">
        <is>
          <t>95.3%</t>
        </is>
      </c>
      <c r="E21" s="13" t="inlineStr">
        <is>
          <t>$62,800</t>
        </is>
      </c>
      <c r="F21" s="13" t="inlineStr">
        <is>
          <t>6</t>
        </is>
      </c>
    </row>
    <row r="22">
      <c r="A22" s="12" t="inlineStr">
        <is>
          <t>Youth outreach</t>
        </is>
      </c>
      <c r="B22" s="13" t="inlineStr">
        <is>
          <t>$306,300</t>
        </is>
      </c>
      <c r="C22" s="13" t="inlineStr">
        <is>
          <t>$300,000</t>
        </is>
      </c>
      <c r="D22" s="13" t="inlineStr">
        <is>
          <t>102.1%</t>
        </is>
      </c>
      <c r="E22" s="13" t="inlineStr">
        <is>
          <t>$173,700</t>
        </is>
      </c>
      <c r="F22" s="13" t="inlineStr">
        <is>
          <t>9</t>
        </is>
      </c>
    </row>
    <row r="23">
      <c r="A23" s="12" t="inlineStr">
        <is>
          <t>Community meals</t>
        </is>
      </c>
      <c r="B23" s="13" t="inlineStr">
        <is>
          <t>$12,000</t>
        </is>
      </c>
      <c r="C23" s="13" t="inlineStr">
        <is>
          <t>$12,000</t>
        </is>
      </c>
      <c r="D23" s="13" t="inlineStr">
        <is>
          <t>100.0%</t>
        </is>
      </c>
      <c r="E23" s="13" t="inlineStr">
        <is>
          <t>$36,000</t>
        </is>
      </c>
      <c r="F23" s="13" t="inlineStr">
        <is>
          <t>9</t>
        </is>
      </c>
    </row>
    <row r="24"/>
    <row r="25">
      <c r="A25" s="10" t="inlineStr">
        <is>
          <t>Decisions to make</t>
        </is>
      </c>
    </row>
    <row r="26" ht="90" customHeight="1">
      <c r="A26" s="3" t="inlineStr">
        <is>
          <t>• Housing support: lift spending to $34,100 a month, or ask State Housing Program about carrying the balance over.
• Reserves: how much of each month's surplus goes to reserves, and by when the target is reached.
• Fundraising: where the next spare hours go, given what each source costs to raise.</t>
        </is>
      </c>
    </row>
    <row r="27"/>
    <row r="28"/>
  </sheetData>
  <mergeCells count="3">
    <mergeCell ref="A5:D5"/>
    <mergeCell ref="A26:D26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board.xlsx&amp;C&amp;8 Data retrieved 2pm, Tue 6 Oct 2026&amp;R&amp;8 Page &amp;P of &amp;N</oddFooter>
    <evenHeader/>
    <evenFooter/>
    <firstHeader/>
    <firstFooter/>
  </headerFooter>
  <rowBreaks count="1" manualBreakCount="1">
    <brk id="2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September 2026 · Data status: Aug 2026 locked · Sep 2026 locked · Oct 2026 incomplete (data retrieved 2pm, Tue 6 Oct 2026)</t>
        </is>
      </c>
    </row>
    <row r="4"/>
    <row r="5">
      <c r="A5" s="14" t="inlineStr">
        <is>
          <t>Surplus, September and August</t>
        </is>
      </c>
    </row>
    <row r="6">
      <c r="A6" s="15" t="inlineStr">
        <is>
          <t>Income less expenses</t>
        </is>
      </c>
    </row>
    <row r="7">
      <c r="A7" s="4" t="inlineStr"/>
      <c r="B7" s="5" t="inlineStr">
        <is>
          <t>Sep 26</t>
        </is>
      </c>
      <c r="C7" s="5" t="inlineStr">
        <is>
          <t>Aug 26</t>
        </is>
      </c>
    </row>
    <row r="8">
      <c r="A8" t="inlineStr">
        <is>
          <t>Income</t>
        </is>
      </c>
      <c r="B8" s="16" t="n">
        <v>176180</v>
      </c>
      <c r="C8" s="16" t="n">
        <v>120350</v>
      </c>
    </row>
    <row r="9">
      <c r="A9" t="inlineStr">
        <is>
          <t>Expenses</t>
        </is>
      </c>
      <c r="B9" s="16" t="n">
        <v>165800</v>
      </c>
      <c r="C9" s="16" t="n">
        <v>144100</v>
      </c>
    </row>
    <row r="10">
      <c r="A10" s="17" t="inlineStr">
        <is>
          <t>Surplus</t>
        </is>
      </c>
      <c r="B10" s="18">
        <f>B8-B9</f>
        <v/>
      </c>
      <c r="C10" s="18">
        <f>C8-C9</f>
        <v/>
      </c>
    </row>
    <row r="11"/>
    <row r="12"/>
    <row r="13">
      <c r="A13" s="14" t="inlineStr">
        <is>
          <t>Year to date (Jul to Sep 2026)</t>
        </is>
      </c>
    </row>
    <row r="14">
      <c r="A14" s="15" t="inlineStr">
        <is>
          <t>Income less expenses, financial year to date</t>
        </is>
      </c>
    </row>
    <row r="15">
      <c r="A15" s="4" t="inlineStr"/>
      <c r="B15" s="5" t="inlineStr">
        <is>
          <t>FY2027 to date</t>
        </is>
      </c>
    </row>
    <row r="16">
      <c r="A16" t="inlineStr">
        <is>
          <t>Income, July</t>
        </is>
      </c>
      <c r="B16" s="16" t="n">
        <v>112398</v>
      </c>
    </row>
    <row r="17">
      <c r="A17" t="inlineStr">
        <is>
          <t>Income, August</t>
        </is>
      </c>
      <c r="B17" s="16" t="n">
        <v>120350</v>
      </c>
    </row>
    <row r="18">
      <c r="A18" t="inlineStr">
        <is>
          <t>Income, September</t>
        </is>
      </c>
      <c r="B18" s="16" t="n">
        <v>176180</v>
      </c>
    </row>
    <row r="19">
      <c r="A19" t="inlineStr">
        <is>
          <t>Income, year to date</t>
        </is>
      </c>
      <c r="B19" s="16">
        <f>B16+B17+B18</f>
        <v/>
      </c>
    </row>
    <row r="20">
      <c r="A20" t="inlineStr">
        <is>
          <t>Expenses, July</t>
        </is>
      </c>
      <c r="B20" s="16" t="n">
        <v>137818</v>
      </c>
    </row>
    <row r="21">
      <c r="A21" t="inlineStr">
        <is>
          <t>Expenses, August</t>
        </is>
      </c>
      <c r="B21" s="16" t="n">
        <v>144100</v>
      </c>
    </row>
    <row r="22">
      <c r="A22" t="inlineStr">
        <is>
          <t>Expenses, September</t>
        </is>
      </c>
      <c r="B22" s="16" t="n">
        <v>165800</v>
      </c>
    </row>
    <row r="23">
      <c r="A23" t="inlineStr">
        <is>
          <t>Expenses, year to date</t>
        </is>
      </c>
      <c r="B23" s="16">
        <f>B20+B21+B22</f>
        <v/>
      </c>
    </row>
    <row r="24">
      <c r="A24" s="17" t="inlineStr">
        <is>
          <t>Surplus (deficit), year to date</t>
        </is>
      </c>
      <c r="B24" s="18">
        <f>B19-B23</f>
        <v/>
      </c>
    </row>
    <row r="25">
      <c r="A25" s="2" t="inlineStr">
        <is>
          <t>July locked; August locked; September locked.</t>
        </is>
      </c>
    </row>
    <row r="26"/>
    <row r="27"/>
    <row r="28">
      <c r="A28" s="14" t="inlineStr">
        <is>
          <t>Unrestricted cash runway, September 2026</t>
        </is>
      </c>
    </row>
    <row r="29">
      <c r="A29" s="15" t="inlineStr">
        <is>
          <t>(Cash at bank − unspent grant money) ÷ a month's cash spending</t>
        </is>
      </c>
    </row>
    <row r="30">
      <c r="A30" s="4" t="inlineStr"/>
      <c r="B30" s="5" t="inlineStr">
        <is>
          <t>Sep 2026</t>
        </is>
      </c>
    </row>
    <row r="31">
      <c r="A31" t="inlineStr">
        <is>
          <t>Cash at bank</t>
        </is>
      </c>
      <c r="B31" s="16" t="n">
        <v>480780</v>
      </c>
    </row>
    <row r="32">
      <c r="A32" t="inlineStr">
        <is>
          <t>Less unspent grant money (belongs to funders' programs)</t>
        </is>
      </c>
      <c r="B32" s="16" t="n">
        <v>-156100</v>
      </c>
    </row>
    <row r="33">
      <c r="A33" t="inlineStr">
        <is>
          <t>Unrestricted cash</t>
        </is>
      </c>
      <c r="B33" s="16">
        <f>B31+B32</f>
        <v/>
      </c>
    </row>
    <row r="34">
      <c r="A34" t="inlineStr">
        <is>
          <t>Cash spending in September (expenses less depreciation)</t>
        </is>
      </c>
      <c r="B34" s="16" t="n">
        <v>162900</v>
      </c>
    </row>
    <row r="35">
      <c r="A35" s="17" t="inlineStr">
        <is>
          <t>Runway</t>
        </is>
      </c>
      <c r="B35" s="19">
        <f>B33/B34</f>
        <v/>
      </c>
    </row>
    <row r="36">
      <c r="A36" s="2" t="inlineStr">
        <is>
          <t>Reserves target: 3.0 months.</t>
        </is>
      </c>
    </row>
    <row r="37"/>
    <row r="38"/>
    <row r="39">
      <c r="A39" s="14" t="inlineStr">
        <is>
          <t>Cost to raise a dollar, September and August</t>
        </is>
      </c>
    </row>
    <row r="40">
      <c r="A40" s="15" t="inlineStr">
        <is>
          <t>Fundraising costs ÷ money raised, in cents</t>
        </is>
      </c>
    </row>
    <row r="41">
      <c r="A41" s="4" t="inlineStr"/>
      <c r="B41" s="5" t="inlineStr">
        <is>
          <t>Sep 26</t>
        </is>
      </c>
      <c r="C41" s="5" t="inlineStr">
        <is>
          <t>Aug 26</t>
        </is>
      </c>
    </row>
    <row r="42">
      <c r="A42" t="inlineStr">
        <is>
          <t>Fundraising costs</t>
        </is>
      </c>
      <c r="B42" s="16" t="n">
        <v>29400</v>
      </c>
      <c r="C42" s="16" t="n">
        <v>11700</v>
      </c>
    </row>
    <row r="43">
      <c r="A43" t="inlineStr">
        <is>
          <t>Money raised</t>
        </is>
      </c>
      <c r="B43" s="16" t="n">
        <v>146500</v>
      </c>
      <c r="C43" s="16" t="n">
        <v>92100</v>
      </c>
    </row>
    <row r="44">
      <c r="A44" s="17" t="inlineStr">
        <is>
          <t>Cents per dollar</t>
        </is>
      </c>
      <c r="B44" s="20">
        <f>B42/B43*100</f>
        <v/>
      </c>
      <c r="C44" s="20">
        <f>C42/C43*100</f>
        <v/>
      </c>
    </row>
    <row r="45"/>
    <row r="46"/>
    <row r="47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board.xlsx&amp;C&amp;8 Data retrieved 2pm, Tue 6 Oct 2026&amp;R&amp;8 Page &amp;P of &amp;N</oddFooter>
    <evenHeader/>
    <evenFooter/>
    <firstHeader/>
    <firstFooter/>
  </headerFooter>
  <rowBreaks count="1" manualBreakCount="1">
    <brk id="2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September 2026 · Data status: Aug 2026 locked · Sep 2026 locked · Oct 2026 incomplete (data retrieved 2pm, Tue 6 Oct 2026)</t>
        </is>
      </c>
    </row>
    <row r="4"/>
    <row r="5">
      <c r="A5" s="4" t="inlineStr">
        <is>
          <t>Program</t>
        </is>
      </c>
      <c r="B5" s="5" t="inlineStr">
        <is>
          <t>Spent to date</t>
        </is>
      </c>
      <c r="C5" s="5" t="inlineStr">
        <is>
          <t>Budget to date</t>
        </is>
      </c>
      <c r="D5" s="5" t="inlineStr">
        <is>
          <t>Against budget</t>
        </is>
      </c>
      <c r="E5" s="5" t="inlineStr">
        <is>
          <t>Still to spend</t>
        </is>
      </c>
      <c r="F5" s="5" t="inlineStr">
        <is>
          <t>Months left</t>
        </is>
      </c>
    </row>
    <row r="6">
      <c r="A6" s="21" t="inlineStr">
        <is>
          <t>Housing support</t>
        </is>
      </c>
      <c r="B6" s="16" t="n">
        <v>257700</v>
      </c>
      <c r="C6" s="16" t="n">
        <v>270000</v>
      </c>
      <c r="D6" s="22">
        <f>B6/C6</f>
        <v/>
      </c>
      <c r="E6" s="16" t="n">
        <v>102300</v>
      </c>
      <c r="F6" s="16" t="n">
        <v>3</v>
      </c>
    </row>
    <row r="7">
      <c r="A7" s="21" t="inlineStr">
        <is>
          <t>Volunteer coordinator</t>
        </is>
      </c>
      <c r="B7" s="16" t="n">
        <v>21000</v>
      </c>
      <c r="C7" s="16" t="n">
        <v>21000</v>
      </c>
      <c r="D7" s="22">
        <f>B7/C7</f>
        <v/>
      </c>
      <c r="E7" s="16" t="n">
        <v>15000</v>
      </c>
      <c r="F7" s="16" t="n">
        <v>5</v>
      </c>
    </row>
    <row r="8">
      <c r="A8" s="21" t="inlineStr">
        <is>
          <t>Digital literacy</t>
        </is>
      </c>
      <c r="B8" s="16" t="n">
        <v>59600</v>
      </c>
      <c r="C8" s="16" t="n">
        <v>60000</v>
      </c>
      <c r="D8" s="22">
        <f>B8/C8</f>
        <v/>
      </c>
      <c r="E8" s="16" t="n">
        <v>30400</v>
      </c>
      <c r="F8" s="16" t="n">
        <v>6</v>
      </c>
    </row>
    <row r="9">
      <c r="A9" s="21" t="inlineStr">
        <is>
          <t>Mental health first aid</t>
        </is>
      </c>
      <c r="B9" s="16" t="n">
        <v>57200</v>
      </c>
      <c r="C9" s="16" t="n">
        <v>60000</v>
      </c>
      <c r="D9" s="22">
        <f>B9/C9</f>
        <v/>
      </c>
      <c r="E9" s="16" t="n">
        <v>62800</v>
      </c>
      <c r="F9" s="16" t="n">
        <v>6</v>
      </c>
    </row>
    <row r="10">
      <c r="A10" s="21" t="inlineStr">
        <is>
          <t>Youth outreach</t>
        </is>
      </c>
      <c r="B10" s="16" t="n">
        <v>306300</v>
      </c>
      <c r="C10" s="16" t="n">
        <v>300000</v>
      </c>
      <c r="D10" s="22">
        <f>B10/C10</f>
        <v/>
      </c>
      <c r="E10" s="16" t="n">
        <v>173700</v>
      </c>
      <c r="F10" s="16" t="n">
        <v>9</v>
      </c>
    </row>
    <row r="11">
      <c r="A11" s="21" t="inlineStr">
        <is>
          <t>Community meals</t>
        </is>
      </c>
      <c r="B11" s="16" t="n">
        <v>12000</v>
      </c>
      <c r="C11" s="16" t="n">
        <v>12000</v>
      </c>
      <c r="D11" s="22">
        <f>B11/C11</f>
        <v/>
      </c>
      <c r="E11" s="16" t="n">
        <v>36000</v>
      </c>
      <c r="F11" s="16" t="n">
        <v>9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board.xlsx&amp;C&amp;8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2026-10-06T07:09:36Z</dcterms:created>
  <dcterms:modified xmlns:dcterms="http://purl.org/dc/terms/" xmlns:xsi="http://www.w3.org/2001/XMLSchema-instance" xsi:type="dcterms:W3CDTF">2026-10-06T07:09:36Z</dcterms:modified>
</cp:coreProperties>
</file>