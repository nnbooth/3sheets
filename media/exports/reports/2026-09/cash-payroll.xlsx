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sheetId="3" state="visible" r:id="rId3"/>
  </sheets>
  <definedNames>
    <definedName name="Cash_at_bank_30_Sep">'Report'!$B$8</definedName>
    <definedName name="Wages_to_pay_in_October">'Report'!$B$9</definedName>
    <definedName name="After_the_tightest_pay_run_15_Oct">'Report'!$B$10</definedName>
    <definedName name="Lowest_point_next_13_weeks">'Report'!$B$11</definedName>
    <definedName name="_xlnm.Print_Area" localSheetId="0">'Report'!$A$1:$I$65</definedName>
    <definedName name="_xlnm.Print_Area" localSheetId="1">'Workings'!$A$1:$B$95</definedName>
    <definedName name="_xlnm.Print_Titles" localSheetId="2">'Data'!$5:$5</definedName>
    <definedName name="_xlnm.Print_Area" localSheetId="2">'Data'!$A$1:$E$96</definedName>
  </definedNames>
  <calcPr calcId="124519" fullCalcOnLoad="1"/>
</workbook>
</file>

<file path=xl/styles.xml><?xml version="1.0" encoding="utf-8"?>
<styleSheet xmlns="http://schemas.openxmlformats.org/spreadsheetml/2006/main">
  <numFmts count="1">
    <numFmt numFmtId="164" formatCode="#,##0;[Red](#,##0);&quot;-&quot;"/>
  </numFmts>
  <fonts count="11">
    <font>
      <name val="Roboto"/>
      <sz val="11"/>
    </font>
    <font>
      <name val="Roboto"/>
      <sz val="11"/>
    </font>
    <font>
      <name val="Roboto"/>
      <b val="1"/>
      <color rgb="0025342A"/>
      <sz val="14"/>
    </font>
    <font>
      <name val="Roboto"/>
      <i val="1"/>
      <color rgb="005F6F63"/>
      <sz val="9"/>
    </font>
    <font>
      <name val="Roboto"/>
      <b val="1"/>
      <color rgb="00FFFFFF"/>
    </font>
    <font>
      <name val="Roboto"/>
      <b val="1"/>
      <color rgb="002F7A5D"/>
      <sz val="12"/>
    </font>
    <font>
      <name val="Roboto"/>
      <i val="1"/>
      <color rgb="005F6F63"/>
    </font>
    <font>
      <name val="Roboto"/>
      <b val="1"/>
    </font>
    <font>
      <name val="Roboto"/>
      <color rgb="005F6F63"/>
    </font>
    <font>
      <name val="Roboto"/>
      <b val="1"/>
      <color rgb="0025342A"/>
    </font>
    <font>
      <name val="Roboto"/>
      <b val="1"/>
      <color rgb="002F7A5D"/>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8">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applyAlignment="1" pivotButton="0" quotePrefix="0" xfId="0">
      <alignment horizontal="left" vertical="center" wrapText="1"/>
    </xf>
    <xf numFmtId="0" fontId="4" fillId="2" borderId="0" applyAlignment="1" pivotButton="0" quotePrefix="0" xfId="0">
      <alignment horizontal="right" vertical="center" wrapText="1"/>
    </xf>
    <xf numFmtId="164" fontId="0" fillId="0" borderId="0" pivotButton="0" quotePrefix="0" xfId="0"/>
    <xf numFmtId="0" fontId="8" fillId="0" borderId="0" applyAlignment="1" pivotButton="0" quotePrefix="0" xfId="0">
      <alignment indent="1"/>
    </xf>
    <xf numFmtId="0" fontId="9" fillId="0" borderId="0" pivotButton="0" quotePrefix="0" xfId="0"/>
    <xf numFmtId="0" fontId="6" fillId="0" borderId="0" pivotButton="0" quotePrefix="0" xfId="0"/>
    <xf numFmtId="0" fontId="0" fillId="0" borderId="0" applyAlignment="1" pivotButton="0" quotePrefix="0" xfId="0">
      <alignment horizontal="left"/>
    </xf>
    <xf numFmtId="0" fontId="0" fillId="0" borderId="0" applyAlignment="1" pivotButton="0" quotePrefix="0" xfId="0">
      <alignment horizontal="right"/>
    </xf>
    <xf numFmtId="0" fontId="10" fillId="0" borderId="0" pivotButton="0" quotePrefix="0" xfId="0"/>
    <xf numFmtId="0" fontId="5" fillId="0" borderId="0" pivotButton="0" quotePrefix="0" xfId="0"/>
    <xf numFmtId="164" fontId="0" fillId="0" borderId="0" applyAlignment="1" pivotButton="0" quotePrefix="0" xfId="0">
      <alignment horizontal="right"/>
    </xf>
    <xf numFmtId="0" fontId="7" fillId="0" borderId="1" pivotButton="0" quotePrefix="0" xfId="0"/>
    <xf numFmtId="164" fontId="7"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October: where the cash comes from and goes (forecast)</a:t>
            </a:r>
          </a:p>
        </rich>
      </tx>
      <overlay val="0"/>
    </title>
    <plotArea>
      <barChart>
        <barDir val="bar"/>
        <grouping val="clustered"/>
        <varyColors val="0"/>
        <ser>
          <idx val="0"/>
          <order val="0"/>
          <tx>
            <v>October: where the cash comes from and goes (forecast)</v>
          </tx>
          <spPr>
            <a:solidFill xmlns:a="http://schemas.openxmlformats.org/drawingml/2006/main">
              <a:srgbClr val="0E9F6E"/>
            </a:solidFill>
            <a:ln xmlns:a="http://schemas.openxmlformats.org/drawingml/2006/main">
              <a:solidFill>
                <a:srgbClr val="0E9F6E"/>
              </a:solidFill>
              <a:prstDash val="solid"/>
            </a:ln>
          </spPr>
          <invertIfNegative val="0"/>
          <dPt>
            <idx val="2"/>
            <spPr>
              <a:solidFill xmlns:a="http://schemas.openxmlformats.org/drawingml/2006/main">
                <a:srgbClr val="B42318"/>
              </a:solidFill>
              <a:ln xmlns:a="http://schemas.openxmlformats.org/drawingml/2006/main">
                <a:solidFill>
                  <a:srgbClr val="B42318"/>
                </a:solidFill>
                <a:prstDash val="solid"/>
              </a:ln>
            </spPr>
          </dPt>
          <dPt>
            <idx val="3"/>
            <spPr>
              <a:solidFill xmlns:a="http://schemas.openxmlformats.org/drawingml/2006/main">
                <a:srgbClr val="B42318"/>
              </a:solidFill>
              <a:ln xmlns:a="http://schemas.openxmlformats.org/drawingml/2006/main">
                <a:solidFill>
                  <a:srgbClr val="B42318"/>
                </a:solidFill>
                <a:prstDash val="solid"/>
              </a:ln>
            </spPr>
          </dPt>
          <dPt>
            <idx val="4"/>
            <spPr>
              <a:solidFill xmlns:a="http://schemas.openxmlformats.org/drawingml/2006/main">
                <a:srgbClr val="B42318"/>
              </a:solidFill>
              <a:ln xmlns:a="http://schemas.openxmlformats.org/drawingml/2006/main">
                <a:solidFill>
                  <a:srgbClr val="B42318"/>
                </a:solidFill>
                <a:prstDash val="solid"/>
              </a:ln>
            </spPr>
          </dPt>
          <dLbls>
            <numFmt formatCode="#,##0;(#,##0)"/>
            <showLegendKey val="0"/>
            <showVal val="1"/>
            <showCatName val="0"/>
            <showSerName val="0"/>
            <showPercent val="0"/>
          </dLbls>
          <cat>
            <numRef>
              <f>'Report'!$A$15:$A$19</f>
            </numRef>
          </cat>
          <val>
            <numRef>
              <f>'Report'!$B$15:$B$19</f>
            </numRef>
          </val>
        </ser>
        <gapWidth val="60"/>
        <axId val="10"/>
        <axId val="100"/>
      </barChart>
      <catAx>
        <axId val="10"/>
        <scaling>
          <orientation val="maxMin"/>
        </scaling>
        <axPos val="l"/>
        <majorTickMark val="none"/>
        <minorTickMark val="none"/>
        <crossAx val="100"/>
        <lblOffset val="100"/>
      </catAx>
      <valAx>
        <axId val="100"/>
        <scaling>
          <orientation val="minMax"/>
        </scaling>
        <delete val="1"/>
        <axPos val="l"/>
        <numFmt formatCode="#,##0;(#,##0)" sourceLinked="0"/>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Cash at bank by date</a:t>
            </a:r>
          </a:p>
        </rich>
      </tx>
      <overlay val="0"/>
    </title>
    <plotArea>
      <lineChart>
        <grouping val="standard"/>
        <ser>
          <idx val="0"/>
          <order val="0"/>
          <tx>
            <v>Cash at bank</v>
          </tx>
          <spPr>
            <a:ln xmlns:a="http://schemas.openxmlformats.org/drawingml/2006/main" w="22000">
              <a:solidFill>
                <a:srgbClr val="0E9F6E"/>
              </a:solidFill>
              <a:prstDash val="solid"/>
            </a:ln>
          </spPr>
          <marker>
            <symbol val="none"/>
            <spPr>
              <a:ln xmlns:a="http://schemas.openxmlformats.org/drawingml/2006/main">
                <a:prstDash val="solid"/>
              </a:ln>
            </spPr>
          </marker>
          <cat>
            <numRef>
              <f>'Data'!$A$6:$A$96</f>
            </numRef>
          </cat>
          <val>
            <numRef>
              <f>'Data'!$E$6:$E$96</f>
            </numRef>
          </val>
          <smooth val="0"/>
        </ser>
        <axId val="10"/>
        <axId val="100"/>
      </lineChart>
      <catAx>
        <axId val="10"/>
        <scaling>
          <orientation val="minMax"/>
        </scaling>
        <axPos val="l"/>
        <numFmt formatCode="@" sourceLinked="0"/>
        <majorTickMark val="none"/>
        <minorTickMark val="none"/>
        <crossAx val="100"/>
        <lblOffset val="100"/>
        <tickLblSkip val="7"/>
      </catAx>
      <valAx>
        <axId val="100"/>
        <scaling>
          <orientation val="minMax"/>
        </scaling>
        <axPos val="l"/>
        <majorGridlines/>
        <numFmt formatCode="#,##0;(#,##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5</col>
      <colOff>0</colOff>
      <row>13</row>
      <rowOff>0</rowOff>
    </from>
    <ext cx="5400000" cy="207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cash_payroll_Data" displayName="cash_payroll_Data" ref="A5:E96" headerRowCount="1">
  <autoFilter ref="A5:E96"/>
  <tableColumns count="5">
    <tableColumn id="1" name="Date"/>
    <tableColumn id="2" name="Actual or forecast"/>
    <tableColumn id="3" name="Money in"/>
    <tableColumn id="4" name="Money out"/>
    <tableColumn id="5" name="Cash at bank"/>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I67"/>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 width="13" customWidth="1" min="5" max="5"/>
    <col width="13" customWidth="1" min="6" max="6"/>
    <col width="13" customWidth="1" min="7" max="7"/>
    <col width="13" customWidth="1" min="8" max="8"/>
    <col width="13" customWidth="1" min="9" max="9"/>
  </cols>
  <sheetData>
    <row r="1">
      <c r="A1" s="1" t="inlineStr">
        <is>
          <t>Will cash cover payroll next month?</t>
        </is>
      </c>
    </row>
    <row r="2">
      <c r="A2" s="2" t="inlineStr">
        <is>
          <t>Sample Electrical &amp; Air Pty Ltd · SAMPLE DATA (invented) · The Fourth Sheet · Made with Python (openpyxl)</t>
        </is>
      </c>
    </row>
    <row r="3">
      <c r="A3" s="2" t="inlineStr">
        <is>
          <t>Period: September 2026 · Data status: Aug 2026 locked · Sep 2026 locked · Oct 2026 incomplete (data retrieved 2pm, Tue 6 Oct 2026) · Generated 8 Oct 2026, 9:35am</t>
        </is>
      </c>
    </row>
    <row r="4"/>
    <row r="5" ht="32" customHeight="1">
      <c r="A5" s="3" t="inlineStr">
        <is>
          <t>A 13-week cash forecast from 30 September: cash at bank, plus what customers owe on their usual payment dates and new work at its recent rate, less pay runs, supplier bills, tax and finance on their due dates. Every day opens its workings.</t>
        </is>
      </c>
    </row>
    <row r="6"/>
    <row r="7">
      <c r="A7" s="4" t="inlineStr">
        <is>
          <t>Headline number</t>
        </is>
      </c>
      <c r="B7" s="5" t="inlineStr">
        <is>
          <t>Value</t>
        </is>
      </c>
      <c r="C7" s="5" t="inlineStr">
        <is>
          <t>Compared with</t>
        </is>
      </c>
    </row>
    <row r="8">
      <c r="A8" t="inlineStr">
        <is>
          <t>Cash at bank, 30 Sep</t>
        </is>
      </c>
      <c r="B8" s="6">
        <f>Workings!B11</f>
        <v/>
      </c>
      <c r="C8" s="7" t="inlineStr">
        <is>
          <t>end of the day</t>
        </is>
      </c>
    </row>
    <row r="9">
      <c r="A9" t="inlineStr">
        <is>
          <t>Wages to pay in October</t>
        </is>
      </c>
      <c r="B9" s="6">
        <f>Workings!B20</f>
        <v/>
      </c>
      <c r="C9" s="7" t="inlineStr">
        <is>
          <t>3 fortnightly pay runs</t>
        </is>
      </c>
    </row>
    <row r="10">
      <c r="A10" t="inlineStr">
        <is>
          <t>After the tightest pay run, 15 Oct</t>
        </is>
      </c>
      <c r="B10" s="6">
        <f>Workings!B33</f>
        <v/>
      </c>
      <c r="C10" s="7" t="inlineStr">
        <is>
          <t>buffer: one pay run, $37,800</t>
        </is>
      </c>
    </row>
    <row r="11">
      <c r="A11" t="inlineStr">
        <is>
          <t>Lowest point, next 13 weeks</t>
        </is>
      </c>
      <c r="B11" s="6">
        <f>Workings!B46</f>
        <v/>
      </c>
      <c r="C11" s="7" t="inlineStr">
        <is>
          <t>30 November</t>
        </is>
      </c>
    </row>
    <row r="12"/>
    <row r="13">
      <c r="A13" s="8" t="inlineStr">
        <is>
          <t>October: where the cash comes from and goes (forecast)</t>
        </is>
      </c>
    </row>
    <row r="14">
      <c r="A14" s="4" t="inlineStr"/>
      <c r="B14" s="5" t="inlineStr">
        <is>
          <t>October: where the cash comes from and goes (forecast)</t>
        </is>
      </c>
    </row>
    <row r="15">
      <c r="A15" t="inlineStr">
        <is>
          <t>Unpaid invoices collected</t>
        </is>
      </c>
      <c r="B15" s="6">
        <f>Workings!B53</f>
        <v/>
      </c>
    </row>
    <row r="16">
      <c r="A16" t="inlineStr">
        <is>
          <t>New work collected</t>
        </is>
      </c>
      <c r="B16" s="6">
        <f>Workings!B60</f>
        <v/>
      </c>
    </row>
    <row r="17">
      <c r="A17" t="inlineStr">
        <is>
          <t>Wages (3 pay runs)</t>
        </is>
      </c>
      <c r="B17" s="6">
        <f>Workings!B69</f>
        <v/>
      </c>
    </row>
    <row r="18">
      <c r="A18" t="inlineStr">
        <is>
          <t>Suppliers and overheads</t>
        </is>
      </c>
      <c r="B18" s="6">
        <f>Workings!B78</f>
        <v/>
      </c>
    </row>
    <row r="19">
      <c r="A19" t="inlineStr">
        <is>
          <t>Tax, interest and equipment finance</t>
        </is>
      </c>
      <c r="B19" s="6">
        <f>Workings!B84</f>
        <v/>
      </c>
    </row>
    <row r="20"/>
    <row r="21"/>
    <row r="22"/>
    <row r="23"/>
    <row r="24"/>
    <row r="25"/>
    <row r="26"/>
    <row r="27">
      <c r="A27" s="9" t="inlineStr">
        <is>
          <t>Cash at bank, every day: actual to 30 Sep, then forecast to 30 Dec: every month is on the Data sheet.</t>
        </is>
      </c>
    </row>
    <row r="28"/>
    <row r="29">
      <c r="A29" s="8" t="inlineStr">
        <is>
          <t>13 weeks, week by week</t>
        </is>
      </c>
    </row>
    <row r="30">
      <c r="A30" s="4" t="inlineStr">
        <is>
          <t>Week ending</t>
        </is>
      </c>
      <c r="B30" s="5" t="inlineStr">
        <is>
          <t>Cash at start</t>
        </is>
      </c>
      <c r="C30" s="5" t="inlineStr">
        <is>
          <t>Unpaid invoices collected</t>
        </is>
      </c>
      <c r="D30" s="5" t="inlineStr">
        <is>
          <t>New work collected</t>
        </is>
      </c>
      <c r="E30" s="5" t="inlineStr">
        <is>
          <t>Wages</t>
        </is>
      </c>
      <c r="F30" s="5" t="inlineStr">
        <is>
          <t>Suppliers and overheads</t>
        </is>
      </c>
      <c r="G30" s="5" t="inlineStr">
        <is>
          <t>Tax, interest and finance</t>
        </is>
      </c>
      <c r="H30" s="5" t="inlineStr">
        <is>
          <t>Cash at end</t>
        </is>
      </c>
      <c r="I30" s="5" t="inlineStr">
        <is>
          <t>Lowest in the week</t>
        </is>
      </c>
    </row>
    <row r="31">
      <c r="A31" s="10" t="inlineStr">
        <is>
          <t>7 Oct</t>
        </is>
      </c>
      <c r="B31" s="11" t="inlineStr">
        <is>
          <t>$59,746</t>
        </is>
      </c>
      <c r="C31" s="11" t="inlineStr">
        <is>
          <t>$94,563</t>
        </is>
      </c>
      <c r="D31" s="11" t="inlineStr">
        <is>
          <t>$3,872</t>
        </is>
      </c>
      <c r="E31" s="11" t="inlineStr">
        <is>
          <t>($37,800)</t>
        </is>
      </c>
      <c r="F31" s="11" t="inlineStr">
        <is>
          <t>$0</t>
        </is>
      </c>
      <c r="G31" s="11" t="inlineStr">
        <is>
          <t>$0</t>
        </is>
      </c>
      <c r="H31" s="11" t="inlineStr">
        <is>
          <t>$120,381</t>
        </is>
      </c>
      <c r="I31" s="11" t="inlineStr">
        <is>
          <t>$60,746</t>
        </is>
      </c>
    </row>
    <row r="32">
      <c r="A32" s="10" t="inlineStr">
        <is>
          <t>14 Oct</t>
        </is>
      </c>
      <c r="B32" s="11" t="inlineStr">
        <is>
          <t>$120,381</t>
        </is>
      </c>
      <c r="C32" s="11" t="inlineStr">
        <is>
          <t>$18,600</t>
        </is>
      </c>
      <c r="D32" s="11" t="inlineStr">
        <is>
          <t>$6,454</t>
        </is>
      </c>
      <c r="E32" s="11" t="inlineStr">
        <is>
          <t>$0</t>
        </is>
      </c>
      <c r="F32" s="11" t="inlineStr">
        <is>
          <t>$0</t>
        </is>
      </c>
      <c r="G32" s="11" t="inlineStr">
        <is>
          <t>$0</t>
        </is>
      </c>
      <c r="H32" s="11" t="inlineStr">
        <is>
          <t>$145,435</t>
        </is>
      </c>
      <c r="I32" s="11" t="inlineStr">
        <is>
          <t>$121,672</t>
        </is>
      </c>
    </row>
    <row r="33">
      <c r="A33" s="10" t="inlineStr">
        <is>
          <t>21 Oct</t>
        </is>
      </c>
      <c r="B33" s="11" t="inlineStr">
        <is>
          <t>$145,435</t>
        </is>
      </c>
      <c r="C33" s="11" t="inlineStr">
        <is>
          <t>$12,900</t>
        </is>
      </c>
      <c r="D33" s="11" t="inlineStr">
        <is>
          <t>$6,454</t>
        </is>
      </c>
      <c r="E33" s="11" t="inlineStr">
        <is>
          <t>($37,800)</t>
        </is>
      </c>
      <c r="F33" s="11" t="inlineStr">
        <is>
          <t>($55,080)</t>
        </is>
      </c>
      <c r="G33" s="11" t="inlineStr">
        <is>
          <t>$0</t>
        </is>
      </c>
      <c r="H33" s="11" t="inlineStr">
        <is>
          <t>$71,909</t>
        </is>
      </c>
      <c r="I33" s="11" t="inlineStr">
        <is>
          <t>$53,846</t>
        </is>
      </c>
    </row>
    <row r="34">
      <c r="A34" s="10" t="inlineStr">
        <is>
          <t>28 Oct</t>
        </is>
      </c>
      <c r="B34" s="11" t="inlineStr">
        <is>
          <t>$71,909</t>
        </is>
      </c>
      <c r="C34" s="11" t="inlineStr">
        <is>
          <t>$9,800</t>
        </is>
      </c>
      <c r="D34" s="11" t="inlineStr">
        <is>
          <t>$6,454</t>
        </is>
      </c>
      <c r="E34" s="11" t="inlineStr">
        <is>
          <t>$0</t>
        </is>
      </c>
      <c r="F34" s="11" t="inlineStr">
        <is>
          <t>$0</t>
        </is>
      </c>
      <c r="G34" s="11" t="inlineStr">
        <is>
          <t>($12,017)</t>
        </is>
      </c>
      <c r="H34" s="11" t="inlineStr">
        <is>
          <t>$76,145</t>
        </is>
      </c>
      <c r="I34" s="11" t="inlineStr">
        <is>
          <t>$73,199</t>
        </is>
      </c>
    </row>
    <row r="35">
      <c r="A35" s="10" t="inlineStr">
        <is>
          <t>4 Nov</t>
        </is>
      </c>
      <c r="B35" s="11" t="inlineStr">
        <is>
          <t>$76,145</t>
        </is>
      </c>
      <c r="C35" s="11" t="inlineStr">
        <is>
          <t>$15,200</t>
        </is>
      </c>
      <c r="D35" s="11" t="inlineStr">
        <is>
          <t>$63,676</t>
        </is>
      </c>
      <c r="E35" s="11" t="inlineStr">
        <is>
          <t>($37,800)</t>
        </is>
      </c>
      <c r="F35" s="11" t="inlineStr">
        <is>
          <t>($55,080)</t>
        </is>
      </c>
      <c r="G35" s="11" t="inlineStr">
        <is>
          <t>($1,080)</t>
        </is>
      </c>
      <c r="H35" s="11" t="inlineStr">
        <is>
          <t>$61,062</t>
        </is>
      </c>
      <c r="I35" s="11" t="inlineStr">
        <is>
          <t>$54,197</t>
        </is>
      </c>
    </row>
    <row r="36">
      <c r="A36" s="10" t="inlineStr">
        <is>
          <t>11 Nov</t>
        </is>
      </c>
      <c r="B36" s="11" t="inlineStr">
        <is>
          <t>$61,062</t>
        </is>
      </c>
      <c r="C36" s="11" t="inlineStr">
        <is>
          <t>$0</t>
        </is>
      </c>
      <c r="D36" s="11" t="inlineStr">
        <is>
          <t>$34,325</t>
        </is>
      </c>
      <c r="E36" s="11" t="inlineStr">
        <is>
          <t>$0</t>
        </is>
      </c>
      <c r="F36" s="11" t="inlineStr">
        <is>
          <t>$0</t>
        </is>
      </c>
      <c r="G36" s="11" t="inlineStr">
        <is>
          <t>$0</t>
        </is>
      </c>
      <c r="H36" s="11" t="inlineStr">
        <is>
          <t>$95,387</t>
        </is>
      </c>
      <c r="I36" s="11" t="inlineStr">
        <is>
          <t>$67,927</t>
        </is>
      </c>
    </row>
    <row r="37">
      <c r="A37" s="10" t="inlineStr">
        <is>
          <t>18 Nov</t>
        </is>
      </c>
      <c r="B37" s="11" t="inlineStr">
        <is>
          <t>$95,387</t>
        </is>
      </c>
      <c r="C37" s="11" t="inlineStr">
        <is>
          <t>$0</t>
        </is>
      </c>
      <c r="D37" s="11" t="inlineStr">
        <is>
          <t>$34,325</t>
        </is>
      </c>
      <c r="E37" s="11" t="inlineStr">
        <is>
          <t>($37,800)</t>
        </is>
      </c>
      <c r="F37" s="11" t="inlineStr">
        <is>
          <t>($55,080)</t>
        </is>
      </c>
      <c r="G37" s="11" t="inlineStr">
        <is>
          <t>$0</t>
        </is>
      </c>
      <c r="H37" s="11" t="inlineStr">
        <is>
          <t>$36,832</t>
        </is>
      </c>
      <c r="I37" s="11" t="inlineStr">
        <is>
          <t>$29,967</t>
        </is>
      </c>
    </row>
    <row r="38">
      <c r="A38" s="10" t="inlineStr">
        <is>
          <t>25 Nov</t>
        </is>
      </c>
      <c r="B38" s="11" t="inlineStr">
        <is>
          <t>$36,832</t>
        </is>
      </c>
      <c r="C38" s="11" t="inlineStr">
        <is>
          <t>$0</t>
        </is>
      </c>
      <c r="D38" s="11" t="inlineStr">
        <is>
          <t>$34,325</t>
        </is>
      </c>
      <c r="E38" s="11" t="inlineStr">
        <is>
          <t>$0</t>
        </is>
      </c>
      <c r="F38" s="11" t="inlineStr">
        <is>
          <t>$0</t>
        </is>
      </c>
      <c r="G38" s="11" t="inlineStr">
        <is>
          <t>$0</t>
        </is>
      </c>
      <c r="H38" s="11" t="inlineStr">
        <is>
          <t>$71,157</t>
        </is>
      </c>
      <c r="I38" s="11" t="inlineStr">
        <is>
          <t>$43,697</t>
        </is>
      </c>
    </row>
    <row r="39">
      <c r="A39" s="10" t="inlineStr">
        <is>
          <t>2 Dec</t>
        </is>
      </c>
      <c r="B39" s="11" t="inlineStr">
        <is>
          <t>$71,157</t>
        </is>
      </c>
      <c r="C39" s="11" t="inlineStr">
        <is>
          <t>$0</t>
        </is>
      </c>
      <c r="D39" s="11" t="inlineStr">
        <is>
          <t>$74,825</t>
        </is>
      </c>
      <c r="E39" s="11" t="inlineStr">
        <is>
          <t>($37,800)</t>
        </is>
      </c>
      <c r="F39" s="11" t="inlineStr">
        <is>
          <t>($55,080)</t>
        </is>
      </c>
      <c r="G39" s="11" t="inlineStr">
        <is>
          <t>($6,080)</t>
        </is>
      </c>
      <c r="H39" s="11" t="inlineStr">
        <is>
          <t>$47,022</t>
        </is>
      </c>
      <c r="I39" s="11" t="inlineStr">
        <is>
          <t>($343)</t>
        </is>
      </c>
    </row>
    <row r="40">
      <c r="A40" s="10" t="inlineStr">
        <is>
          <t>9 Dec</t>
        </is>
      </c>
      <c r="B40" s="11" t="inlineStr">
        <is>
          <t>$47,022</t>
        </is>
      </c>
      <c r="C40" s="11" t="inlineStr">
        <is>
          <t>$0</t>
        </is>
      </c>
      <c r="D40" s="11" t="inlineStr">
        <is>
          <t>$34,325</t>
        </is>
      </c>
      <c r="E40" s="11" t="inlineStr">
        <is>
          <t>$0</t>
        </is>
      </c>
      <c r="F40" s="11" t="inlineStr">
        <is>
          <t>$0</t>
        </is>
      </c>
      <c r="G40" s="11" t="inlineStr">
        <is>
          <t>$0</t>
        </is>
      </c>
      <c r="H40" s="11" t="inlineStr">
        <is>
          <t>$81,346</t>
        </is>
      </c>
      <c r="I40" s="11" t="inlineStr">
        <is>
          <t>$53,886</t>
        </is>
      </c>
    </row>
    <row r="41">
      <c r="A41" s="10" t="inlineStr">
        <is>
          <t>16 Dec</t>
        </is>
      </c>
      <c r="B41" s="11" t="inlineStr">
        <is>
          <t>$81,346</t>
        </is>
      </c>
      <c r="C41" s="11" t="inlineStr">
        <is>
          <t>$0</t>
        </is>
      </c>
      <c r="D41" s="11" t="inlineStr">
        <is>
          <t>$34,325</t>
        </is>
      </c>
      <c r="E41" s="11" t="inlineStr">
        <is>
          <t>($37,800)</t>
        </is>
      </c>
      <c r="F41" s="11" t="inlineStr">
        <is>
          <t>($55,080)</t>
        </is>
      </c>
      <c r="G41" s="11" t="inlineStr">
        <is>
          <t>$0</t>
        </is>
      </c>
      <c r="H41" s="11" t="inlineStr">
        <is>
          <t>$22,791</t>
        </is>
      </c>
      <c r="I41" s="11" t="inlineStr">
        <is>
          <t>$15,926</t>
        </is>
      </c>
    </row>
    <row r="42">
      <c r="A42" s="10" t="inlineStr">
        <is>
          <t>23 Dec</t>
        </is>
      </c>
      <c r="B42" s="11" t="inlineStr">
        <is>
          <t>$22,791</t>
        </is>
      </c>
      <c r="C42" s="11" t="inlineStr">
        <is>
          <t>$0</t>
        </is>
      </c>
      <c r="D42" s="11" t="inlineStr">
        <is>
          <t>$34,325</t>
        </is>
      </c>
      <c r="E42" s="11" t="inlineStr">
        <is>
          <t>$0</t>
        </is>
      </c>
      <c r="F42" s="11" t="inlineStr">
        <is>
          <t>$0</t>
        </is>
      </c>
      <c r="G42" s="11" t="inlineStr">
        <is>
          <t>$0</t>
        </is>
      </c>
      <c r="H42" s="11" t="inlineStr">
        <is>
          <t>$57,116</t>
        </is>
      </c>
      <c r="I42" s="11" t="inlineStr">
        <is>
          <t>$29,656</t>
        </is>
      </c>
    </row>
    <row r="43">
      <c r="A43" s="10" t="inlineStr">
        <is>
          <t>30 Dec</t>
        </is>
      </c>
      <c r="B43" s="11" t="inlineStr">
        <is>
          <t>$57,116</t>
        </is>
      </c>
      <c r="C43" s="11" t="inlineStr">
        <is>
          <t>$0</t>
        </is>
      </c>
      <c r="D43" s="11" t="inlineStr">
        <is>
          <t>$34,325</t>
        </is>
      </c>
      <c r="E43" s="11" t="inlineStr">
        <is>
          <t>($37,800)</t>
        </is>
      </c>
      <c r="F43" s="11" t="inlineStr">
        <is>
          <t>$0</t>
        </is>
      </c>
      <c r="G43" s="11" t="inlineStr">
        <is>
          <t>($5,000)</t>
        </is>
      </c>
      <c r="H43" s="11" t="inlineStr">
        <is>
          <t>$48,641</t>
        </is>
      </c>
      <c r="I43" s="11" t="inlineStr">
        <is>
          <t>$26,181</t>
        </is>
      </c>
    </row>
    <row r="44"/>
    <row r="45">
      <c r="A45" s="8" t="inlineStr">
        <is>
          <t>Invoices past the customer's usual payment date ($8,963)</t>
        </is>
      </c>
    </row>
    <row r="46">
      <c r="A46" s="4" t="inlineStr">
        <is>
          <t>Customer or job</t>
        </is>
      </c>
      <c r="B46" s="5" t="inlineStr">
        <is>
          <t>Invoiced</t>
        </is>
      </c>
      <c r="C46" s="5" t="inlineStr">
        <is>
          <t>Amount</t>
        </is>
      </c>
      <c r="D46" s="5" t="inlineStr">
        <is>
          <t>Usually pays in (days)</t>
        </is>
      </c>
      <c r="E46" s="5" t="inlineStr">
        <is>
          <t>Days since invoiced</t>
        </is>
      </c>
    </row>
    <row r="47">
      <c r="A47" s="10" t="inlineStr">
        <is>
          <t>Call-out 15, September</t>
        </is>
      </c>
      <c r="B47" s="11" t="inlineStr">
        <is>
          <t>15 Sep</t>
        </is>
      </c>
      <c r="C47" s="11" t="inlineStr">
        <is>
          <t>$775</t>
        </is>
      </c>
      <c r="D47" s="11" t="inlineStr">
        <is>
          <t>2</t>
        </is>
      </c>
      <c r="E47" s="11" t="inlineStr">
        <is>
          <t>15</t>
        </is>
      </c>
    </row>
    <row r="48">
      <c r="A48" s="10" t="inlineStr">
        <is>
          <t>Call-out 9, September</t>
        </is>
      </c>
      <c r="B48" s="11" t="inlineStr">
        <is>
          <t>22 Sep</t>
        </is>
      </c>
      <c r="C48" s="11" t="inlineStr">
        <is>
          <t>$762</t>
        </is>
      </c>
      <c r="D48" s="11" t="inlineStr">
        <is>
          <t>2</t>
        </is>
      </c>
      <c r="E48" s="11" t="inlineStr">
        <is>
          <t>8</t>
        </is>
      </c>
    </row>
    <row r="49">
      <c r="A49" s="10" t="inlineStr">
        <is>
          <t>Call-out 40, September</t>
        </is>
      </c>
      <c r="B49" s="11" t="inlineStr">
        <is>
          <t>1 Sep</t>
        </is>
      </c>
      <c r="C49" s="11" t="inlineStr">
        <is>
          <t>$623</t>
        </is>
      </c>
      <c r="D49" s="11" t="inlineStr">
        <is>
          <t>2</t>
        </is>
      </c>
      <c r="E49" s="11" t="inlineStr">
        <is>
          <t>29</t>
        </is>
      </c>
    </row>
    <row r="50">
      <c r="A50" s="10" t="inlineStr">
        <is>
          <t>Call-out 29, September</t>
        </is>
      </c>
      <c r="B50" s="11" t="inlineStr">
        <is>
          <t>28 Sep</t>
        </is>
      </c>
      <c r="C50" s="11" t="inlineStr">
        <is>
          <t>$606</t>
        </is>
      </c>
      <c r="D50" s="11" t="inlineStr">
        <is>
          <t>2</t>
        </is>
      </c>
      <c r="E50" s="11" t="inlineStr">
        <is>
          <t>2</t>
        </is>
      </c>
    </row>
    <row r="51">
      <c r="A51" s="10" t="inlineStr">
        <is>
          <t>Call-out 32, September</t>
        </is>
      </c>
      <c r="B51" s="11" t="inlineStr">
        <is>
          <t>21 Sep</t>
        </is>
      </c>
      <c r="C51" s="11" t="inlineStr">
        <is>
          <t>$597</t>
        </is>
      </c>
      <c r="D51" s="11" t="inlineStr">
        <is>
          <t>2</t>
        </is>
      </c>
      <c r="E51" s="11" t="inlineStr">
        <is>
          <t>9</t>
        </is>
      </c>
    </row>
    <row r="52">
      <c r="A52" s="10" t="inlineStr">
        <is>
          <t>Call-out 28, September</t>
        </is>
      </c>
      <c r="B52" s="11" t="inlineStr">
        <is>
          <t>25 Sep</t>
        </is>
      </c>
      <c r="C52" s="11" t="inlineStr">
        <is>
          <t>$563</t>
        </is>
      </c>
      <c r="D52" s="11" t="inlineStr">
        <is>
          <t>2</t>
        </is>
      </c>
      <c r="E52" s="11" t="inlineStr">
        <is>
          <t>5</t>
        </is>
      </c>
    </row>
    <row r="53">
      <c r="A53" s="10" t="inlineStr">
        <is>
          <t>Call-out 49, September</t>
        </is>
      </c>
      <c r="B53" s="11" t="inlineStr">
        <is>
          <t>27 Sep</t>
        </is>
      </c>
      <c r="C53" s="11" t="inlineStr">
        <is>
          <t>$550</t>
        </is>
      </c>
      <c r="D53" s="11" t="inlineStr">
        <is>
          <t>2</t>
        </is>
      </c>
      <c r="E53" s="11" t="inlineStr">
        <is>
          <t>3</t>
        </is>
      </c>
    </row>
    <row r="54">
      <c r="A54" s="10" t="inlineStr">
        <is>
          <t>Call-out 63, September</t>
        </is>
      </c>
      <c r="B54" s="11" t="inlineStr">
        <is>
          <t>15 Sep</t>
        </is>
      </c>
      <c r="C54" s="11" t="inlineStr">
        <is>
          <t>$532</t>
        </is>
      </c>
      <c r="D54" s="11" t="inlineStr">
        <is>
          <t>2</t>
        </is>
      </c>
      <c r="E54" s="11" t="inlineStr">
        <is>
          <t>15</t>
        </is>
      </c>
    </row>
    <row r="55">
      <c r="A55" s="10" t="inlineStr">
        <is>
          <t>Call-out 11, September</t>
        </is>
      </c>
      <c r="B55" s="11" t="inlineStr">
        <is>
          <t>24 Sep</t>
        </is>
      </c>
      <c r="C55" s="11" t="inlineStr">
        <is>
          <t>$526</t>
        </is>
      </c>
      <c r="D55" s="11" t="inlineStr">
        <is>
          <t>2</t>
        </is>
      </c>
      <c r="E55" s="11" t="inlineStr">
        <is>
          <t>6</t>
        </is>
      </c>
    </row>
    <row r="56">
      <c r="A56" s="10" t="inlineStr">
        <is>
          <t>Call-out 50, September</t>
        </is>
      </c>
      <c r="B56" s="11" t="inlineStr">
        <is>
          <t>28 Sep</t>
        </is>
      </c>
      <c r="C56" s="11" t="inlineStr">
        <is>
          <t>$517</t>
        </is>
      </c>
      <c r="D56" s="11" t="inlineStr">
        <is>
          <t>2</t>
        </is>
      </c>
      <c r="E56" s="11" t="inlineStr">
        <is>
          <t>2</t>
        </is>
      </c>
    </row>
    <row r="57"/>
    <row r="58">
      <c r="A58" s="12" t="inlineStr">
        <is>
          <t>How this forecast has done so far</t>
        </is>
      </c>
    </row>
    <row r="59" ht="45" customHeight="1">
      <c r="A59" s="3" t="inlineStr">
        <is>
          <t>For 5 October it said $110,127; the bank says $47,244, $62,883 less. $64,300 of it is 7 invoices expected by then and not yet paid, the largest Wacol warehouse switchboard ($46,800). (Workings sheet: "From gross margin to profit".)</t>
        </is>
      </c>
    </row>
    <row r="60"/>
    <row r="61">
      <c r="A61" s="12" t="inlineStr">
        <is>
          <t>What it shows</t>
        </is>
      </c>
    </row>
    <row r="62" ht="45" customHeight="1">
      <c r="A62" s="3" t="inlineStr">
        <is>
          <t>Cash at bank was $59,746 at 30 September. October has 3 pay runs ($113,400). The tightest is 15 October: $53,846 left after paying wages, $16,046 more than a pay run in reserve. The lowest point in the 13 weeks is ($343) on 30 November.</t>
        </is>
      </c>
    </row>
    <row r="63"/>
    <row r="64">
      <c r="A64" s="12" t="inlineStr">
        <is>
          <t>What you'd do about it</t>
        </is>
      </c>
    </row>
    <row r="65" ht="60" customHeight="1">
      <c r="A65" s="3" t="inlineStr">
        <is>
          <t>18 invoices ($8,963) are already past the customer's usual payment date; the forecast assumes they arrive within a week. Without them, 15 October would be $44,883. October is one of the two months a year with three pay runs: $37,800 more wages than a usual month. The PAYG instalment ($7,017) is due 28 October.</t>
        </is>
      </c>
    </row>
    <row r="66"/>
    <row r="67"/>
  </sheetData>
  <mergeCells count="4">
    <mergeCell ref="A5:D5"/>
    <mergeCell ref="A59:D59"/>
    <mergeCell ref="A65:D65"/>
    <mergeCell ref="A62:D62"/>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 · Generated 8 Oct 2026, 9:35am&amp;R&amp;"Roboto,Regular"&amp;8 Page &amp;P of &amp;N</oddFooter>
    <evenHeader/>
    <evenFooter/>
    <firstHeader/>
    <firstFooter/>
  </headerFooter>
  <rowBreaks count="2" manualBreakCount="2">
    <brk id="28" min="0" max="16383" man="1"/>
    <brk id="60"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B9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September 2026 · Data status: Aug 2026 locked · Sep 2026 locked · Oct 2026 incomplete (data retrieved 2pm, Tue 6 Oct 2026) · Generated 8 Oct 2026, 9:35am</t>
        </is>
      </c>
    </row>
    <row r="4"/>
    <row r="5">
      <c r="A5" s="13" t="inlineStr">
        <is>
          <t>Cash at bank, 30 September</t>
        </is>
      </c>
    </row>
    <row r="6">
      <c r="A6" s="9" t="inlineStr">
        <is>
          <t>Opening balance + every day's money in − money out</t>
        </is>
      </c>
    </row>
    <row r="7">
      <c r="A7" s="4" t="inlineStr"/>
      <c r="B7" s="5" t="inlineStr">
        <is>
          <t>30 Sep</t>
        </is>
      </c>
    </row>
    <row r="8">
      <c r="A8" t="inlineStr">
        <is>
          <t>Cash at bank, 31 July (opening balance)</t>
        </is>
      </c>
      <c r="B8" s="14" t="n">
        <v>88000</v>
      </c>
    </row>
    <row r="9">
      <c r="A9" t="inlineStr">
        <is>
          <t>Money in, 1 August to 30 September</t>
        </is>
      </c>
      <c r="B9" s="14" t="n">
        <v>337366</v>
      </c>
    </row>
    <row r="10">
      <c r="A10" t="inlineStr">
        <is>
          <t>Money out, 1 August to 30 September</t>
        </is>
      </c>
      <c r="B10" s="14" t="n">
        <v>-365620</v>
      </c>
    </row>
    <row r="11">
      <c r="A11" s="15" t="inlineStr">
        <is>
          <t>Cash at bank</t>
        </is>
      </c>
      <c r="B11" s="16">
        <f>B8+B9+B10</f>
        <v/>
      </c>
    </row>
    <row r="12">
      <c r="A12" s="2" t="inlineStr">
        <is>
          <t>From the bank feed; ties to the ledger.</t>
        </is>
      </c>
    </row>
    <row r="13"/>
    <row r="14"/>
    <row r="15">
      <c r="A15" s="13" t="inlineStr">
        <is>
          <t>Pay runs in October</t>
        </is>
      </c>
    </row>
    <row r="16">
      <c r="A16" s="9" t="inlineStr">
        <is>
          <t>Number of fortnightly pay runs × the last pay run</t>
        </is>
      </c>
    </row>
    <row r="17">
      <c r="A17" s="4" t="inlineStr"/>
      <c r="B17" s="5" t="inlineStr">
        <is>
          <t>October</t>
        </is>
      </c>
    </row>
    <row r="18">
      <c r="A18" t="inlineStr">
        <is>
          <t>Last pay run (17 September)</t>
        </is>
      </c>
      <c r="B18" s="14" t="n">
        <v>37800</v>
      </c>
    </row>
    <row r="19">
      <c r="A19" t="inlineStr">
        <is>
          <t>Pay runs in October (1 Oct, 15 Oct, 29 Oct)</t>
        </is>
      </c>
      <c r="B19" s="14" t="n">
        <v>3</v>
      </c>
    </row>
    <row r="20">
      <c r="A20" s="15" t="inlineStr">
        <is>
          <t>Wages paid in October</t>
        </is>
      </c>
      <c r="B20" s="16">
        <f>B18*B19</f>
        <v/>
      </c>
    </row>
    <row r="21">
      <c r="A21" s="2" t="inlineStr">
        <is>
          <t>Wages include all on-costs. Fortnightly pay means two months a year have three pay runs.</t>
        </is>
      </c>
    </row>
    <row r="22"/>
    <row r="23"/>
    <row r="24">
      <c r="A24" s="13" t="inlineStr">
        <is>
          <t>Forecast cash at bank, 15 Oct 2026</t>
        </is>
      </c>
    </row>
    <row r="25">
      <c r="A25" s="9" t="inlineStr">
        <is>
          <t>Yesterday's cash + money in − money out</t>
        </is>
      </c>
    </row>
    <row r="26">
      <c r="A26" s="4" t="inlineStr"/>
      <c r="B26" s="5" t="inlineStr">
        <is>
          <t>15 Oct</t>
        </is>
      </c>
    </row>
    <row r="27">
      <c r="A27" t="inlineStr">
        <is>
          <t>Cash at bank, end of the day before</t>
        </is>
      </c>
      <c r="B27" s="14" t="n">
        <v>145434.9393939395</v>
      </c>
    </row>
    <row r="28">
      <c r="A28" t="inlineStr">
        <is>
          <t>Unpaid invoices expected</t>
        </is>
      </c>
      <c r="B28" s="14" t="n">
        <v>0</v>
      </c>
    </row>
    <row r="29">
      <c r="A29" t="inlineStr">
        <is>
          <t>New work expected to be paid</t>
        </is>
      </c>
      <c r="B29" s="14" t="n">
        <v>1290.742424242424</v>
      </c>
    </row>
    <row r="30">
      <c r="A30" t="inlineStr">
        <is>
          <t>Pay run</t>
        </is>
      </c>
      <c r="B30" s="14" t="n">
        <v>-37800</v>
      </c>
    </row>
    <row r="31">
      <c r="A31" t="inlineStr">
        <is>
          <t>Suppliers and overheads</t>
        </is>
      </c>
      <c r="B31" s="14" t="n">
        <v>-55080</v>
      </c>
    </row>
    <row r="32">
      <c r="A32" t="inlineStr">
        <is>
          <t>Tax, interest and equipment finance</t>
        </is>
      </c>
      <c r="B32" s="14" t="n">
        <v>0</v>
      </c>
    </row>
    <row r="33">
      <c r="A33" s="15" t="inlineStr">
        <is>
          <t>Cash at bank, end of the day</t>
        </is>
      </c>
      <c r="B33" s="16">
        <f>B27+B28+B29+B30+B31+B32</f>
        <v/>
      </c>
    </row>
    <row r="34">
      <c r="A34" s="2" t="inlineStr">
        <is>
          <t>Forecast.</t>
        </is>
      </c>
    </row>
    <row r="35"/>
    <row r="36"/>
    <row r="37">
      <c r="A37" s="13" t="inlineStr">
        <is>
          <t>Forecast cash at bank, 30 Nov 2026</t>
        </is>
      </c>
    </row>
    <row r="38">
      <c r="A38" s="9" t="inlineStr">
        <is>
          <t>Yesterday's cash + money in − money out</t>
        </is>
      </c>
    </row>
    <row r="39">
      <c r="A39" s="4" t="inlineStr"/>
      <c r="B39" s="5" t="inlineStr">
        <is>
          <t>30 Nov</t>
        </is>
      </c>
    </row>
    <row r="40">
      <c r="A40" t="inlineStr">
        <is>
          <t>Cash at bank, end of the day before</t>
        </is>
      </c>
      <c r="B40" s="14" t="n">
        <v>60816.51515151527</v>
      </c>
    </row>
    <row r="41">
      <c r="A41" t="inlineStr">
        <is>
          <t>Unpaid invoices expected</t>
        </is>
      </c>
      <c r="B41" s="14" t="n">
        <v>0</v>
      </c>
    </row>
    <row r="42">
      <c r="A42" t="inlineStr">
        <is>
          <t>New work expected to be paid</t>
        </is>
      </c>
      <c r="B42" s="14" t="n">
        <v>0</v>
      </c>
    </row>
    <row r="43">
      <c r="A43" t="inlineStr">
        <is>
          <t>Pay run</t>
        </is>
      </c>
      <c r="B43" s="14" t="n">
        <v>0</v>
      </c>
    </row>
    <row r="44">
      <c r="A44" t="inlineStr">
        <is>
          <t>Suppliers and overheads</t>
        </is>
      </c>
      <c r="B44" s="14" t="n">
        <v>-55080</v>
      </c>
    </row>
    <row r="45">
      <c r="A45" t="inlineStr">
        <is>
          <t>Tax, interest and equipment finance</t>
        </is>
      </c>
      <c r="B45" s="14" t="n">
        <v>-6080</v>
      </c>
    </row>
    <row r="46">
      <c r="A46" s="15" t="inlineStr">
        <is>
          <t>Cash at bank, end of the day</t>
        </is>
      </c>
      <c r="B46" s="16">
        <f>B40+B41+B42+B43+B44+B45</f>
        <v/>
      </c>
    </row>
    <row r="47">
      <c r="A47" s="2" t="inlineStr">
        <is>
          <t>Forecast.</t>
        </is>
      </c>
    </row>
    <row r="48"/>
    <row r="49"/>
    <row r="50">
      <c r="A50" s="13" t="inlineStr">
        <is>
          <t>Unpaid invoices collected in October</t>
        </is>
      </c>
    </row>
    <row r="51">
      <c r="A51" s="9" t="inlineStr">
        <is>
          <t>Each invoice unpaid at the start, on its customer's usual payment date</t>
        </is>
      </c>
    </row>
    <row r="52">
      <c r="A52" s="4" t="inlineStr"/>
      <c r="B52" s="5" t="inlineStr">
        <is>
          <t>October</t>
        </is>
      </c>
    </row>
    <row r="53">
      <c r="A53" s="15" t="inlineStr">
        <is>
          <t>Expected in the month</t>
        </is>
      </c>
      <c r="B53" s="16" t="n">
        <v>151063</v>
      </c>
    </row>
    <row r="54">
      <c r="A54" s="2" t="inlineStr">
        <is>
          <t>36 invoices unpaid at 30 September; overdue ones assumed a week from then.</t>
        </is>
      </c>
    </row>
    <row r="55"/>
    <row r="56"/>
    <row r="57">
      <c r="A57" s="13" t="inlineStr">
        <is>
          <t>New work collected in October</t>
        </is>
      </c>
    </row>
    <row r="58">
      <c r="A58" s="9" t="inlineStr">
        <is>
          <t>Contract fees (1st of the month, on each contract's terms) + installations and call-outs at the last three months' run rate</t>
        </is>
      </c>
    </row>
    <row r="59">
      <c r="A59" s="4" t="inlineStr"/>
      <c r="B59" s="5" t="inlineStr">
        <is>
          <t>October</t>
        </is>
      </c>
    </row>
    <row r="60">
      <c r="A60" s="15" t="inlineStr">
        <is>
          <t>Expected in the month</t>
        </is>
      </c>
      <c r="B60" s="16" t="n">
        <v>73180</v>
      </c>
    </row>
    <row r="61">
      <c r="A61" s="2" t="inlineStr">
        <is>
          <t>Run rate from July, August, September.</t>
        </is>
      </c>
    </row>
    <row r="62"/>
    <row r="63"/>
    <row r="64">
      <c r="A64" s="13" t="inlineStr">
        <is>
          <t>Pay runs in October</t>
        </is>
      </c>
    </row>
    <row r="65">
      <c r="A65" s="9" t="inlineStr">
        <is>
          <t>Number of fortnightly pay runs × the last pay run</t>
        </is>
      </c>
    </row>
    <row r="66">
      <c r="A66" s="4" t="inlineStr"/>
      <c r="B66" s="5" t="inlineStr">
        <is>
          <t>October</t>
        </is>
      </c>
    </row>
    <row r="67">
      <c r="A67" t="inlineStr">
        <is>
          <t>Last pay run (17 September)</t>
        </is>
      </c>
      <c r="B67" s="14" t="n">
        <v>37800</v>
      </c>
    </row>
    <row r="68">
      <c r="A68" t="inlineStr">
        <is>
          <t>Pay runs in October (1 Oct, 15 Oct, 29 Oct)</t>
        </is>
      </c>
      <c r="B68" s="14" t="n">
        <v>3</v>
      </c>
    </row>
    <row r="69">
      <c r="A69" s="15" t="inlineStr">
        <is>
          <t>Wages paid in October</t>
        </is>
      </c>
      <c r="B69" s="16">
        <f>B67*B68</f>
        <v/>
      </c>
    </row>
    <row r="70">
      <c r="A70" s="2" t="inlineStr">
        <is>
          <t>Wages include all on-costs. Fortnightly pay means two months a year have three pay runs.</t>
        </is>
      </c>
    </row>
    <row r="71"/>
    <row r="72"/>
    <row r="73">
      <c r="A73" s="13" t="inlineStr">
        <is>
          <t>Suppliers and overheads in October</t>
        </is>
      </c>
    </row>
    <row r="74">
      <c r="A74" s="9" t="inlineStr">
        <is>
          <t>Last month's bills (trade creditors) + the month's overheads, paid on the 15th and at month end</t>
        </is>
      </c>
    </row>
    <row r="75">
      <c r="A75" s="4" t="inlineStr"/>
      <c r="B75" s="5" t="inlineStr">
        <is>
          <t>October</t>
        </is>
      </c>
    </row>
    <row r="76">
      <c r="A76" t="inlineStr">
        <is>
          <t>Bills owed for September's materials and subcontractors</t>
        </is>
      </c>
      <c r="B76" s="14" t="n">
        <v>78060</v>
      </c>
    </row>
    <row r="77">
      <c r="A77" t="inlineStr">
        <is>
          <t>Overheads (at September's level)</t>
        </is>
      </c>
      <c r="B77" s="14" t="n">
        <v>32100</v>
      </c>
    </row>
    <row r="78">
      <c r="A78" s="15" t="inlineStr">
        <is>
          <t>Paid in the month</t>
        </is>
      </c>
      <c r="B78" s="16">
        <f>B76+B77</f>
        <v/>
      </c>
    </row>
    <row r="79"/>
    <row r="80"/>
    <row r="81">
      <c r="A81" s="13" t="inlineStr">
        <is>
          <t>Tax, interest and equipment finance in October</t>
        </is>
      </c>
    </row>
    <row r="82">
      <c r="A82" s="9" t="inlineStr">
        <is>
          <t>Interest + equipment finance repayment (+ the PAYG instalment in Jan, Apr, Jul, Oct)</t>
        </is>
      </c>
    </row>
    <row r="83">
      <c r="A83" s="4" t="inlineStr"/>
      <c r="B83" s="5" t="inlineStr">
        <is>
          <t>October</t>
        </is>
      </c>
    </row>
    <row r="84">
      <c r="A84" s="15" t="inlineStr">
        <is>
          <t>Paid in the month</t>
        </is>
      </c>
      <c r="B84" s="16" t="n">
        <v>12017</v>
      </c>
    </row>
    <row r="85"/>
    <row r="86"/>
    <row r="87">
      <c r="A87" s="13" t="inlineStr">
        <is>
          <t>Forecast made 30 September against the bank, 5 October</t>
        </is>
      </c>
    </row>
    <row r="88">
      <c r="A88" s="9" t="inlineStr">
        <is>
          <t>Actual cash − forecast cash</t>
        </is>
      </c>
    </row>
    <row r="89">
      <c r="A89" s="4" t="inlineStr"/>
      <c r="B89" s="5" t="inlineStr">
        <is>
          <t>5 Oct</t>
        </is>
      </c>
    </row>
    <row r="90">
      <c r="A90" t="inlineStr">
        <is>
          <t>Forecast for 5 October</t>
        </is>
      </c>
      <c r="B90" s="14" t="n">
        <v>110127</v>
      </c>
    </row>
    <row r="91">
      <c r="A91" t="inlineStr">
        <is>
          <t>Actual, 5 October</t>
        </is>
      </c>
      <c r="B91" s="14" t="n">
        <v>47244</v>
      </c>
    </row>
    <row r="92">
      <c r="A92" t="inlineStr">
        <is>
          <t>Actual − forecast</t>
        </is>
      </c>
      <c r="B92" s="14">
        <f>B91-B90</f>
        <v/>
      </c>
    </row>
    <row r="93">
      <c r="A93" t="inlineStr">
        <is>
          <t>Of which: invoices expected by then, not yet paid</t>
        </is>
      </c>
      <c r="B93" s="14" t="n">
        <v>-64300</v>
      </c>
    </row>
    <row r="94">
      <c r="A94" s="15" t="inlineStr">
        <is>
          <t>Everything else (timing of other money in and out)</t>
        </is>
      </c>
      <c r="B94" s="16">
        <f>B92-B93</f>
        <v/>
      </c>
    </row>
    <row r="95">
      <c r="A95" s="2" t="inlineStr">
        <is>
          <t>Not yet paid: Wacol warehouse switchboard $46,800; Milton office tower $4,200; Rocklea factory $3,900; Bulimba school $2,800; West End brewery $2,600….</t>
        </is>
      </c>
    </row>
    <row r="96"/>
    <row r="97"/>
    <row r="9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 · Generated 8 Oct 2026, 9:35am&amp;R&amp;"Roboto,Regular"&amp;8 Page &amp;P of &amp;N</oddFooter>
    <evenHeader/>
    <evenFooter/>
    <firstHeader/>
    <firstFooter/>
  </headerFooter>
  <rowBreaks count="3" manualBreakCount="3">
    <brk id="23" min="0" max="16383" man="1"/>
    <brk id="49" min="0" max="16383" man="1"/>
    <brk id="80" min="0" max="16383" man="1"/>
  </rowBreaks>
</worksheet>
</file>

<file path=xl/worksheets/sheet3.xml><?xml version="1.0" encoding="utf-8"?>
<worksheet xmlns="http://schemas.openxmlformats.org/spreadsheetml/2006/main">
  <sheetPr>
    <outlinePr summaryBelow="1" summaryRight="1"/>
    <pageSetUpPr fitToPage="1"/>
  </sheetPr>
  <dimension ref="A1:E9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s>
  <sheetData>
    <row r="1">
      <c r="A1" s="1" t="inlineStr">
        <is>
          <t>Data</t>
        </is>
      </c>
    </row>
    <row r="2">
      <c r="A2" s="2" t="inlineStr">
        <is>
          <t>Sample Electrical &amp; Air Pty Ltd · SAMPLE DATA (invented) · The Fourth Sheet · Made with Python (openpyxl)</t>
        </is>
      </c>
    </row>
    <row r="3">
      <c r="A3" s="2" t="inlineStr">
        <is>
          <t>Period: September 2026 · Data status: Aug 2026 locked · Sep 2026 locked · Oct 2026 incomplete (data retrieved 2pm, Tue 6 Oct 2026) · Generated 8 Oct 2026, 9:35am</t>
        </is>
      </c>
    </row>
    <row r="4"/>
    <row r="5">
      <c r="A5" s="4" t="inlineStr">
        <is>
          <t>Date</t>
        </is>
      </c>
      <c r="B5" s="5" t="inlineStr">
        <is>
          <t>Actual or forecast</t>
        </is>
      </c>
      <c r="C5" s="5" t="inlineStr">
        <is>
          <t>Money in</t>
        </is>
      </c>
      <c r="D5" s="5" t="inlineStr">
        <is>
          <t>Money out</t>
        </is>
      </c>
      <c r="E5" s="5" t="inlineStr">
        <is>
          <t>Cash at bank</t>
        </is>
      </c>
    </row>
    <row r="6">
      <c r="A6" s="17" t="inlineStr">
        <is>
          <t>2026-10-01</t>
        </is>
      </c>
      <c r="B6" s="17" t="inlineStr">
        <is>
          <t>Forecast</t>
        </is>
      </c>
      <c r="C6" s="14" t="n">
        <v>38800</v>
      </c>
      <c r="D6" s="14" t="n">
        <v>-37800</v>
      </c>
      <c r="E6" s="14" t="n">
        <v>60746</v>
      </c>
    </row>
    <row r="7">
      <c r="A7" s="17" t="inlineStr">
        <is>
          <t>2026-10-02</t>
        </is>
      </c>
      <c r="B7" s="17" t="inlineStr">
        <is>
          <t>Forecast</t>
        </is>
      </c>
      <c r="C7" s="14" t="n">
        <v>0</v>
      </c>
      <c r="D7" s="14" t="n">
        <v>0</v>
      </c>
      <c r="E7" s="14" t="n">
        <v>60746</v>
      </c>
    </row>
    <row r="8">
      <c r="A8" s="17" t="inlineStr">
        <is>
          <t>2026-10-03</t>
        </is>
      </c>
      <c r="B8" s="17" t="inlineStr">
        <is>
          <t>Forecast</t>
        </is>
      </c>
      <c r="C8" s="14" t="n">
        <v>1291</v>
      </c>
      <c r="D8" s="14" t="n">
        <v>0</v>
      </c>
      <c r="E8" s="14" t="n">
        <v>62037</v>
      </c>
    </row>
    <row r="9">
      <c r="A9" s="17" t="inlineStr">
        <is>
          <t>2026-10-04</t>
        </is>
      </c>
      <c r="B9" s="17" t="inlineStr">
        <is>
          <t>Forecast</t>
        </is>
      </c>
      <c r="C9" s="14" t="n">
        <v>48091</v>
      </c>
      <c r="D9" s="14" t="n">
        <v>0</v>
      </c>
      <c r="E9" s="14" t="n">
        <v>110127</v>
      </c>
    </row>
    <row r="10">
      <c r="A10" s="17" t="inlineStr">
        <is>
          <t>2026-10-05</t>
        </is>
      </c>
      <c r="B10" s="17" t="inlineStr">
        <is>
          <t>Forecast</t>
        </is>
      </c>
      <c r="C10" s="14" t="n">
        <v>0</v>
      </c>
      <c r="D10" s="14" t="n">
        <v>0</v>
      </c>
      <c r="E10" s="14" t="n">
        <v>110127</v>
      </c>
    </row>
    <row r="11">
      <c r="A11" s="17" t="inlineStr">
        <is>
          <t>2026-10-06</t>
        </is>
      </c>
      <c r="B11" s="17" t="inlineStr">
        <is>
          <t>Forecast</t>
        </is>
      </c>
      <c r="C11" s="14" t="n">
        <v>0</v>
      </c>
      <c r="D11" s="14" t="n">
        <v>0</v>
      </c>
      <c r="E11" s="14" t="n">
        <v>110127</v>
      </c>
    </row>
    <row r="12">
      <c r="A12" s="17" t="inlineStr">
        <is>
          <t>2026-10-07</t>
        </is>
      </c>
      <c r="B12" s="17" t="inlineStr">
        <is>
          <t>Forecast</t>
        </is>
      </c>
      <c r="C12" s="14" t="n">
        <v>10254</v>
      </c>
      <c r="D12" s="14" t="n">
        <v>0</v>
      </c>
      <c r="E12" s="14" t="n">
        <v>120381</v>
      </c>
    </row>
    <row r="13">
      <c r="A13" s="17" t="inlineStr">
        <is>
          <t>2026-10-08</t>
        </is>
      </c>
      <c r="B13" s="17" t="inlineStr">
        <is>
          <t>Forecast</t>
        </is>
      </c>
      <c r="C13" s="14" t="n">
        <v>1291</v>
      </c>
      <c r="D13" s="14" t="n">
        <v>0</v>
      </c>
      <c r="E13" s="14" t="n">
        <v>121672</v>
      </c>
    </row>
    <row r="14">
      <c r="A14" s="17" t="inlineStr">
        <is>
          <t>2026-10-09</t>
        </is>
      </c>
      <c r="B14" s="17" t="inlineStr">
        <is>
          <t>Forecast</t>
        </is>
      </c>
      <c r="C14" s="14" t="n">
        <v>19891</v>
      </c>
      <c r="D14" s="14" t="n">
        <v>0</v>
      </c>
      <c r="E14" s="14" t="n">
        <v>141563</v>
      </c>
    </row>
    <row r="15">
      <c r="A15" s="17" t="inlineStr">
        <is>
          <t>2026-10-10</t>
        </is>
      </c>
      <c r="B15" s="17" t="inlineStr">
        <is>
          <t>Forecast</t>
        </is>
      </c>
      <c r="C15" s="14" t="n">
        <v>1291</v>
      </c>
      <c r="D15" s="14" t="n">
        <v>0</v>
      </c>
      <c r="E15" s="14" t="n">
        <v>142853</v>
      </c>
    </row>
    <row r="16">
      <c r="A16" s="17" t="inlineStr">
        <is>
          <t>2026-10-11</t>
        </is>
      </c>
      <c r="B16" s="17" t="inlineStr">
        <is>
          <t>Forecast</t>
        </is>
      </c>
      <c r="C16" s="14" t="n">
        <v>1291</v>
      </c>
      <c r="D16" s="14" t="n">
        <v>0</v>
      </c>
      <c r="E16" s="14" t="n">
        <v>144144</v>
      </c>
    </row>
    <row r="17">
      <c r="A17" s="17" t="inlineStr">
        <is>
          <t>2026-10-12</t>
        </is>
      </c>
      <c r="B17" s="17" t="inlineStr">
        <is>
          <t>Forecast</t>
        </is>
      </c>
      <c r="C17" s="14" t="n">
        <v>0</v>
      </c>
      <c r="D17" s="14" t="n">
        <v>0</v>
      </c>
      <c r="E17" s="14" t="n">
        <v>144144</v>
      </c>
    </row>
    <row r="18">
      <c r="A18" s="17" t="inlineStr">
        <is>
          <t>2026-10-13</t>
        </is>
      </c>
      <c r="B18" s="17" t="inlineStr">
        <is>
          <t>Forecast</t>
        </is>
      </c>
      <c r="C18" s="14" t="n">
        <v>0</v>
      </c>
      <c r="D18" s="14" t="n">
        <v>0</v>
      </c>
      <c r="E18" s="14" t="n">
        <v>144144</v>
      </c>
    </row>
    <row r="19">
      <c r="A19" s="17" t="inlineStr">
        <is>
          <t>2026-10-14</t>
        </is>
      </c>
      <c r="B19" s="17" t="inlineStr">
        <is>
          <t>Forecast</t>
        </is>
      </c>
      <c r="C19" s="14" t="n">
        <v>1291</v>
      </c>
      <c r="D19" s="14" t="n">
        <v>0</v>
      </c>
      <c r="E19" s="14" t="n">
        <v>145435</v>
      </c>
    </row>
    <row r="20">
      <c r="A20" s="17" t="inlineStr">
        <is>
          <t>2026-10-15</t>
        </is>
      </c>
      <c r="B20" s="17" t="inlineStr">
        <is>
          <t>Forecast</t>
        </is>
      </c>
      <c r="C20" s="14" t="n">
        <v>1291</v>
      </c>
      <c r="D20" s="14" t="n">
        <v>-92880</v>
      </c>
      <c r="E20" s="14" t="n">
        <v>53846</v>
      </c>
    </row>
    <row r="21">
      <c r="A21" s="17" t="inlineStr">
        <is>
          <t>2026-10-16</t>
        </is>
      </c>
      <c r="B21" s="17" t="inlineStr">
        <is>
          <t>Forecast</t>
        </is>
      </c>
      <c r="C21" s="14" t="n">
        <v>1291</v>
      </c>
      <c r="D21" s="14" t="n">
        <v>0</v>
      </c>
      <c r="E21" s="14" t="n">
        <v>55136</v>
      </c>
    </row>
    <row r="22">
      <c r="A22" s="17" t="inlineStr">
        <is>
          <t>2026-10-17</t>
        </is>
      </c>
      <c r="B22" s="17" t="inlineStr">
        <is>
          <t>Forecast</t>
        </is>
      </c>
      <c r="C22" s="14" t="n">
        <v>1291</v>
      </c>
      <c r="D22" s="14" t="n">
        <v>0</v>
      </c>
      <c r="E22" s="14" t="n">
        <v>56427</v>
      </c>
    </row>
    <row r="23">
      <c r="A23" s="17" t="inlineStr">
        <is>
          <t>2026-10-18</t>
        </is>
      </c>
      <c r="B23" s="17" t="inlineStr">
        <is>
          <t>Forecast</t>
        </is>
      </c>
      <c r="C23" s="14" t="n">
        <v>14191</v>
      </c>
      <c r="D23" s="14" t="n">
        <v>0</v>
      </c>
      <c r="E23" s="14" t="n">
        <v>70618</v>
      </c>
    </row>
    <row r="24">
      <c r="A24" s="17" t="inlineStr">
        <is>
          <t>2026-10-19</t>
        </is>
      </c>
      <c r="B24" s="17" t="inlineStr">
        <is>
          <t>Forecast</t>
        </is>
      </c>
      <c r="C24" s="14" t="n">
        <v>0</v>
      </c>
      <c r="D24" s="14" t="n">
        <v>0</v>
      </c>
      <c r="E24" s="14" t="n">
        <v>70618</v>
      </c>
    </row>
    <row r="25">
      <c r="A25" s="17" t="inlineStr">
        <is>
          <t>2026-10-20</t>
        </is>
      </c>
      <c r="B25" s="17" t="inlineStr">
        <is>
          <t>Forecast</t>
        </is>
      </c>
      <c r="C25" s="14" t="n">
        <v>0</v>
      </c>
      <c r="D25" s="14" t="n">
        <v>0</v>
      </c>
      <c r="E25" s="14" t="n">
        <v>70618</v>
      </c>
    </row>
    <row r="26">
      <c r="A26" s="17" t="inlineStr">
        <is>
          <t>2026-10-21</t>
        </is>
      </c>
      <c r="B26" s="17" t="inlineStr">
        <is>
          <t>Forecast</t>
        </is>
      </c>
      <c r="C26" s="14" t="n">
        <v>1291</v>
      </c>
      <c r="D26" s="14" t="n">
        <v>0</v>
      </c>
      <c r="E26" s="14" t="n">
        <v>71909</v>
      </c>
    </row>
    <row r="27">
      <c r="A27" s="17" t="inlineStr">
        <is>
          <t>2026-10-22</t>
        </is>
      </c>
      <c r="B27" s="17" t="inlineStr">
        <is>
          <t>Forecast</t>
        </is>
      </c>
      <c r="C27" s="14" t="n">
        <v>1291</v>
      </c>
      <c r="D27" s="14" t="n">
        <v>0</v>
      </c>
      <c r="E27" s="14" t="n">
        <v>73199</v>
      </c>
    </row>
    <row r="28">
      <c r="A28" s="17" t="inlineStr">
        <is>
          <t>2026-10-23</t>
        </is>
      </c>
      <c r="B28" s="17" t="inlineStr">
        <is>
          <t>Forecast</t>
        </is>
      </c>
      <c r="C28" s="14" t="n">
        <v>11091</v>
      </c>
      <c r="D28" s="14" t="n">
        <v>0</v>
      </c>
      <c r="E28" s="14" t="n">
        <v>84290</v>
      </c>
    </row>
    <row r="29">
      <c r="A29" s="17" t="inlineStr">
        <is>
          <t>2026-10-24</t>
        </is>
      </c>
      <c r="B29" s="17" t="inlineStr">
        <is>
          <t>Forecast</t>
        </is>
      </c>
      <c r="C29" s="14" t="n">
        <v>1291</v>
      </c>
      <c r="D29" s="14" t="n">
        <v>0</v>
      </c>
      <c r="E29" s="14" t="n">
        <v>85581</v>
      </c>
    </row>
    <row r="30">
      <c r="A30" s="17" t="inlineStr">
        <is>
          <t>2026-10-25</t>
        </is>
      </c>
      <c r="B30" s="17" t="inlineStr">
        <is>
          <t>Forecast</t>
        </is>
      </c>
      <c r="C30" s="14" t="n">
        <v>1291</v>
      </c>
      <c r="D30" s="14" t="n">
        <v>0</v>
      </c>
      <c r="E30" s="14" t="n">
        <v>86872</v>
      </c>
    </row>
    <row r="31">
      <c r="A31" s="17" t="inlineStr">
        <is>
          <t>2026-10-26</t>
        </is>
      </c>
      <c r="B31" s="17" t="inlineStr">
        <is>
          <t>Forecast</t>
        </is>
      </c>
      <c r="C31" s="14" t="n">
        <v>0</v>
      </c>
      <c r="D31" s="14" t="n">
        <v>0</v>
      </c>
      <c r="E31" s="14" t="n">
        <v>86872</v>
      </c>
    </row>
    <row r="32">
      <c r="A32" s="17" t="inlineStr">
        <is>
          <t>2026-10-27</t>
        </is>
      </c>
      <c r="B32" s="17" t="inlineStr">
        <is>
          <t>Forecast</t>
        </is>
      </c>
      <c r="C32" s="14" t="n">
        <v>0</v>
      </c>
      <c r="D32" s="14" t="n">
        <v>0</v>
      </c>
      <c r="E32" s="14" t="n">
        <v>86872</v>
      </c>
    </row>
    <row r="33">
      <c r="A33" s="17" t="inlineStr">
        <is>
          <t>2026-10-28</t>
        </is>
      </c>
      <c r="B33" s="17" t="inlineStr">
        <is>
          <t>Forecast</t>
        </is>
      </c>
      <c r="C33" s="14" t="n">
        <v>1291</v>
      </c>
      <c r="D33" s="14" t="n">
        <v>-12017</v>
      </c>
      <c r="E33" s="14" t="n">
        <v>76145</v>
      </c>
    </row>
    <row r="34">
      <c r="A34" s="17" t="inlineStr">
        <is>
          <t>2026-10-29</t>
        </is>
      </c>
      <c r="B34" s="17" t="inlineStr">
        <is>
          <t>Forecast</t>
        </is>
      </c>
      <c r="C34" s="14" t="n">
        <v>16491</v>
      </c>
      <c r="D34" s="14" t="n">
        <v>-37800</v>
      </c>
      <c r="E34" s="14" t="n">
        <v>54836</v>
      </c>
    </row>
    <row r="35">
      <c r="A35" s="17" t="inlineStr">
        <is>
          <t>2026-10-30</t>
        </is>
      </c>
      <c r="B35" s="17" t="inlineStr">
        <is>
          <t>Forecast</t>
        </is>
      </c>
      <c r="C35" s="14" t="n">
        <v>1291</v>
      </c>
      <c r="D35" s="14" t="n">
        <v>0</v>
      </c>
      <c r="E35" s="14" t="n">
        <v>56127</v>
      </c>
    </row>
    <row r="36">
      <c r="A36" s="17" t="inlineStr">
        <is>
          <t>2026-10-31</t>
        </is>
      </c>
      <c r="B36" s="17" t="inlineStr">
        <is>
          <t>Forecast</t>
        </is>
      </c>
      <c r="C36" s="14" t="n">
        <v>47365</v>
      </c>
      <c r="D36" s="14" t="n">
        <v>0</v>
      </c>
      <c r="E36" s="14" t="n">
        <v>103492</v>
      </c>
    </row>
    <row r="37">
      <c r="A37" s="17" t="inlineStr">
        <is>
          <t>2026-11-01</t>
        </is>
      </c>
      <c r="B37" s="17" t="inlineStr">
        <is>
          <t>Forecast</t>
        </is>
      </c>
      <c r="C37" s="14" t="n">
        <v>6865</v>
      </c>
      <c r="D37" s="14" t="n">
        <v>0</v>
      </c>
      <c r="E37" s="14" t="n">
        <v>110357</v>
      </c>
    </row>
    <row r="38">
      <c r="A38" s="17" t="inlineStr">
        <is>
          <t>2026-11-02</t>
        </is>
      </c>
      <c r="B38" s="17" t="inlineStr">
        <is>
          <t>Forecast</t>
        </is>
      </c>
      <c r="C38" s="14" t="n">
        <v>0</v>
      </c>
      <c r="D38" s="14" t="n">
        <v>-56160</v>
      </c>
      <c r="E38" s="14" t="n">
        <v>54197</v>
      </c>
    </row>
    <row r="39">
      <c r="A39" s="17" t="inlineStr">
        <is>
          <t>2026-11-03</t>
        </is>
      </c>
      <c r="B39" s="17" t="inlineStr">
        <is>
          <t>Forecast</t>
        </is>
      </c>
      <c r="C39" s="14" t="n">
        <v>0</v>
      </c>
      <c r="D39" s="14" t="n">
        <v>0</v>
      </c>
      <c r="E39" s="14" t="n">
        <v>54197</v>
      </c>
    </row>
    <row r="40">
      <c r="A40" s="17" t="inlineStr">
        <is>
          <t>2026-11-04</t>
        </is>
      </c>
      <c r="B40" s="17" t="inlineStr">
        <is>
          <t>Forecast</t>
        </is>
      </c>
      <c r="C40" s="14" t="n">
        <v>6865</v>
      </c>
      <c r="D40" s="14" t="n">
        <v>0</v>
      </c>
      <c r="E40" s="14" t="n">
        <v>61062</v>
      </c>
    </row>
    <row r="41">
      <c r="A41" s="17" t="inlineStr">
        <is>
          <t>2026-11-05</t>
        </is>
      </c>
      <c r="B41" s="17" t="inlineStr">
        <is>
          <t>Forecast</t>
        </is>
      </c>
      <c r="C41" s="14" t="n">
        <v>6865</v>
      </c>
      <c r="D41" s="14" t="n">
        <v>0</v>
      </c>
      <c r="E41" s="14" t="n">
        <v>67927</v>
      </c>
    </row>
    <row r="42">
      <c r="A42" s="17" t="inlineStr">
        <is>
          <t>2026-11-06</t>
        </is>
      </c>
      <c r="B42" s="17" t="inlineStr">
        <is>
          <t>Forecast</t>
        </is>
      </c>
      <c r="C42" s="14" t="n">
        <v>6865</v>
      </c>
      <c r="D42" s="14" t="n">
        <v>0</v>
      </c>
      <c r="E42" s="14" t="n">
        <v>74792</v>
      </c>
    </row>
    <row r="43">
      <c r="A43" s="17" t="inlineStr">
        <is>
          <t>2026-11-07</t>
        </is>
      </c>
      <c r="B43" s="17" t="inlineStr">
        <is>
          <t>Forecast</t>
        </is>
      </c>
      <c r="C43" s="14" t="n">
        <v>6865</v>
      </c>
      <c r="D43" s="14" t="n">
        <v>0</v>
      </c>
      <c r="E43" s="14" t="n">
        <v>81657</v>
      </c>
    </row>
    <row r="44">
      <c r="A44" s="17" t="inlineStr">
        <is>
          <t>2026-11-08</t>
        </is>
      </c>
      <c r="B44" s="17" t="inlineStr">
        <is>
          <t>Forecast</t>
        </is>
      </c>
      <c r="C44" s="14" t="n">
        <v>6865</v>
      </c>
      <c r="D44" s="14" t="n">
        <v>0</v>
      </c>
      <c r="E44" s="14" t="n">
        <v>88522</v>
      </c>
    </row>
    <row r="45">
      <c r="A45" s="17" t="inlineStr">
        <is>
          <t>2026-11-09</t>
        </is>
      </c>
      <c r="B45" s="17" t="inlineStr">
        <is>
          <t>Forecast</t>
        </is>
      </c>
      <c r="C45" s="14" t="n">
        <v>0</v>
      </c>
      <c r="D45" s="14" t="n">
        <v>0</v>
      </c>
      <c r="E45" s="14" t="n">
        <v>88522</v>
      </c>
    </row>
    <row r="46">
      <c r="A46" s="17" t="inlineStr">
        <is>
          <t>2026-11-10</t>
        </is>
      </c>
      <c r="B46" s="17" t="inlineStr">
        <is>
          <t>Forecast</t>
        </is>
      </c>
      <c r="C46" s="14" t="n">
        <v>0</v>
      </c>
      <c r="D46" s="14" t="n">
        <v>0</v>
      </c>
      <c r="E46" s="14" t="n">
        <v>88522</v>
      </c>
    </row>
    <row r="47">
      <c r="A47" s="17" t="inlineStr">
        <is>
          <t>2026-11-11</t>
        </is>
      </c>
      <c r="B47" s="17" t="inlineStr">
        <is>
          <t>Forecast</t>
        </is>
      </c>
      <c r="C47" s="14" t="n">
        <v>6865</v>
      </c>
      <c r="D47" s="14" t="n">
        <v>0</v>
      </c>
      <c r="E47" s="14" t="n">
        <v>95387</v>
      </c>
    </row>
    <row r="48">
      <c r="A48" s="17" t="inlineStr">
        <is>
          <t>2026-11-12</t>
        </is>
      </c>
      <c r="B48" s="17" t="inlineStr">
        <is>
          <t>Forecast</t>
        </is>
      </c>
      <c r="C48" s="14" t="n">
        <v>6865</v>
      </c>
      <c r="D48" s="14" t="n">
        <v>-37800</v>
      </c>
      <c r="E48" s="14" t="n">
        <v>64452</v>
      </c>
    </row>
    <row r="49">
      <c r="A49" s="17" t="inlineStr">
        <is>
          <t>2026-11-13</t>
        </is>
      </c>
      <c r="B49" s="17" t="inlineStr">
        <is>
          <t>Forecast</t>
        </is>
      </c>
      <c r="C49" s="14" t="n">
        <v>6865</v>
      </c>
      <c r="D49" s="14" t="n">
        <v>0</v>
      </c>
      <c r="E49" s="14" t="n">
        <v>71317</v>
      </c>
    </row>
    <row r="50">
      <c r="A50" s="17" t="inlineStr">
        <is>
          <t>2026-11-14</t>
        </is>
      </c>
      <c r="B50" s="17" t="inlineStr">
        <is>
          <t>Forecast</t>
        </is>
      </c>
      <c r="C50" s="14" t="n">
        <v>6865</v>
      </c>
      <c r="D50" s="14" t="n">
        <v>0</v>
      </c>
      <c r="E50" s="14" t="n">
        <v>78182</v>
      </c>
    </row>
    <row r="51">
      <c r="A51" s="17" t="inlineStr">
        <is>
          <t>2026-11-15</t>
        </is>
      </c>
      <c r="B51" s="17" t="inlineStr">
        <is>
          <t>Forecast</t>
        </is>
      </c>
      <c r="C51" s="14" t="n">
        <v>6865</v>
      </c>
      <c r="D51" s="14" t="n">
        <v>0</v>
      </c>
      <c r="E51" s="14" t="n">
        <v>85047</v>
      </c>
    </row>
    <row r="52">
      <c r="A52" s="17" t="inlineStr">
        <is>
          <t>2026-11-16</t>
        </is>
      </c>
      <c r="B52" s="17" t="inlineStr">
        <is>
          <t>Forecast</t>
        </is>
      </c>
      <c r="C52" s="14" t="n">
        <v>0</v>
      </c>
      <c r="D52" s="14" t="n">
        <v>-55080</v>
      </c>
      <c r="E52" s="14" t="n">
        <v>29967</v>
      </c>
    </row>
    <row r="53">
      <c r="A53" s="17" t="inlineStr">
        <is>
          <t>2026-11-17</t>
        </is>
      </c>
      <c r="B53" s="17" t="inlineStr">
        <is>
          <t>Forecast</t>
        </is>
      </c>
      <c r="C53" s="14" t="n">
        <v>0</v>
      </c>
      <c r="D53" s="14" t="n">
        <v>0</v>
      </c>
      <c r="E53" s="14" t="n">
        <v>29967</v>
      </c>
    </row>
    <row r="54">
      <c r="A54" s="17" t="inlineStr">
        <is>
          <t>2026-11-18</t>
        </is>
      </c>
      <c r="B54" s="17" t="inlineStr">
        <is>
          <t>Forecast</t>
        </is>
      </c>
      <c r="C54" s="14" t="n">
        <v>6865</v>
      </c>
      <c r="D54" s="14" t="n">
        <v>0</v>
      </c>
      <c r="E54" s="14" t="n">
        <v>36832</v>
      </c>
    </row>
    <row r="55">
      <c r="A55" s="17" t="inlineStr">
        <is>
          <t>2026-11-19</t>
        </is>
      </c>
      <c r="B55" s="17" t="inlineStr">
        <is>
          <t>Forecast</t>
        </is>
      </c>
      <c r="C55" s="14" t="n">
        <v>6865</v>
      </c>
      <c r="D55" s="14" t="n">
        <v>0</v>
      </c>
      <c r="E55" s="14" t="n">
        <v>43697</v>
      </c>
    </row>
    <row r="56">
      <c r="A56" s="17" t="inlineStr">
        <is>
          <t>2026-11-20</t>
        </is>
      </c>
      <c r="B56" s="17" t="inlineStr">
        <is>
          <t>Forecast</t>
        </is>
      </c>
      <c r="C56" s="14" t="n">
        <v>6865</v>
      </c>
      <c r="D56" s="14" t="n">
        <v>0</v>
      </c>
      <c r="E56" s="14" t="n">
        <v>50562</v>
      </c>
    </row>
    <row r="57">
      <c r="A57" s="17" t="inlineStr">
        <is>
          <t>2026-11-21</t>
        </is>
      </c>
      <c r="B57" s="17" t="inlineStr">
        <is>
          <t>Forecast</t>
        </is>
      </c>
      <c r="C57" s="14" t="n">
        <v>6865</v>
      </c>
      <c r="D57" s="14" t="n">
        <v>0</v>
      </c>
      <c r="E57" s="14" t="n">
        <v>57427</v>
      </c>
    </row>
    <row r="58">
      <c r="A58" s="17" t="inlineStr">
        <is>
          <t>2026-11-22</t>
        </is>
      </c>
      <c r="B58" s="17" t="inlineStr">
        <is>
          <t>Forecast</t>
        </is>
      </c>
      <c r="C58" s="14" t="n">
        <v>6865</v>
      </c>
      <c r="D58" s="14" t="n">
        <v>0</v>
      </c>
      <c r="E58" s="14" t="n">
        <v>64292</v>
      </c>
    </row>
    <row r="59">
      <c r="A59" s="17" t="inlineStr">
        <is>
          <t>2026-11-23</t>
        </is>
      </c>
      <c r="B59" s="17" t="inlineStr">
        <is>
          <t>Forecast</t>
        </is>
      </c>
      <c r="C59" s="14" t="n">
        <v>0</v>
      </c>
      <c r="D59" s="14" t="n">
        <v>0</v>
      </c>
      <c r="E59" s="14" t="n">
        <v>64292</v>
      </c>
    </row>
    <row r="60">
      <c r="A60" s="17" t="inlineStr">
        <is>
          <t>2026-11-24</t>
        </is>
      </c>
      <c r="B60" s="17" t="inlineStr">
        <is>
          <t>Forecast</t>
        </is>
      </c>
      <c r="C60" s="14" t="n">
        <v>0</v>
      </c>
      <c r="D60" s="14" t="n">
        <v>0</v>
      </c>
      <c r="E60" s="14" t="n">
        <v>64292</v>
      </c>
    </row>
    <row r="61">
      <c r="A61" s="17" t="inlineStr">
        <is>
          <t>2026-11-25</t>
        </is>
      </c>
      <c r="B61" s="17" t="inlineStr">
        <is>
          <t>Forecast</t>
        </is>
      </c>
      <c r="C61" s="14" t="n">
        <v>6865</v>
      </c>
      <c r="D61" s="14" t="n">
        <v>0</v>
      </c>
      <c r="E61" s="14" t="n">
        <v>71157</v>
      </c>
    </row>
    <row r="62">
      <c r="A62" s="17" t="inlineStr">
        <is>
          <t>2026-11-26</t>
        </is>
      </c>
      <c r="B62" s="17" t="inlineStr">
        <is>
          <t>Forecast</t>
        </is>
      </c>
      <c r="C62" s="14" t="n">
        <v>6865</v>
      </c>
      <c r="D62" s="14" t="n">
        <v>-37800</v>
      </c>
      <c r="E62" s="14" t="n">
        <v>40222</v>
      </c>
    </row>
    <row r="63">
      <c r="A63" s="17" t="inlineStr">
        <is>
          <t>2026-11-27</t>
        </is>
      </c>
      <c r="B63" s="17" t="inlineStr">
        <is>
          <t>Forecast</t>
        </is>
      </c>
      <c r="C63" s="14" t="n">
        <v>6865</v>
      </c>
      <c r="D63" s="14" t="n">
        <v>0</v>
      </c>
      <c r="E63" s="14" t="n">
        <v>47087</v>
      </c>
    </row>
    <row r="64">
      <c r="A64" s="17" t="inlineStr">
        <is>
          <t>2026-11-28</t>
        </is>
      </c>
      <c r="B64" s="17" t="inlineStr">
        <is>
          <t>Forecast</t>
        </is>
      </c>
      <c r="C64" s="14" t="n">
        <v>6865</v>
      </c>
      <c r="D64" s="14" t="n">
        <v>0</v>
      </c>
      <c r="E64" s="14" t="n">
        <v>53952</v>
      </c>
    </row>
    <row r="65">
      <c r="A65" s="17" t="inlineStr">
        <is>
          <t>2026-11-29</t>
        </is>
      </c>
      <c r="B65" s="17" t="inlineStr">
        <is>
          <t>Forecast</t>
        </is>
      </c>
      <c r="C65" s="14" t="n">
        <v>6865</v>
      </c>
      <c r="D65" s="14" t="n">
        <v>0</v>
      </c>
      <c r="E65" s="14" t="n">
        <v>60817</v>
      </c>
    </row>
    <row r="66">
      <c r="A66" s="17" t="inlineStr">
        <is>
          <t>2026-11-30</t>
        </is>
      </c>
      <c r="B66" s="17" t="inlineStr">
        <is>
          <t>Forecast</t>
        </is>
      </c>
      <c r="C66" s="14" t="n">
        <v>0</v>
      </c>
      <c r="D66" s="14" t="n">
        <v>-61160</v>
      </c>
      <c r="E66" s="14" t="n">
        <v>-343</v>
      </c>
    </row>
    <row r="67">
      <c r="A67" s="17" t="inlineStr">
        <is>
          <t>2026-12-01</t>
        </is>
      </c>
      <c r="B67" s="17" t="inlineStr">
        <is>
          <t>Forecast</t>
        </is>
      </c>
      <c r="C67" s="14" t="n">
        <v>40500</v>
      </c>
      <c r="D67" s="14" t="n">
        <v>0</v>
      </c>
      <c r="E67" s="14" t="n">
        <v>40157</v>
      </c>
    </row>
    <row r="68">
      <c r="A68" s="17" t="inlineStr">
        <is>
          <t>2026-12-02</t>
        </is>
      </c>
      <c r="B68" s="17" t="inlineStr">
        <is>
          <t>Forecast</t>
        </is>
      </c>
      <c r="C68" s="14" t="n">
        <v>6865</v>
      </c>
      <c r="D68" s="14" t="n">
        <v>0</v>
      </c>
      <c r="E68" s="14" t="n">
        <v>47022</v>
      </c>
    </row>
    <row r="69">
      <c r="A69" s="17" t="inlineStr">
        <is>
          <t>2026-12-03</t>
        </is>
      </c>
      <c r="B69" s="17" t="inlineStr">
        <is>
          <t>Forecast</t>
        </is>
      </c>
      <c r="C69" s="14" t="n">
        <v>6865</v>
      </c>
      <c r="D69" s="14" t="n">
        <v>0</v>
      </c>
      <c r="E69" s="14" t="n">
        <v>53886</v>
      </c>
    </row>
    <row r="70">
      <c r="A70" s="17" t="inlineStr">
        <is>
          <t>2026-12-04</t>
        </is>
      </c>
      <c r="B70" s="17" t="inlineStr">
        <is>
          <t>Forecast</t>
        </is>
      </c>
      <c r="C70" s="14" t="n">
        <v>6865</v>
      </c>
      <c r="D70" s="14" t="n">
        <v>0</v>
      </c>
      <c r="E70" s="14" t="n">
        <v>60751</v>
      </c>
    </row>
    <row r="71">
      <c r="A71" s="17" t="inlineStr">
        <is>
          <t>2026-12-05</t>
        </is>
      </c>
      <c r="B71" s="17" t="inlineStr">
        <is>
          <t>Forecast</t>
        </is>
      </c>
      <c r="C71" s="14" t="n">
        <v>6865</v>
      </c>
      <c r="D71" s="14" t="n">
        <v>0</v>
      </c>
      <c r="E71" s="14" t="n">
        <v>67616</v>
      </c>
    </row>
    <row r="72">
      <c r="A72" s="17" t="inlineStr">
        <is>
          <t>2026-12-06</t>
        </is>
      </c>
      <c r="B72" s="17" t="inlineStr">
        <is>
          <t>Forecast</t>
        </is>
      </c>
      <c r="C72" s="14" t="n">
        <v>6865</v>
      </c>
      <c r="D72" s="14" t="n">
        <v>0</v>
      </c>
      <c r="E72" s="14" t="n">
        <v>74481</v>
      </c>
    </row>
    <row r="73">
      <c r="A73" s="17" t="inlineStr">
        <is>
          <t>2026-12-07</t>
        </is>
      </c>
      <c r="B73" s="17" t="inlineStr">
        <is>
          <t>Forecast</t>
        </is>
      </c>
      <c r="C73" s="14" t="n">
        <v>0</v>
      </c>
      <c r="D73" s="14" t="n">
        <v>0</v>
      </c>
      <c r="E73" s="14" t="n">
        <v>74481</v>
      </c>
    </row>
    <row r="74">
      <c r="A74" s="17" t="inlineStr">
        <is>
          <t>2026-12-08</t>
        </is>
      </c>
      <c r="B74" s="17" t="inlineStr">
        <is>
          <t>Forecast</t>
        </is>
      </c>
      <c r="C74" s="14" t="n">
        <v>0</v>
      </c>
      <c r="D74" s="14" t="n">
        <v>0</v>
      </c>
      <c r="E74" s="14" t="n">
        <v>74481</v>
      </c>
    </row>
    <row r="75">
      <c r="A75" s="17" t="inlineStr">
        <is>
          <t>2026-12-09</t>
        </is>
      </c>
      <c r="B75" s="17" t="inlineStr">
        <is>
          <t>Forecast</t>
        </is>
      </c>
      <c r="C75" s="14" t="n">
        <v>6865</v>
      </c>
      <c r="D75" s="14" t="n">
        <v>0</v>
      </c>
      <c r="E75" s="14" t="n">
        <v>81346</v>
      </c>
    </row>
    <row r="76">
      <c r="A76" s="17" t="inlineStr">
        <is>
          <t>2026-12-10</t>
        </is>
      </c>
      <c r="B76" s="17" t="inlineStr">
        <is>
          <t>Forecast</t>
        </is>
      </c>
      <c r="C76" s="14" t="n">
        <v>6865</v>
      </c>
      <c r="D76" s="14" t="n">
        <v>-37800</v>
      </c>
      <c r="E76" s="14" t="n">
        <v>50411</v>
      </c>
    </row>
    <row r="77">
      <c r="A77" s="17" t="inlineStr">
        <is>
          <t>2026-12-11</t>
        </is>
      </c>
      <c r="B77" s="17" t="inlineStr">
        <is>
          <t>Forecast</t>
        </is>
      </c>
      <c r="C77" s="14" t="n">
        <v>6865</v>
      </c>
      <c r="D77" s="14" t="n">
        <v>0</v>
      </c>
      <c r="E77" s="14" t="n">
        <v>57276</v>
      </c>
    </row>
    <row r="78">
      <c r="A78" s="17" t="inlineStr">
        <is>
          <t>2026-12-12</t>
        </is>
      </c>
      <c r="B78" s="17" t="inlineStr">
        <is>
          <t>Forecast</t>
        </is>
      </c>
      <c r="C78" s="14" t="n">
        <v>6865</v>
      </c>
      <c r="D78" s="14" t="n">
        <v>0</v>
      </c>
      <c r="E78" s="14" t="n">
        <v>64141</v>
      </c>
    </row>
    <row r="79">
      <c r="A79" s="17" t="inlineStr">
        <is>
          <t>2026-12-13</t>
        </is>
      </c>
      <c r="B79" s="17" t="inlineStr">
        <is>
          <t>Forecast</t>
        </is>
      </c>
      <c r="C79" s="14" t="n">
        <v>6865</v>
      </c>
      <c r="D79" s="14" t="n">
        <v>0</v>
      </c>
      <c r="E79" s="14" t="n">
        <v>71006</v>
      </c>
    </row>
    <row r="80">
      <c r="A80" s="17" t="inlineStr">
        <is>
          <t>2026-12-14</t>
        </is>
      </c>
      <c r="B80" s="17" t="inlineStr">
        <is>
          <t>Forecast</t>
        </is>
      </c>
      <c r="C80" s="14" t="n">
        <v>0</v>
      </c>
      <c r="D80" s="14" t="n">
        <v>0</v>
      </c>
      <c r="E80" s="14" t="n">
        <v>71006</v>
      </c>
    </row>
    <row r="81">
      <c r="A81" s="17" t="inlineStr">
        <is>
          <t>2026-12-15</t>
        </is>
      </c>
      <c r="B81" s="17" t="inlineStr">
        <is>
          <t>Forecast</t>
        </is>
      </c>
      <c r="C81" s="14" t="n">
        <v>0</v>
      </c>
      <c r="D81" s="14" t="n">
        <v>-55080</v>
      </c>
      <c r="E81" s="14" t="n">
        <v>15926</v>
      </c>
    </row>
    <row r="82">
      <c r="A82" s="17" t="inlineStr">
        <is>
          <t>2026-12-16</t>
        </is>
      </c>
      <c r="B82" s="17" t="inlineStr">
        <is>
          <t>Forecast</t>
        </is>
      </c>
      <c r="C82" s="14" t="n">
        <v>6865</v>
      </c>
      <c r="D82" s="14" t="n">
        <v>0</v>
      </c>
      <c r="E82" s="14" t="n">
        <v>22791</v>
      </c>
    </row>
    <row r="83">
      <c r="A83" s="17" t="inlineStr">
        <is>
          <t>2026-12-17</t>
        </is>
      </c>
      <c r="B83" s="17" t="inlineStr">
        <is>
          <t>Forecast</t>
        </is>
      </c>
      <c r="C83" s="14" t="n">
        <v>6865</v>
      </c>
      <c r="D83" s="14" t="n">
        <v>0</v>
      </c>
      <c r="E83" s="14" t="n">
        <v>29656</v>
      </c>
    </row>
    <row r="84">
      <c r="A84" s="17" t="inlineStr">
        <is>
          <t>2026-12-18</t>
        </is>
      </c>
      <c r="B84" s="17" t="inlineStr">
        <is>
          <t>Forecast</t>
        </is>
      </c>
      <c r="C84" s="14" t="n">
        <v>6865</v>
      </c>
      <c r="D84" s="14" t="n">
        <v>0</v>
      </c>
      <c r="E84" s="14" t="n">
        <v>36521</v>
      </c>
    </row>
    <row r="85">
      <c r="A85" s="17" t="inlineStr">
        <is>
          <t>2026-12-19</t>
        </is>
      </c>
      <c r="B85" s="17" t="inlineStr">
        <is>
          <t>Forecast</t>
        </is>
      </c>
      <c r="C85" s="14" t="n">
        <v>6865</v>
      </c>
      <c r="D85" s="14" t="n">
        <v>0</v>
      </c>
      <c r="E85" s="14" t="n">
        <v>43386</v>
      </c>
    </row>
    <row r="86">
      <c r="A86" s="17" t="inlineStr">
        <is>
          <t>2026-12-20</t>
        </is>
      </c>
      <c r="B86" s="17" t="inlineStr">
        <is>
          <t>Forecast</t>
        </is>
      </c>
      <c r="C86" s="14" t="n">
        <v>6865</v>
      </c>
      <c r="D86" s="14" t="n">
        <v>0</v>
      </c>
      <c r="E86" s="14" t="n">
        <v>50251</v>
      </c>
    </row>
    <row r="87">
      <c r="A87" s="17" t="inlineStr">
        <is>
          <t>2026-12-21</t>
        </is>
      </c>
      <c r="B87" s="17" t="inlineStr">
        <is>
          <t>Forecast</t>
        </is>
      </c>
      <c r="C87" s="14" t="n">
        <v>0</v>
      </c>
      <c r="D87" s="14" t="n">
        <v>0</v>
      </c>
      <c r="E87" s="14" t="n">
        <v>50251</v>
      </c>
    </row>
    <row r="88">
      <c r="A88" s="17" t="inlineStr">
        <is>
          <t>2026-12-22</t>
        </is>
      </c>
      <c r="B88" s="17" t="inlineStr">
        <is>
          <t>Forecast</t>
        </is>
      </c>
      <c r="C88" s="14" t="n">
        <v>0</v>
      </c>
      <c r="D88" s="14" t="n">
        <v>0</v>
      </c>
      <c r="E88" s="14" t="n">
        <v>50251</v>
      </c>
    </row>
    <row r="89">
      <c r="A89" s="17" t="inlineStr">
        <is>
          <t>2026-12-23</t>
        </is>
      </c>
      <c r="B89" s="17" t="inlineStr">
        <is>
          <t>Forecast</t>
        </is>
      </c>
      <c r="C89" s="14" t="n">
        <v>6865</v>
      </c>
      <c r="D89" s="14" t="n">
        <v>0</v>
      </c>
      <c r="E89" s="14" t="n">
        <v>57116</v>
      </c>
    </row>
    <row r="90">
      <c r="A90" s="17" t="inlineStr">
        <is>
          <t>2026-12-24</t>
        </is>
      </c>
      <c r="B90" s="17" t="inlineStr">
        <is>
          <t>Forecast</t>
        </is>
      </c>
      <c r="C90" s="14" t="n">
        <v>6865</v>
      </c>
      <c r="D90" s="14" t="n">
        <v>-37800</v>
      </c>
      <c r="E90" s="14" t="n">
        <v>26181</v>
      </c>
    </row>
    <row r="91">
      <c r="A91" s="17" t="inlineStr">
        <is>
          <t>2026-12-25</t>
        </is>
      </c>
      <c r="B91" s="17" t="inlineStr">
        <is>
          <t>Forecast</t>
        </is>
      </c>
      <c r="C91" s="14" t="n">
        <v>6865</v>
      </c>
      <c r="D91" s="14" t="n">
        <v>0</v>
      </c>
      <c r="E91" s="14" t="n">
        <v>33046</v>
      </c>
    </row>
    <row r="92">
      <c r="A92" s="17" t="inlineStr">
        <is>
          <t>2026-12-26</t>
        </is>
      </c>
      <c r="B92" s="17" t="inlineStr">
        <is>
          <t>Forecast</t>
        </is>
      </c>
      <c r="C92" s="14" t="n">
        <v>6865</v>
      </c>
      <c r="D92" s="14" t="n">
        <v>0</v>
      </c>
      <c r="E92" s="14" t="n">
        <v>39911</v>
      </c>
    </row>
    <row r="93">
      <c r="A93" s="17" t="inlineStr">
        <is>
          <t>2026-12-27</t>
        </is>
      </c>
      <c r="B93" s="17" t="inlineStr">
        <is>
          <t>Forecast</t>
        </is>
      </c>
      <c r="C93" s="14" t="n">
        <v>6865</v>
      </c>
      <c r="D93" s="14" t="n">
        <v>0</v>
      </c>
      <c r="E93" s="14" t="n">
        <v>46776</v>
      </c>
    </row>
    <row r="94">
      <c r="A94" s="17" t="inlineStr">
        <is>
          <t>2026-12-28</t>
        </is>
      </c>
      <c r="B94" s="17" t="inlineStr">
        <is>
          <t>Forecast</t>
        </is>
      </c>
      <c r="C94" s="14" t="n">
        <v>0</v>
      </c>
      <c r="D94" s="14" t="n">
        <v>-5000</v>
      </c>
      <c r="E94" s="14" t="n">
        <v>41776</v>
      </c>
    </row>
    <row r="95">
      <c r="A95" s="17" t="inlineStr">
        <is>
          <t>2026-12-29</t>
        </is>
      </c>
      <c r="B95" s="17" t="inlineStr">
        <is>
          <t>Forecast</t>
        </is>
      </c>
      <c r="C95" s="14" t="n">
        <v>0</v>
      </c>
      <c r="D95" s="14" t="n">
        <v>0</v>
      </c>
      <c r="E95" s="14" t="n">
        <v>41776</v>
      </c>
    </row>
    <row r="96">
      <c r="A96" s="17" t="inlineStr">
        <is>
          <t>2026-12-30</t>
        </is>
      </c>
      <c r="B96" s="17" t="inlineStr">
        <is>
          <t>Forecast</t>
        </is>
      </c>
      <c r="C96" s="14" t="n">
        <v>6865</v>
      </c>
      <c r="D96" s="14" t="n">
        <v>0</v>
      </c>
      <c r="E96" s="14" t="n">
        <v>48641</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 · Generated 8 Oct 2026, 9:35am&amp;R&amp;"Roboto,Regular"&amp;8 Page &amp;P of &amp;N</oddFooter>
    <evenHeader/>
    <evenFooter/>
    <firstHeader/>
    <firstFooter/>
  </headerFooter>
  <rowBreaks count="3" manualBreakCount="3">
    <brk id="31" min="0" max="16383" man="1"/>
    <brk id="61" min="0" max="16383" man="1"/>
    <brk id="91"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2026-10-07T23:36:00Z</dcterms:created>
  <dcterms:modified xmlns:dcterms="http://purl.org/dc/terms/" xmlns:xsi="http://www.w3.org/2001/XMLSchema-instance" xsi:type="dcterms:W3CDTF">2026-10-07T23:36:00Z</dcterms:modified>
</cp:coreProperties>
</file>