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&quot; months&quot;;[Red](0.0&quot; months&quot;)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i val="1"/>
      <color rgb="005F6F63"/>
    </font>
    <font>
      <b val="1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months of runway do we have?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 ht="32" customHeight="1">
      <c r="A5" s="3" t="inlineStr">
        <is>
          <t>How long the organisation could keep going on its own money: cash at bank, less unspent grant money (which belongs to the funders' programs), divided by a month's spending.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Runway now</t>
        </is>
      </c>
      <c r="B8" s="6">
        <f>Workings!B12</f>
        <v/>
      </c>
      <c r="C8" s="7" t="inlineStr">
        <is>
          <t>September 2026</t>
        </is>
      </c>
    </row>
    <row r="9">
      <c r="A9" t="inlineStr">
        <is>
          <t>Target</t>
        </is>
      </c>
      <c r="B9" s="8">
        <f>Workings!B24</f>
        <v/>
      </c>
      <c r="C9" s="7" t="inlineStr">
        <is>
          <t>reserves target</t>
        </is>
      </c>
    </row>
    <row r="10">
      <c r="A10" t="inlineStr">
        <is>
          <t>Gap</t>
        </is>
      </c>
      <c r="B10" s="8">
        <f>Workings!B35</f>
        <v/>
      </c>
      <c r="C10" s="7" t="inlineStr">
        <is>
          <t>to reach the target</t>
        </is>
      </c>
    </row>
    <row r="11">
      <c r="A11" t="inlineStr">
        <is>
          <t>Runway in August</t>
        </is>
      </c>
      <c r="B11" s="6">
        <f>Workings!B45</f>
        <v/>
      </c>
      <c r="C11" s="7" t="inlineStr">
        <is>
          <t>at August's rate of spending</t>
        </is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Unrestricted cash ($324,680, after setting aside unspent grant money) would cover 2.0 months of spending at September's rate of spending, short of the 3.0 months target by $164,020.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A reserves plan is the usual next step: how much of each month's surplus goes to reserves, and by when the gap is closed.</t>
        </is>
      </c>
    </row>
    <row r="18"/>
    <row r="19">
      <c r="A19" s="10" t="inlineStr">
        <is>
          <t>Cash at bank, every day (1 Aug to 30 Sep): every month is on the Data sheet.</t>
        </is>
      </c>
    </row>
    <row r="20"/>
    <row r="21"/>
  </sheetData>
  <mergeCells count="3">
    <mergeCell ref="A5:D5"/>
    <mergeCell ref="A17:D17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runway.xlsx&amp;C&amp;8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4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11" t="inlineStr">
        <is>
          <t>Unrestricted cash runway, September 2026</t>
        </is>
      </c>
    </row>
    <row r="6">
      <c r="A6" s="10" t="inlineStr">
        <is>
          <t>(Cash at bank − unspent grant money) ÷ a month's cash spending</t>
        </is>
      </c>
    </row>
    <row r="7">
      <c r="A7" s="4" t="inlineStr"/>
      <c r="B7" s="5" t="inlineStr">
        <is>
          <t>Sep 2026</t>
        </is>
      </c>
    </row>
    <row r="8">
      <c r="A8" t="inlineStr">
        <is>
          <t>Cash at bank</t>
        </is>
      </c>
      <c r="B8" s="12" t="n">
        <v>480780</v>
      </c>
    </row>
    <row r="9">
      <c r="A9" t="inlineStr">
        <is>
          <t>Less unspent grant money (belongs to funders' programs)</t>
        </is>
      </c>
      <c r="B9" s="12" t="n">
        <v>-156100</v>
      </c>
    </row>
    <row r="10">
      <c r="A10" t="inlineStr">
        <is>
          <t>Unrestricted cash</t>
        </is>
      </c>
      <c r="B10" s="12">
        <f>B8+B9</f>
        <v/>
      </c>
    </row>
    <row r="11">
      <c r="A11" t="inlineStr">
        <is>
          <t>Cash spending in September (expenses less depreciation)</t>
        </is>
      </c>
      <c r="B11" s="12" t="n">
        <v>162900</v>
      </c>
    </row>
    <row r="12">
      <c r="A12" s="13" t="inlineStr">
        <is>
          <t>Runway</t>
        </is>
      </c>
      <c r="B12" s="14">
        <f>B10/B11</f>
        <v/>
      </c>
    </row>
    <row r="13">
      <c r="A13" s="2" t="inlineStr">
        <is>
          <t>Reserves target: 3.0 months.</t>
        </is>
      </c>
    </row>
    <row r="14"/>
    <row r="15"/>
    <row r="16">
      <c r="A16" s="11" t="inlineStr">
        <is>
          <t>Reserves: how far from 3.0 months?</t>
        </is>
      </c>
    </row>
    <row r="17">
      <c r="A17" s="10" t="inlineStr">
        <is>
          <t>Target months × monthly cash spending − unrestricted cash</t>
        </is>
      </c>
    </row>
    <row r="18">
      <c r="A18" s="4" t="inlineStr"/>
      <c r="B18" s="5" t="inlineStr">
        <is>
          <t>Sep 2026</t>
        </is>
      </c>
    </row>
    <row r="19">
      <c r="A19" t="inlineStr">
        <is>
          <t>Unrestricted cash</t>
        </is>
      </c>
      <c r="B19" s="12" t="n">
        <v>324680</v>
      </c>
    </row>
    <row r="20">
      <c r="A20" t="inlineStr">
        <is>
          <t>A month's cash spending</t>
        </is>
      </c>
      <c r="B20" s="12" t="n">
        <v>162900</v>
      </c>
    </row>
    <row r="21">
      <c r="A21" t="inlineStr">
        <is>
          <t>Runway</t>
        </is>
      </c>
      <c r="B21" s="15">
        <f>B19/B20</f>
        <v/>
      </c>
    </row>
    <row r="22">
      <c r="A22" t="inlineStr">
        <is>
          <t>Reserves target</t>
        </is>
      </c>
      <c r="B22" s="15" t="n">
        <v>3</v>
      </c>
    </row>
    <row r="23">
      <c r="A23" t="inlineStr">
        <is>
          <t>Cash needed for the target</t>
        </is>
      </c>
      <c r="B23" s="12">
        <f>B22*B20</f>
        <v/>
      </c>
    </row>
    <row r="24">
      <c r="A24" s="13" t="inlineStr">
        <is>
          <t>Gap to the target</t>
        </is>
      </c>
      <c r="B24" s="16">
        <f>B23-B19</f>
        <v/>
      </c>
    </row>
    <row r="25"/>
    <row r="26"/>
    <row r="27">
      <c r="A27" s="11" t="inlineStr">
        <is>
          <t>Reserves: how far from 3.0 months?</t>
        </is>
      </c>
    </row>
    <row r="28">
      <c r="A28" s="10" t="inlineStr">
        <is>
          <t>Target months × monthly cash spending − unrestricted cash</t>
        </is>
      </c>
    </row>
    <row r="29">
      <c r="A29" s="4" t="inlineStr"/>
      <c r="B29" s="5" t="inlineStr">
        <is>
          <t>Sep 2026</t>
        </is>
      </c>
    </row>
    <row r="30">
      <c r="A30" t="inlineStr">
        <is>
          <t>Unrestricted cash</t>
        </is>
      </c>
      <c r="B30" s="12" t="n">
        <v>324680</v>
      </c>
    </row>
    <row r="31">
      <c r="A31" t="inlineStr">
        <is>
          <t>A month's cash spending</t>
        </is>
      </c>
      <c r="B31" s="12" t="n">
        <v>162900</v>
      </c>
    </row>
    <row r="32">
      <c r="A32" t="inlineStr">
        <is>
          <t>Runway</t>
        </is>
      </c>
      <c r="B32" s="15">
        <f>B30/B31</f>
        <v/>
      </c>
    </row>
    <row r="33">
      <c r="A33" t="inlineStr">
        <is>
          <t>Reserves target</t>
        </is>
      </c>
      <c r="B33" s="15" t="n">
        <v>3</v>
      </c>
    </row>
    <row r="34">
      <c r="A34" t="inlineStr">
        <is>
          <t>Cash needed for the target</t>
        </is>
      </c>
      <c r="B34" s="12">
        <f>B33*B31</f>
        <v/>
      </c>
    </row>
    <row r="35">
      <c r="A35" s="13" t="inlineStr">
        <is>
          <t>Gap to the target</t>
        </is>
      </c>
      <c r="B35" s="16">
        <f>B34-B30</f>
        <v/>
      </c>
    </row>
    <row r="36"/>
    <row r="37"/>
    <row r="38">
      <c r="A38" s="11" t="inlineStr">
        <is>
          <t>Unrestricted cash runway, August 2026</t>
        </is>
      </c>
    </row>
    <row r="39">
      <c r="A39" s="10" t="inlineStr">
        <is>
          <t>(Cash at bank − unspent grant money) ÷ a month's cash spending</t>
        </is>
      </c>
    </row>
    <row r="40">
      <c r="A40" s="4" t="inlineStr"/>
      <c r="B40" s="5" t="inlineStr">
        <is>
          <t>Aug 2026</t>
        </is>
      </c>
    </row>
    <row r="41">
      <c r="A41" t="inlineStr">
        <is>
          <t>Cash at bank</t>
        </is>
      </c>
      <c r="B41" s="12" t="n">
        <v>525675</v>
      </c>
    </row>
    <row r="42">
      <c r="A42" t="inlineStr">
        <is>
          <t>Less unspent grant money (belongs to funders' programs)</t>
        </is>
      </c>
      <c r="B42" s="12" t="n">
        <v>-221900</v>
      </c>
    </row>
    <row r="43">
      <c r="A43" t="inlineStr">
        <is>
          <t>Unrestricted cash</t>
        </is>
      </c>
      <c r="B43" s="12">
        <f>B41+B42</f>
        <v/>
      </c>
    </row>
    <row r="44">
      <c r="A44" t="inlineStr">
        <is>
          <t>Cash spending in August (expenses less depreciation)</t>
        </is>
      </c>
      <c r="B44" s="12" t="n">
        <v>141200</v>
      </c>
    </row>
    <row r="45">
      <c r="A45" s="13" t="inlineStr">
        <is>
          <t>Runway</t>
        </is>
      </c>
      <c r="B45" s="14">
        <f>B43/B44</f>
        <v/>
      </c>
    </row>
    <row r="46">
      <c r="A46" s="2" t="inlineStr">
        <is>
          <t>Reserves target: 3.0 months.</t>
        </is>
      </c>
    </row>
    <row r="47"/>
    <row r="48"/>
    <row r="49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runway.xlsx&amp;C&amp;8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4" t="inlineStr">
        <is>
          <t>Date</t>
        </is>
      </c>
      <c r="B5" s="5" t="inlineStr">
        <is>
          <t>Status</t>
        </is>
      </c>
      <c r="C5" s="5" t="inlineStr">
        <is>
          <t>Cash at bank</t>
        </is>
      </c>
    </row>
    <row r="6">
      <c r="A6" s="17" t="inlineStr">
        <is>
          <t>2026-08-01</t>
        </is>
      </c>
      <c r="B6" s="17" t="inlineStr">
        <is>
          <t>Locked</t>
        </is>
      </c>
      <c r="C6" s="12" t="n">
        <v>610594</v>
      </c>
    </row>
    <row r="7">
      <c r="A7" s="17" t="inlineStr">
        <is>
          <t>2026-08-02</t>
        </is>
      </c>
      <c r="B7" s="17" t="inlineStr">
        <is>
          <t>Locked</t>
        </is>
      </c>
      <c r="C7" s="12" t="n">
        <v>611188</v>
      </c>
    </row>
    <row r="8">
      <c r="A8" s="17" t="inlineStr">
        <is>
          <t>2026-08-03</t>
        </is>
      </c>
      <c r="B8" s="17" t="inlineStr">
        <is>
          <t>Locked</t>
        </is>
      </c>
      <c r="C8" s="12" t="n">
        <v>613087</v>
      </c>
    </row>
    <row r="9">
      <c r="A9" s="17" t="inlineStr">
        <is>
          <t>2026-08-04</t>
        </is>
      </c>
      <c r="B9" s="17" t="inlineStr">
        <is>
          <t>Locked</t>
        </is>
      </c>
      <c r="C9" s="12" t="n">
        <v>614986</v>
      </c>
    </row>
    <row r="10">
      <c r="A10" s="17" t="inlineStr">
        <is>
          <t>2026-08-05</t>
        </is>
      </c>
      <c r="B10" s="17" t="inlineStr">
        <is>
          <t>Locked</t>
        </is>
      </c>
      <c r="C10" s="12" t="n">
        <v>616885</v>
      </c>
    </row>
    <row r="11">
      <c r="A11" s="17" t="inlineStr">
        <is>
          <t>2026-08-06</t>
        </is>
      </c>
      <c r="B11" s="17" t="inlineStr">
        <is>
          <t>Locked</t>
        </is>
      </c>
      <c r="C11" s="12" t="n">
        <v>571896</v>
      </c>
    </row>
    <row r="12">
      <c r="A12" s="17" t="inlineStr">
        <is>
          <t>2026-08-07</t>
        </is>
      </c>
      <c r="B12" s="17" t="inlineStr">
        <is>
          <t>Locked</t>
        </is>
      </c>
      <c r="C12" s="12" t="n">
        <v>573795</v>
      </c>
    </row>
    <row r="13">
      <c r="A13" s="17" t="inlineStr">
        <is>
          <t>2026-08-08</t>
        </is>
      </c>
      <c r="B13" s="17" t="inlineStr">
        <is>
          <t>Locked</t>
        </is>
      </c>
      <c r="C13" s="12" t="n">
        <v>574389</v>
      </c>
    </row>
    <row r="14">
      <c r="A14" s="17" t="inlineStr">
        <is>
          <t>2026-08-09</t>
        </is>
      </c>
      <c r="B14" s="17" t="inlineStr">
        <is>
          <t>Locked</t>
        </is>
      </c>
      <c r="C14" s="12" t="n">
        <v>574983</v>
      </c>
    </row>
    <row r="15">
      <c r="A15" s="17" t="inlineStr">
        <is>
          <t>2026-08-10</t>
        </is>
      </c>
      <c r="B15" s="17" t="inlineStr">
        <is>
          <t>Locked</t>
        </is>
      </c>
      <c r="C15" s="12" t="n">
        <v>576882</v>
      </c>
    </row>
    <row r="16">
      <c r="A16" s="17" t="inlineStr">
        <is>
          <t>2026-08-11</t>
        </is>
      </c>
      <c r="B16" s="17" t="inlineStr">
        <is>
          <t>Locked</t>
        </is>
      </c>
      <c r="C16" s="12" t="n">
        <v>578781</v>
      </c>
    </row>
    <row r="17">
      <c r="A17" s="17" t="inlineStr">
        <is>
          <t>2026-08-12</t>
        </is>
      </c>
      <c r="B17" s="17" t="inlineStr">
        <is>
          <t>Locked</t>
        </is>
      </c>
      <c r="C17" s="12" t="n">
        <v>579375</v>
      </c>
    </row>
    <row r="18">
      <c r="A18" s="17" t="inlineStr">
        <is>
          <t>2026-08-13</t>
        </is>
      </c>
      <c r="B18" s="17" t="inlineStr">
        <is>
          <t>Locked</t>
        </is>
      </c>
      <c r="C18" s="12" t="n">
        <v>581274</v>
      </c>
    </row>
    <row r="19">
      <c r="A19" s="17" t="inlineStr">
        <is>
          <t>2026-08-14</t>
        </is>
      </c>
      <c r="B19" s="17" t="inlineStr">
        <is>
          <t>Locked</t>
        </is>
      </c>
      <c r="C19" s="12" t="n">
        <v>583173</v>
      </c>
    </row>
    <row r="20">
      <c r="A20" s="17" t="inlineStr">
        <is>
          <t>2026-08-15</t>
        </is>
      </c>
      <c r="B20" s="17" t="inlineStr">
        <is>
          <t>Locked</t>
        </is>
      </c>
      <c r="C20" s="12" t="n">
        <v>583767</v>
      </c>
    </row>
    <row r="21">
      <c r="A21" s="17" t="inlineStr">
        <is>
          <t>2026-08-16</t>
        </is>
      </c>
      <c r="B21" s="17" t="inlineStr">
        <is>
          <t>Locked</t>
        </is>
      </c>
      <c r="C21" s="12" t="n">
        <v>584361</v>
      </c>
    </row>
    <row r="22">
      <c r="A22" s="17" t="inlineStr">
        <is>
          <t>2026-08-17</t>
        </is>
      </c>
      <c r="B22" s="17" t="inlineStr">
        <is>
          <t>Locked</t>
        </is>
      </c>
      <c r="C22" s="12" t="n">
        <v>568010</v>
      </c>
    </row>
    <row r="23">
      <c r="A23" s="17" t="inlineStr">
        <is>
          <t>2026-08-18</t>
        </is>
      </c>
      <c r="B23" s="17" t="inlineStr">
        <is>
          <t>Locked</t>
        </is>
      </c>
      <c r="C23" s="12" t="n">
        <v>569908</v>
      </c>
    </row>
    <row r="24">
      <c r="A24" s="17" t="inlineStr">
        <is>
          <t>2026-08-19</t>
        </is>
      </c>
      <c r="B24" s="17" t="inlineStr">
        <is>
          <t>Locked</t>
        </is>
      </c>
      <c r="C24" s="12" t="n">
        <v>571806</v>
      </c>
    </row>
    <row r="25">
      <c r="A25" s="17" t="inlineStr">
        <is>
          <t>2026-08-20</t>
        </is>
      </c>
      <c r="B25" s="17" t="inlineStr">
        <is>
          <t>Locked</t>
        </is>
      </c>
      <c r="C25" s="12" t="n">
        <v>526817</v>
      </c>
    </row>
    <row r="26">
      <c r="A26" s="17" t="inlineStr">
        <is>
          <t>2026-08-21</t>
        </is>
      </c>
      <c r="B26" s="17" t="inlineStr">
        <is>
          <t>Locked</t>
        </is>
      </c>
      <c r="C26" s="12" t="n">
        <v>528715</v>
      </c>
    </row>
    <row r="27">
      <c r="A27" s="17" t="inlineStr">
        <is>
          <t>2026-08-22</t>
        </is>
      </c>
      <c r="B27" s="17" t="inlineStr">
        <is>
          <t>Locked</t>
        </is>
      </c>
      <c r="C27" s="12" t="n">
        <v>529308</v>
      </c>
    </row>
    <row r="28">
      <c r="A28" s="17" t="inlineStr">
        <is>
          <t>2026-08-23</t>
        </is>
      </c>
      <c r="B28" s="17" t="inlineStr">
        <is>
          <t>Locked</t>
        </is>
      </c>
      <c r="C28" s="12" t="n">
        <v>529901</v>
      </c>
    </row>
    <row r="29">
      <c r="A29" s="17" t="inlineStr">
        <is>
          <t>2026-08-24</t>
        </is>
      </c>
      <c r="B29" s="17" t="inlineStr">
        <is>
          <t>Locked</t>
        </is>
      </c>
      <c r="C29" s="12" t="n">
        <v>531799</v>
      </c>
    </row>
    <row r="30">
      <c r="A30" s="17" t="inlineStr">
        <is>
          <t>2026-08-25</t>
        </is>
      </c>
      <c r="B30" s="17" t="inlineStr">
        <is>
          <t>Locked</t>
        </is>
      </c>
      <c r="C30" s="12" t="n">
        <v>533697</v>
      </c>
    </row>
    <row r="31">
      <c r="A31" s="17" t="inlineStr">
        <is>
          <t>2026-08-26</t>
        </is>
      </c>
      <c r="B31" s="17" t="inlineStr">
        <is>
          <t>Locked</t>
        </is>
      </c>
      <c r="C31" s="12" t="n">
        <v>535595</v>
      </c>
    </row>
    <row r="32">
      <c r="A32" s="17" t="inlineStr">
        <is>
          <t>2026-08-27</t>
        </is>
      </c>
      <c r="B32" s="17" t="inlineStr">
        <is>
          <t>Locked</t>
        </is>
      </c>
      <c r="C32" s="12" t="n">
        <v>537493</v>
      </c>
    </row>
    <row r="33">
      <c r="A33" s="17" t="inlineStr">
        <is>
          <t>2026-08-28</t>
        </is>
      </c>
      <c r="B33" s="17" t="inlineStr">
        <is>
          <t>Locked</t>
        </is>
      </c>
      <c r="C33" s="12" t="n">
        <v>539391</v>
      </c>
    </row>
    <row r="34">
      <c r="A34" s="17" t="inlineStr">
        <is>
          <t>2026-08-29</t>
        </is>
      </c>
      <c r="B34" s="17" t="inlineStr">
        <is>
          <t>Locked</t>
        </is>
      </c>
      <c r="C34" s="12" t="n">
        <v>539984</v>
      </c>
    </row>
    <row r="35">
      <c r="A35" s="17" t="inlineStr">
        <is>
          <t>2026-08-30</t>
        </is>
      </c>
      <c r="B35" s="17" t="inlineStr">
        <is>
          <t>Locked</t>
        </is>
      </c>
      <c r="C35" s="12" t="n">
        <v>540577</v>
      </c>
    </row>
    <row r="36">
      <c r="A36" s="17" t="inlineStr">
        <is>
          <t>2026-08-31</t>
        </is>
      </c>
      <c r="B36" s="17" t="inlineStr">
        <is>
          <t>Locked</t>
        </is>
      </c>
      <c r="C36" s="12" t="n">
        <v>525675</v>
      </c>
    </row>
    <row r="37">
      <c r="A37" s="17" t="inlineStr">
        <is>
          <t>2026-09-01</t>
        </is>
      </c>
      <c r="B37" s="17" t="inlineStr">
        <is>
          <t>Locked</t>
        </is>
      </c>
      <c r="C37" s="12" t="n">
        <v>527865</v>
      </c>
    </row>
    <row r="38">
      <c r="A38" s="17" t="inlineStr">
        <is>
          <t>2026-09-02</t>
        </is>
      </c>
      <c r="B38" s="17" t="inlineStr">
        <is>
          <t>Locked</t>
        </is>
      </c>
      <c r="C38" s="12" t="n">
        <v>530055</v>
      </c>
    </row>
    <row r="39">
      <c r="A39" s="17" t="inlineStr">
        <is>
          <t>2026-09-03</t>
        </is>
      </c>
      <c r="B39" s="17" t="inlineStr">
        <is>
          <t>Locked</t>
        </is>
      </c>
      <c r="C39" s="12" t="n">
        <v>483769</v>
      </c>
    </row>
    <row r="40">
      <c r="A40" s="17" t="inlineStr">
        <is>
          <t>2026-09-04</t>
        </is>
      </c>
      <c r="B40" s="17" t="inlineStr">
        <is>
          <t>Locked</t>
        </is>
      </c>
      <c r="C40" s="12" t="n">
        <v>485958</v>
      </c>
    </row>
    <row r="41">
      <c r="A41" s="17" t="inlineStr">
        <is>
          <t>2026-09-05</t>
        </is>
      </c>
      <c r="B41" s="17" t="inlineStr">
        <is>
          <t>Locked</t>
        </is>
      </c>
      <c r="C41" s="12" t="n">
        <v>486888</v>
      </c>
    </row>
    <row r="42">
      <c r="A42" s="17" t="inlineStr">
        <is>
          <t>2026-09-06</t>
        </is>
      </c>
      <c r="B42" s="17" t="inlineStr">
        <is>
          <t>Locked</t>
        </is>
      </c>
      <c r="C42" s="12" t="n">
        <v>487818</v>
      </c>
    </row>
    <row r="43">
      <c r="A43" s="17" t="inlineStr">
        <is>
          <t>2026-09-07</t>
        </is>
      </c>
      <c r="B43" s="17" t="inlineStr">
        <is>
          <t>Locked</t>
        </is>
      </c>
      <c r="C43" s="12" t="n">
        <v>490007</v>
      </c>
    </row>
    <row r="44">
      <c r="A44" s="17" t="inlineStr">
        <is>
          <t>2026-09-08</t>
        </is>
      </c>
      <c r="B44" s="17" t="inlineStr">
        <is>
          <t>Locked</t>
        </is>
      </c>
      <c r="C44" s="12" t="n">
        <v>492196</v>
      </c>
    </row>
    <row r="45">
      <c r="A45" s="17" t="inlineStr">
        <is>
          <t>2026-09-09</t>
        </is>
      </c>
      <c r="B45" s="17" t="inlineStr">
        <is>
          <t>Locked</t>
        </is>
      </c>
      <c r="C45" s="12" t="n">
        <v>494385</v>
      </c>
    </row>
    <row r="46">
      <c r="A46" s="17" t="inlineStr">
        <is>
          <t>2026-09-10</t>
        </is>
      </c>
      <c r="B46" s="17" t="inlineStr">
        <is>
          <t>Locked</t>
        </is>
      </c>
      <c r="C46" s="12" t="n">
        <v>496574</v>
      </c>
    </row>
    <row r="47">
      <c r="A47" s="17" t="inlineStr">
        <is>
          <t>2026-09-11</t>
        </is>
      </c>
      <c r="B47" s="17" t="inlineStr">
        <is>
          <t>Locked</t>
        </is>
      </c>
      <c r="C47" s="12" t="n">
        <v>498763</v>
      </c>
    </row>
    <row r="48">
      <c r="A48" s="17" t="inlineStr">
        <is>
          <t>2026-09-12</t>
        </is>
      </c>
      <c r="B48" s="17" t="inlineStr">
        <is>
          <t>Locked</t>
        </is>
      </c>
      <c r="C48" s="12" t="n">
        <v>499693</v>
      </c>
    </row>
    <row r="49">
      <c r="A49" s="17" t="inlineStr">
        <is>
          <t>2026-09-13</t>
        </is>
      </c>
      <c r="B49" s="17" t="inlineStr">
        <is>
          <t>Locked</t>
        </is>
      </c>
      <c r="C49" s="12" t="n">
        <v>500623</v>
      </c>
    </row>
    <row r="50">
      <c r="A50" s="17" t="inlineStr">
        <is>
          <t>2026-09-14</t>
        </is>
      </c>
      <c r="B50" s="17" t="inlineStr">
        <is>
          <t>Locked</t>
        </is>
      </c>
      <c r="C50" s="12" t="n">
        <v>502812</v>
      </c>
    </row>
    <row r="51">
      <c r="A51" s="17" t="inlineStr">
        <is>
          <t>2026-09-15</t>
        </is>
      </c>
      <c r="B51" s="17" t="inlineStr">
        <is>
          <t>Locked</t>
        </is>
      </c>
      <c r="C51" s="12" t="n">
        <v>481738</v>
      </c>
    </row>
    <row r="52">
      <c r="A52" s="17" t="inlineStr">
        <is>
          <t>2026-09-16</t>
        </is>
      </c>
      <c r="B52" s="17" t="inlineStr">
        <is>
          <t>Locked</t>
        </is>
      </c>
      <c r="C52" s="12" t="n">
        <v>483927</v>
      </c>
    </row>
    <row r="53">
      <c r="A53" s="17" t="inlineStr">
        <is>
          <t>2026-09-17</t>
        </is>
      </c>
      <c r="B53" s="17" t="inlineStr">
        <is>
          <t>Locked</t>
        </is>
      </c>
      <c r="C53" s="12" t="n">
        <v>437641</v>
      </c>
    </row>
    <row r="54">
      <c r="A54" s="17" t="inlineStr">
        <is>
          <t>2026-09-18</t>
        </is>
      </c>
      <c r="B54" s="17" t="inlineStr">
        <is>
          <t>Locked</t>
        </is>
      </c>
      <c r="C54" s="12" t="n">
        <v>439830</v>
      </c>
    </row>
    <row r="55">
      <c r="A55" s="17" t="inlineStr">
        <is>
          <t>2026-09-19</t>
        </is>
      </c>
      <c r="B55" s="17" t="inlineStr">
        <is>
          <t>Locked</t>
        </is>
      </c>
      <c r="C55" s="12" t="n">
        <v>482360</v>
      </c>
    </row>
    <row r="56">
      <c r="A56" s="17" t="inlineStr">
        <is>
          <t>2026-09-20</t>
        </is>
      </c>
      <c r="B56" s="17" t="inlineStr">
        <is>
          <t>Locked</t>
        </is>
      </c>
      <c r="C56" s="12" t="n">
        <v>483290</v>
      </c>
    </row>
    <row r="57">
      <c r="A57" s="17" t="inlineStr">
        <is>
          <t>2026-09-21</t>
        </is>
      </c>
      <c r="B57" s="17" t="inlineStr">
        <is>
          <t>Locked</t>
        </is>
      </c>
      <c r="C57" s="12" t="n">
        <v>485479</v>
      </c>
    </row>
    <row r="58">
      <c r="A58" s="17" t="inlineStr">
        <is>
          <t>2026-09-22</t>
        </is>
      </c>
      <c r="B58" s="17" t="inlineStr">
        <is>
          <t>Locked</t>
        </is>
      </c>
      <c r="C58" s="12" t="n">
        <v>487668</v>
      </c>
    </row>
    <row r="59">
      <c r="A59" s="17" t="inlineStr">
        <is>
          <t>2026-09-23</t>
        </is>
      </c>
      <c r="B59" s="17" t="inlineStr">
        <is>
          <t>Locked</t>
        </is>
      </c>
      <c r="C59" s="12" t="n">
        <v>489857</v>
      </c>
    </row>
    <row r="60">
      <c r="A60" s="17" t="inlineStr">
        <is>
          <t>2026-09-24</t>
        </is>
      </c>
      <c r="B60" s="17" t="inlineStr">
        <is>
          <t>Locked</t>
        </is>
      </c>
      <c r="C60" s="12" t="n">
        <v>492046</v>
      </c>
    </row>
    <row r="61">
      <c r="A61" s="17" t="inlineStr">
        <is>
          <t>2026-09-25</t>
        </is>
      </c>
      <c r="B61" s="17" t="inlineStr">
        <is>
          <t>Locked</t>
        </is>
      </c>
      <c r="C61" s="12" t="n">
        <v>494235</v>
      </c>
    </row>
    <row r="62">
      <c r="A62" s="17" t="inlineStr">
        <is>
          <t>2026-09-26</t>
        </is>
      </c>
      <c r="B62" s="17" t="inlineStr">
        <is>
          <t>Locked</t>
        </is>
      </c>
      <c r="C62" s="12" t="n">
        <v>495165</v>
      </c>
    </row>
    <row r="63">
      <c r="A63" s="17" t="inlineStr">
        <is>
          <t>2026-09-27</t>
        </is>
      </c>
      <c r="B63" s="17" t="inlineStr">
        <is>
          <t>Locked</t>
        </is>
      </c>
      <c r="C63" s="12" t="n">
        <v>496095</v>
      </c>
    </row>
    <row r="64">
      <c r="A64" s="17" t="inlineStr">
        <is>
          <t>2026-09-28</t>
        </is>
      </c>
      <c r="B64" s="17" t="inlineStr">
        <is>
          <t>Locked</t>
        </is>
      </c>
      <c r="C64" s="12" t="n">
        <v>498284</v>
      </c>
    </row>
    <row r="65">
      <c r="A65" s="17" t="inlineStr">
        <is>
          <t>2026-09-29</t>
        </is>
      </c>
      <c r="B65" s="17" t="inlineStr">
        <is>
          <t>Locked</t>
        </is>
      </c>
      <c r="C65" s="12" t="n">
        <v>500473</v>
      </c>
    </row>
    <row r="66">
      <c r="A66" s="17" t="inlineStr">
        <is>
          <t>2026-09-30</t>
        </is>
      </c>
      <c r="B66" s="17" t="inlineStr">
        <is>
          <t>Locked</t>
        </is>
      </c>
      <c r="C66" s="12" t="n">
        <v>480780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runway.xlsx&amp;C&amp;8 Data retrieved 2pm, Tue 6 Oct 2026&amp;R&amp;8 Page &amp;P of &amp;N</oddFooter>
    <evenHeader/>
    <evenFooter/>
    <firstHeader/>
    <firstFooter/>
  </headerFooter>
  <rowBreaks count="2" manualBreakCount="2">
    <brk id="32" min="0" max="16383" man="1"/>
    <brk id="6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