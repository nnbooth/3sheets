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Area" localSheetId="0">'Report'!$A$1:$D$74</definedName>
    <definedName name="_xlnm.Print_Area" localSheetId="1">'Workings'!$A$1:$B$80</definedName>
    <definedName name="_xlnm.Print_Titles" localSheetId="2">'Data'!$9:$9</definedName>
    <definedName name="_xlnm.Print_Area" localSheetId="2">'Data'!$A$1:$F$15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2F7A5D"/>
      <sz val="12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Full cost of each program, September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$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'Report'!$A$11:$A$16</f>
            </numRef>
          </cat>
          <val>
            <numRef>
              <f>'Report'!$B$11:$B$16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9</row>
      <rowOff>0</rowOff>
    </from>
    <ext cx="540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rogram_cost_Data" displayName="program_cost_Data" ref="A9:F15" headerRowCount="1">
  <autoFilter ref="A9:F15"/>
  <tableColumns count="6">
    <tableColumn id="1" name="Program"/>
    <tableColumn id="2" name="Grant spending, Sep 2026"/>
    <tableColumn id="3" name="Share"/>
    <tableColumn id="4" name="Untied costs share"/>
    <tableColumn id="5" name="Administration share"/>
    <tableColumn id="6" name="Full cost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6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each program really cost?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10 Oct 2026, 9:55pm</t>
        </is>
      </c>
    </row>
    <row r="4"/>
    <row r="5" ht="32" customHeight="1">
      <c r="A5" s="3" t="inlineStr">
        <is>
          <t>In short: Housing support costs $54,094 in full in September: $22,894 more than its grant spending, once its share of shared costs is added.</t>
        </is>
      </c>
    </row>
    <row r="6" ht="32" customHeight="1">
      <c r="A6" s="4" t="inlineStr">
        <is>
          <t>Each program's full cost: what its grant pays for, plus its fair share of the costs no single grant covers (untied program costs and administration, shared by grant spending). Pick a program and every chart and note follows it.</t>
        </is>
      </c>
    </row>
    <row r="7"/>
    <row r="8">
      <c r="A8" s="5" t="inlineStr">
        <is>
          <t>Program: All programs</t>
        </is>
      </c>
    </row>
    <row r="9">
      <c r="A9" s="6" t="inlineStr">
        <is>
          <t>Full cost of each program, September 2026</t>
        </is>
      </c>
    </row>
    <row r="10">
      <c r="A10" s="7" t="inlineStr"/>
      <c r="B10" s="8" t="inlineStr">
        <is>
          <t>$</t>
        </is>
      </c>
      <c r="C10" s="8" t="inlineStr">
        <is>
          <t>% of total</t>
        </is>
      </c>
    </row>
    <row r="11">
      <c r="A11" t="inlineStr">
        <is>
          <t>Housing support</t>
        </is>
      </c>
      <c r="B11" s="9">
        <f>Workings!B15</f>
        <v/>
      </c>
      <c r="C11" s="10">
        <f>Workings!B10</f>
        <v/>
      </c>
    </row>
    <row r="12">
      <c r="A12" t="inlineStr">
        <is>
          <t>Youth outreach</t>
        </is>
      </c>
      <c r="B12" s="9">
        <f>Workings!B28</f>
        <v/>
      </c>
      <c r="C12" s="10">
        <f>Workings!B23</f>
        <v/>
      </c>
    </row>
    <row r="13">
      <c r="A13" t="inlineStr">
        <is>
          <t>Mental health first aid</t>
        </is>
      </c>
      <c r="B13" s="9">
        <f>Workings!B41</f>
        <v/>
      </c>
      <c r="C13" s="10">
        <f>Workings!B36</f>
        <v/>
      </c>
    </row>
    <row r="14">
      <c r="A14" t="inlineStr">
        <is>
          <t>Digital literacy</t>
        </is>
      </c>
      <c r="B14" s="9">
        <f>Workings!B54</f>
        <v/>
      </c>
      <c r="C14" s="10">
        <f>Workings!B49</f>
        <v/>
      </c>
    </row>
    <row r="15">
      <c r="A15" t="inlineStr">
        <is>
          <t>Community meals</t>
        </is>
      </c>
      <c r="B15" s="9">
        <f>Workings!B67</f>
        <v/>
      </c>
      <c r="C15" s="10">
        <f>Workings!B62</f>
        <v/>
      </c>
    </row>
    <row r="16">
      <c r="A16" t="inlineStr">
        <is>
          <t>Volunteer coordinator</t>
        </is>
      </c>
      <c r="B16" s="9">
        <f>Workings!B80</f>
        <v/>
      </c>
      <c r="C16" s="10">
        <f>Workings!B75</f>
        <v/>
      </c>
    </row>
    <row r="17"/>
    <row r="18"/>
    <row r="19"/>
    <row r="20"/>
    <row r="21"/>
    <row r="22"/>
    <row r="23"/>
    <row r="24"/>
    <row r="25">
      <c r="A25" s="11" t="inlineStr">
        <is>
          <t>What it shows</t>
        </is>
      </c>
    </row>
    <row r="26" ht="45" customHeight="1">
      <c r="A26" s="4" t="inlineStr">
        <is>
          <t>Housing support is the biggest program: $54,094 in September once its share of untied program costs and administration is added to $31,200 of grant spending. Shared costs add 73.4% on top of grant spending across all programs.</t>
        </is>
      </c>
    </row>
    <row r="27"/>
    <row r="28">
      <c r="A28" s="11" t="inlineStr">
        <is>
          <t>What you'd do about it</t>
        </is>
      </c>
    </row>
    <row r="29" ht="30" customHeight="1">
      <c r="A29" s="4" t="inlineStr">
        <is>
          <t>The full cost (not just the grant line) is the number for renewal applications, where the funder lets you recover a share of overheads. Pick a program above to see it on its own.</t>
        </is>
      </c>
    </row>
    <row r="30"/>
    <row r="31">
      <c r="A31" s="5" t="inlineStr">
        <is>
          <t>Program: Housing support</t>
        </is>
      </c>
    </row>
    <row r="32">
      <c r="A32" s="11" t="inlineStr">
        <is>
          <t>What it shows</t>
        </is>
      </c>
    </row>
    <row r="33" ht="45" customHeight="1">
      <c r="A33" s="4" t="inlineStr">
        <is>
          <t>Housing support cost $54,094 in full in September: $31,200 paid by the State Housing Program grant, and $22,894 of shared costs no grant covers. It has spent 95.4% of its budget to date, with $102,300 left and 3 months to go.</t>
        </is>
      </c>
    </row>
    <row r="34"/>
    <row r="35">
      <c r="A35" s="11" t="inlineStr">
        <is>
          <t>What you'd do about it</t>
        </is>
      </c>
    </row>
    <row r="36" ht="30" customHeight="1">
      <c r="A36" s="4" t="inlineStr">
        <is>
          <t>The full cost is $54,094 a month; $22,894 of it is shared cost the grant doesn't pay for. Worth asking for as much of it as the funder allows at renewal.</t>
        </is>
      </c>
    </row>
    <row r="37"/>
    <row r="38">
      <c r="A38" s="5" t="inlineStr">
        <is>
          <t>Program: Youth outreach</t>
        </is>
      </c>
    </row>
    <row r="39">
      <c r="A39" s="11" t="inlineStr">
        <is>
          <t>What it shows</t>
        </is>
      </c>
    </row>
    <row r="40" ht="45" customHeight="1">
      <c r="A40" s="4" t="inlineStr">
        <is>
          <t>Youth outreach cost $39,530 in full in September: $22,800 paid by the State Department of Families grant, and $16,730 of shared costs no grant covers. It has spent 102.1% of its budget to date, with $173,700 left and 9 months to go.</t>
        </is>
      </c>
    </row>
    <row r="41"/>
    <row r="42">
      <c r="A42" s="11" t="inlineStr">
        <is>
          <t>What you'd do about it</t>
        </is>
      </c>
    </row>
    <row r="43" ht="30" customHeight="1">
      <c r="A43" s="4" t="inlineStr">
        <is>
          <t>The full cost is $39,530 a month; $16,730 of it is shared cost the grant doesn't pay for. Worth asking for as much of it as the funder allows at renewal.</t>
        </is>
      </c>
    </row>
    <row r="44"/>
    <row r="45">
      <c r="A45" s="5" t="inlineStr">
        <is>
          <t>Program: Mental health first aid</t>
        </is>
      </c>
    </row>
    <row r="46">
      <c r="A46" s="11" t="inlineStr">
        <is>
          <t>What it shows</t>
        </is>
      </c>
    </row>
    <row r="47" ht="45" customHeight="1">
      <c r="A47" s="4" t="inlineStr">
        <is>
          <t>Mental health first aid cost $18,725 in full in September: $10,800 paid by the Federal health program grant, and $7,925 of shared costs no grant covers. It has spent 95.3% of its budget to date, with $62,800 left and 6 months to go.</t>
        </is>
      </c>
    </row>
    <row r="48"/>
    <row r="49">
      <c r="A49" s="11" t="inlineStr">
        <is>
          <t>What you'd do about it</t>
        </is>
      </c>
    </row>
    <row r="50" ht="30" customHeight="1">
      <c r="A50" s="4" t="inlineStr">
        <is>
          <t>The full cost is $18,725 a month; $7,925 of it is shared cost the grant doesn't pay for. Worth asking for as much of it as the funder allows at renewal.</t>
        </is>
      </c>
    </row>
    <row r="51"/>
    <row r="52">
      <c r="A52" s="5" t="inlineStr">
        <is>
          <t>Program: Digital literacy</t>
        </is>
      </c>
    </row>
    <row r="53">
      <c r="A53" s="11" t="inlineStr">
        <is>
          <t>What it shows</t>
        </is>
      </c>
    </row>
    <row r="54" ht="45" customHeight="1">
      <c r="A54" s="4" t="inlineStr">
        <is>
          <t>Digital literacy cost $8,495 in full in September: $4,900 paid by the Philanthropic foundation grant, and $3,595 of shared costs no grant covers. It has spent 99.3% of its budget to date, with $30,400 left and 6 months to go.</t>
        </is>
      </c>
    </row>
    <row r="55"/>
    <row r="56">
      <c r="A56" s="11" t="inlineStr">
        <is>
          <t>What you'd do about it</t>
        </is>
      </c>
    </row>
    <row r="57" ht="30" customHeight="1">
      <c r="A57" s="4" t="inlineStr">
        <is>
          <t>The full cost is $8,495 a month; $3,595 of it is shared cost the grant doesn't pay for. Worth asking for as much of it as the funder allows at renewal.</t>
        </is>
      </c>
    </row>
    <row r="58"/>
    <row r="59">
      <c r="A59" s="5" t="inlineStr">
        <is>
          <t>Program: Community meals</t>
        </is>
      </c>
    </row>
    <row r="60">
      <c r="A60" s="11" t="inlineStr">
        <is>
          <t>What it shows</t>
        </is>
      </c>
    </row>
    <row r="61" ht="45" customHeight="1">
      <c r="A61" s="4" t="inlineStr">
        <is>
          <t>Community meals cost $7,455 in full in September: $4,300 paid by the Local council community grant grant, and $3,155 of shared costs no grant covers. It has spent 100.0% of its budget to date, with $36,000 left and 9 months to go.</t>
        </is>
      </c>
    </row>
    <row r="62"/>
    <row r="63">
      <c r="A63" s="11" t="inlineStr">
        <is>
          <t>What you'd do about it</t>
        </is>
      </c>
    </row>
    <row r="64" ht="30" customHeight="1">
      <c r="A64" s="4" t="inlineStr">
        <is>
          <t>The full cost is $7,455 a month; $3,155 of it is shared cost the grant doesn't pay for. Worth asking for as much of it as the funder allows at renewal.</t>
        </is>
      </c>
    </row>
    <row r="65"/>
    <row r="66">
      <c r="A66" s="5" t="inlineStr">
        <is>
          <t>Program: Volunteer coordinator</t>
        </is>
      </c>
    </row>
    <row r="67">
      <c r="A67" s="11" t="inlineStr">
        <is>
          <t>What it shows</t>
        </is>
      </c>
    </row>
    <row r="68" ht="45" customHeight="1">
      <c r="A68" s="4" t="inlineStr">
        <is>
          <t>Volunteer coordinator cost $5,201 in full in September: $3,000 paid by the State volunteering grant grant, and $2,201 of shared costs no grant covers. It has spent 100.0% of its budget to date, with $15,000 left and 5 months to go.</t>
        </is>
      </c>
    </row>
    <row r="69"/>
    <row r="70">
      <c r="A70" s="11" t="inlineStr">
        <is>
          <t>What you'd do about it</t>
        </is>
      </c>
    </row>
    <row r="71" ht="30" customHeight="1">
      <c r="A71" s="4" t="inlineStr">
        <is>
          <t>The full cost is $5,201 a month; $2,201 of it is shared cost the grant doesn't pay for. Worth asking for as much of it as the funder allows at renewal.</t>
        </is>
      </c>
    </row>
    <row r="72"/>
    <row r="73">
      <c r="A73" s="5" t="inlineStr">
        <is>
          <t>Every program at once</t>
        </is>
      </c>
    </row>
    <row r="74">
      <c r="A74" s="12" t="inlineStr">
        <is>
          <t>Grant spending, by month: every month is on the Data sheet.</t>
        </is>
      </c>
    </row>
    <row r="75"/>
    <row r="76"/>
  </sheetData>
  <mergeCells count="16">
    <mergeCell ref="A5:D5"/>
    <mergeCell ref="A40:D40"/>
    <mergeCell ref="A61:D61"/>
    <mergeCell ref="A6:D6"/>
    <mergeCell ref="A50:D50"/>
    <mergeCell ref="A68:D68"/>
    <mergeCell ref="A26:D26"/>
    <mergeCell ref="A54:D54"/>
    <mergeCell ref="A29:D29"/>
    <mergeCell ref="A64:D64"/>
    <mergeCell ref="A43:D43"/>
    <mergeCell ref="A57:D57"/>
    <mergeCell ref="A33:D33"/>
    <mergeCell ref="A71:D71"/>
    <mergeCell ref="A47:D47"/>
    <mergeCell ref="A36:D3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3" manualBreakCount="3">
    <brk id="24" min="0" max="16383" man="1"/>
    <brk id="45" min="0" max="16383" man="1"/>
    <brk id="66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8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10 Oct 2026, 9:55pm</t>
        </is>
      </c>
    </row>
    <row r="4"/>
    <row r="5">
      <c r="A5" s="5" t="inlineStr">
        <is>
          <t>Housing support: full cost, September</t>
        </is>
      </c>
    </row>
    <row r="6">
      <c r="A6" s="12" t="inlineStr">
        <is>
          <t>Grant spending + its share of untied program costs and administration (shared by grant spending)</t>
        </is>
      </c>
    </row>
    <row r="7">
      <c r="A7" s="7" t="inlineStr"/>
      <c r="B7" s="8" t="inlineStr">
        <is>
          <t>Sep 2026</t>
        </is>
      </c>
    </row>
    <row r="8">
      <c r="A8" t="inlineStr">
        <is>
          <t>Grant spending on the program</t>
        </is>
      </c>
      <c r="B8" s="13" t="n">
        <v>31200</v>
      </c>
    </row>
    <row r="9">
      <c r="A9" t="inlineStr">
        <is>
          <t>All grant-funded program spending</t>
        </is>
      </c>
      <c r="B9" s="13" t="n">
        <v>77000</v>
      </c>
    </row>
    <row r="10">
      <c r="A10" t="inlineStr">
        <is>
          <t>Share of program spending</t>
        </is>
      </c>
      <c r="B10" s="14">
        <f>B8/B9</f>
        <v/>
      </c>
    </row>
    <row r="11">
      <c r="A11" t="inlineStr">
        <is>
          <t>Untied program costs (all programs)</t>
        </is>
      </c>
      <c r="B11" s="13" t="n">
        <v>20600</v>
      </c>
    </row>
    <row r="12">
      <c r="A12" t="inlineStr">
        <is>
          <t>Share of untied program costs</t>
        </is>
      </c>
      <c r="B12" s="13">
        <f>B10*B11</f>
        <v/>
      </c>
    </row>
    <row r="13">
      <c r="A13" t="inlineStr">
        <is>
          <t>Administration (all)</t>
        </is>
      </c>
      <c r="B13" s="13" t="n">
        <v>35900</v>
      </c>
    </row>
    <row r="14">
      <c r="A14" t="inlineStr">
        <is>
          <t>Share of administration</t>
        </is>
      </c>
      <c r="B14" s="13">
        <f>B10*B13</f>
        <v/>
      </c>
    </row>
    <row r="15">
      <c r="A15" s="15" t="inlineStr">
        <is>
          <t>Full cost of the program</t>
        </is>
      </c>
      <c r="B15" s="16">
        <f>B8+B12+B14</f>
        <v/>
      </c>
    </row>
    <row r="16"/>
    <row r="17"/>
    <row r="18">
      <c r="A18" s="5" t="inlineStr">
        <is>
          <t>Youth outreach: full cost, September</t>
        </is>
      </c>
    </row>
    <row r="19">
      <c r="A19" s="12" t="inlineStr">
        <is>
          <t>Grant spending + its share of untied program costs and administration (shared by grant spending)</t>
        </is>
      </c>
    </row>
    <row r="20">
      <c r="A20" s="7" t="inlineStr"/>
      <c r="B20" s="8" t="inlineStr">
        <is>
          <t>Sep 2026</t>
        </is>
      </c>
    </row>
    <row r="21">
      <c r="A21" t="inlineStr">
        <is>
          <t>Grant spending on the program</t>
        </is>
      </c>
      <c r="B21" s="13" t="n">
        <v>22800</v>
      </c>
    </row>
    <row r="22">
      <c r="A22" t="inlineStr">
        <is>
          <t>All grant-funded program spending</t>
        </is>
      </c>
      <c r="B22" s="13" t="n">
        <v>77000</v>
      </c>
    </row>
    <row r="23">
      <c r="A23" t="inlineStr">
        <is>
          <t>Share of program spending</t>
        </is>
      </c>
      <c r="B23" s="14">
        <f>B21/B22</f>
        <v/>
      </c>
    </row>
    <row r="24">
      <c r="A24" t="inlineStr">
        <is>
          <t>Untied program costs (all programs)</t>
        </is>
      </c>
      <c r="B24" s="13" t="n">
        <v>20600</v>
      </c>
    </row>
    <row r="25">
      <c r="A25" t="inlineStr">
        <is>
          <t>Share of untied program costs</t>
        </is>
      </c>
      <c r="B25" s="13">
        <f>B23*B24</f>
        <v/>
      </c>
    </row>
    <row r="26">
      <c r="A26" t="inlineStr">
        <is>
          <t>Administration (all)</t>
        </is>
      </c>
      <c r="B26" s="13" t="n">
        <v>35900</v>
      </c>
    </row>
    <row r="27">
      <c r="A27" t="inlineStr">
        <is>
          <t>Share of administration</t>
        </is>
      </c>
      <c r="B27" s="13">
        <f>B23*B26</f>
        <v/>
      </c>
    </row>
    <row r="28">
      <c r="A28" s="15" t="inlineStr">
        <is>
          <t>Full cost of the program</t>
        </is>
      </c>
      <c r="B28" s="16">
        <f>B21+B25+B27</f>
        <v/>
      </c>
    </row>
    <row r="29"/>
    <row r="30"/>
    <row r="31">
      <c r="A31" s="5" t="inlineStr">
        <is>
          <t>Mental health first aid: full cost, September</t>
        </is>
      </c>
    </row>
    <row r="32">
      <c r="A32" s="12" t="inlineStr">
        <is>
          <t>Grant spending + its share of untied program costs and administration (shared by grant spending)</t>
        </is>
      </c>
    </row>
    <row r="33">
      <c r="A33" s="7" t="inlineStr"/>
      <c r="B33" s="8" t="inlineStr">
        <is>
          <t>Sep 2026</t>
        </is>
      </c>
    </row>
    <row r="34">
      <c r="A34" t="inlineStr">
        <is>
          <t>Grant spending on the program</t>
        </is>
      </c>
      <c r="B34" s="13" t="n">
        <v>10800</v>
      </c>
    </row>
    <row r="35">
      <c r="A35" t="inlineStr">
        <is>
          <t>All grant-funded program spending</t>
        </is>
      </c>
      <c r="B35" s="13" t="n">
        <v>77000</v>
      </c>
    </row>
    <row r="36">
      <c r="A36" t="inlineStr">
        <is>
          <t>Share of program spending</t>
        </is>
      </c>
      <c r="B36" s="14">
        <f>B34/B35</f>
        <v/>
      </c>
    </row>
    <row r="37">
      <c r="A37" t="inlineStr">
        <is>
          <t>Untied program costs (all programs)</t>
        </is>
      </c>
      <c r="B37" s="13" t="n">
        <v>20600</v>
      </c>
    </row>
    <row r="38">
      <c r="A38" t="inlineStr">
        <is>
          <t>Share of untied program costs</t>
        </is>
      </c>
      <c r="B38" s="13">
        <f>B36*B37</f>
        <v/>
      </c>
    </row>
    <row r="39">
      <c r="A39" t="inlineStr">
        <is>
          <t>Administration (all)</t>
        </is>
      </c>
      <c r="B39" s="13" t="n">
        <v>35900</v>
      </c>
    </row>
    <row r="40">
      <c r="A40" t="inlineStr">
        <is>
          <t>Share of administration</t>
        </is>
      </c>
      <c r="B40" s="13">
        <f>B36*B39</f>
        <v/>
      </c>
    </row>
    <row r="41">
      <c r="A41" s="15" t="inlineStr">
        <is>
          <t>Full cost of the program</t>
        </is>
      </c>
      <c r="B41" s="16">
        <f>B34+B38+B40</f>
        <v/>
      </c>
    </row>
    <row r="42"/>
    <row r="43"/>
    <row r="44">
      <c r="A44" s="5" t="inlineStr">
        <is>
          <t>Digital literacy: full cost, September</t>
        </is>
      </c>
    </row>
    <row r="45">
      <c r="A45" s="12" t="inlineStr">
        <is>
          <t>Grant spending + its share of untied program costs and administration (shared by grant spending)</t>
        </is>
      </c>
    </row>
    <row r="46">
      <c r="A46" s="7" t="inlineStr"/>
      <c r="B46" s="8" t="inlineStr">
        <is>
          <t>Sep 2026</t>
        </is>
      </c>
    </row>
    <row r="47">
      <c r="A47" t="inlineStr">
        <is>
          <t>Grant spending on the program</t>
        </is>
      </c>
      <c r="B47" s="13" t="n">
        <v>4900</v>
      </c>
    </row>
    <row r="48">
      <c r="A48" t="inlineStr">
        <is>
          <t>All grant-funded program spending</t>
        </is>
      </c>
      <c r="B48" s="13" t="n">
        <v>77000</v>
      </c>
    </row>
    <row r="49">
      <c r="A49" t="inlineStr">
        <is>
          <t>Share of program spending</t>
        </is>
      </c>
      <c r="B49" s="14">
        <f>B47/B48</f>
        <v/>
      </c>
    </row>
    <row r="50">
      <c r="A50" t="inlineStr">
        <is>
          <t>Untied program costs (all programs)</t>
        </is>
      </c>
      <c r="B50" s="13" t="n">
        <v>20600</v>
      </c>
    </row>
    <row r="51">
      <c r="A51" t="inlineStr">
        <is>
          <t>Share of untied program costs</t>
        </is>
      </c>
      <c r="B51" s="13">
        <f>B49*B50</f>
        <v/>
      </c>
    </row>
    <row r="52">
      <c r="A52" t="inlineStr">
        <is>
          <t>Administration (all)</t>
        </is>
      </c>
      <c r="B52" s="13" t="n">
        <v>35900</v>
      </c>
    </row>
    <row r="53">
      <c r="A53" t="inlineStr">
        <is>
          <t>Share of administration</t>
        </is>
      </c>
      <c r="B53" s="13">
        <f>B49*B52</f>
        <v/>
      </c>
    </row>
    <row r="54">
      <c r="A54" s="15" t="inlineStr">
        <is>
          <t>Full cost of the program</t>
        </is>
      </c>
      <c r="B54" s="16">
        <f>B47+B51+B53</f>
        <v/>
      </c>
    </row>
    <row r="55"/>
    <row r="56"/>
    <row r="57">
      <c r="A57" s="5" t="inlineStr">
        <is>
          <t>Community meals: full cost, September</t>
        </is>
      </c>
    </row>
    <row r="58">
      <c r="A58" s="12" t="inlineStr">
        <is>
          <t>Grant spending + its share of untied program costs and administration (shared by grant spending)</t>
        </is>
      </c>
    </row>
    <row r="59">
      <c r="A59" s="7" t="inlineStr"/>
      <c r="B59" s="8" t="inlineStr">
        <is>
          <t>Sep 2026</t>
        </is>
      </c>
    </row>
    <row r="60">
      <c r="A60" t="inlineStr">
        <is>
          <t>Grant spending on the program</t>
        </is>
      </c>
      <c r="B60" s="13" t="n">
        <v>4300</v>
      </c>
    </row>
    <row r="61">
      <c r="A61" t="inlineStr">
        <is>
          <t>All grant-funded program spending</t>
        </is>
      </c>
      <c r="B61" s="13" t="n">
        <v>77000</v>
      </c>
    </row>
    <row r="62">
      <c r="A62" t="inlineStr">
        <is>
          <t>Share of program spending</t>
        </is>
      </c>
      <c r="B62" s="14">
        <f>B60/B61</f>
        <v/>
      </c>
    </row>
    <row r="63">
      <c r="A63" t="inlineStr">
        <is>
          <t>Untied program costs (all programs)</t>
        </is>
      </c>
      <c r="B63" s="13" t="n">
        <v>20600</v>
      </c>
    </row>
    <row r="64">
      <c r="A64" t="inlineStr">
        <is>
          <t>Share of untied program costs</t>
        </is>
      </c>
      <c r="B64" s="13">
        <f>B62*B63</f>
        <v/>
      </c>
    </row>
    <row r="65">
      <c r="A65" t="inlineStr">
        <is>
          <t>Administration (all)</t>
        </is>
      </c>
      <c r="B65" s="13" t="n">
        <v>35900</v>
      </c>
    </row>
    <row r="66">
      <c r="A66" t="inlineStr">
        <is>
          <t>Share of administration</t>
        </is>
      </c>
      <c r="B66" s="13">
        <f>B62*B65</f>
        <v/>
      </c>
    </row>
    <row r="67">
      <c r="A67" s="15" t="inlineStr">
        <is>
          <t>Full cost of the program</t>
        </is>
      </c>
      <c r="B67" s="16">
        <f>B60+B64+B66</f>
        <v/>
      </c>
    </row>
    <row r="68"/>
    <row r="69"/>
    <row r="70">
      <c r="A70" s="5" t="inlineStr">
        <is>
          <t>Volunteer coordinator: full cost, September</t>
        </is>
      </c>
    </row>
    <row r="71">
      <c r="A71" s="12" t="inlineStr">
        <is>
          <t>Grant spending + its share of untied program costs and administration (shared by grant spending)</t>
        </is>
      </c>
    </row>
    <row r="72">
      <c r="A72" s="7" t="inlineStr"/>
      <c r="B72" s="8" t="inlineStr">
        <is>
          <t>Sep 2026</t>
        </is>
      </c>
    </row>
    <row r="73">
      <c r="A73" t="inlineStr">
        <is>
          <t>Grant spending on the program</t>
        </is>
      </c>
      <c r="B73" s="13" t="n">
        <v>3000</v>
      </c>
    </row>
    <row r="74">
      <c r="A74" t="inlineStr">
        <is>
          <t>All grant-funded program spending</t>
        </is>
      </c>
      <c r="B74" s="13" t="n">
        <v>77000</v>
      </c>
    </row>
    <row r="75">
      <c r="A75" t="inlineStr">
        <is>
          <t>Share of program spending</t>
        </is>
      </c>
      <c r="B75" s="14">
        <f>B73/B74</f>
        <v/>
      </c>
    </row>
    <row r="76">
      <c r="A76" t="inlineStr">
        <is>
          <t>Untied program costs (all programs)</t>
        </is>
      </c>
      <c r="B76" s="13" t="n">
        <v>20600</v>
      </c>
    </row>
    <row r="77">
      <c r="A77" t="inlineStr">
        <is>
          <t>Share of untied program costs</t>
        </is>
      </c>
      <c r="B77" s="13">
        <f>B75*B76</f>
        <v/>
      </c>
    </row>
    <row r="78">
      <c r="A78" t="inlineStr">
        <is>
          <t>Administration (all)</t>
        </is>
      </c>
      <c r="B78" s="13" t="n">
        <v>35900</v>
      </c>
    </row>
    <row r="79">
      <c r="A79" t="inlineStr">
        <is>
          <t>Share of administration</t>
        </is>
      </c>
      <c r="B79" s="13">
        <f>B75*B78</f>
        <v/>
      </c>
    </row>
    <row r="80">
      <c r="A80" s="15" t="inlineStr">
        <is>
          <t>Full cost of the program</t>
        </is>
      </c>
      <c r="B80" s="16">
        <f>B73+B77+B79</f>
        <v/>
      </c>
    </row>
    <row r="81"/>
    <row r="82"/>
    <row r="83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30" min="0" max="16383" man="1"/>
    <brk id="56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10 Oct 2026, 9:55pm</t>
        </is>
      </c>
    </row>
    <row r="4"/>
    <row r="5">
      <c r="A5" t="inlineStr">
        <is>
          <t>All grant-funded program spending, September 2026</t>
        </is>
      </c>
      <c r="B5" s="9" t="n">
        <v>77000</v>
      </c>
    </row>
    <row r="6">
      <c r="A6" t="inlineStr">
        <is>
          <t>Untied program costs, September 2026 (all programs)</t>
        </is>
      </c>
      <c r="B6" s="9" t="n">
        <v>20600</v>
      </c>
    </row>
    <row r="7">
      <c r="A7" t="inlineStr">
        <is>
          <t>Administration, September 2026 (all)</t>
        </is>
      </c>
      <c r="B7" s="9" t="n">
        <v>35900</v>
      </c>
    </row>
    <row r="8"/>
    <row r="9">
      <c r="A9" s="7" t="inlineStr">
        <is>
          <t>Program</t>
        </is>
      </c>
      <c r="B9" s="8" t="inlineStr">
        <is>
          <t>Grant spending, Sep 2026</t>
        </is>
      </c>
      <c r="C9" s="8" t="inlineStr">
        <is>
          <t>Share</t>
        </is>
      </c>
      <c r="D9" s="8" t="inlineStr">
        <is>
          <t>Untied costs share</t>
        </is>
      </c>
      <c r="E9" s="8" t="inlineStr">
        <is>
          <t>Administration share</t>
        </is>
      </c>
      <c r="F9" s="8" t="inlineStr">
        <is>
          <t>Full cost</t>
        </is>
      </c>
    </row>
    <row r="10">
      <c r="A10" s="17" t="inlineStr">
        <is>
          <t>Housing support</t>
        </is>
      </c>
      <c r="B10" s="13" t="n">
        <v>31200</v>
      </c>
      <c r="C10" s="14">
        <f>B10/$B$5</f>
        <v/>
      </c>
      <c r="D10" s="13">
        <f>C10*$B$6</f>
        <v/>
      </c>
      <c r="E10" s="13">
        <f>C10*$B$7</f>
        <v/>
      </c>
      <c r="F10" s="13">
        <f>B10+D10+E10</f>
        <v/>
      </c>
    </row>
    <row r="11">
      <c r="A11" s="17" t="inlineStr">
        <is>
          <t>Youth outreach</t>
        </is>
      </c>
      <c r="B11" s="13" t="n">
        <v>22800</v>
      </c>
      <c r="C11" s="14">
        <f>B11/$B$5</f>
        <v/>
      </c>
      <c r="D11" s="13">
        <f>C11*$B$6</f>
        <v/>
      </c>
      <c r="E11" s="13">
        <f>C11*$B$7</f>
        <v/>
      </c>
      <c r="F11" s="13">
        <f>B11+D11+E11</f>
        <v/>
      </c>
    </row>
    <row r="12">
      <c r="A12" s="17" t="inlineStr">
        <is>
          <t>Mental health first aid</t>
        </is>
      </c>
      <c r="B12" s="13" t="n">
        <v>10800</v>
      </c>
      <c r="C12" s="14">
        <f>B12/$B$5</f>
        <v/>
      </c>
      <c r="D12" s="13">
        <f>C12*$B$6</f>
        <v/>
      </c>
      <c r="E12" s="13">
        <f>C12*$B$7</f>
        <v/>
      </c>
      <c r="F12" s="13">
        <f>B12+D12+E12</f>
        <v/>
      </c>
    </row>
    <row r="13">
      <c r="A13" s="17" t="inlineStr">
        <is>
          <t>Digital literacy</t>
        </is>
      </c>
      <c r="B13" s="13" t="n">
        <v>4900</v>
      </c>
      <c r="C13" s="14">
        <f>B13/$B$5</f>
        <v/>
      </c>
      <c r="D13" s="13">
        <f>C13*$B$6</f>
        <v/>
      </c>
      <c r="E13" s="13">
        <f>C13*$B$7</f>
        <v/>
      </c>
      <c r="F13" s="13">
        <f>B13+D13+E13</f>
        <v/>
      </c>
    </row>
    <row r="14">
      <c r="A14" s="17" t="inlineStr">
        <is>
          <t>Community meals</t>
        </is>
      </c>
      <c r="B14" s="13" t="n">
        <v>4300</v>
      </c>
      <c r="C14" s="14">
        <f>B14/$B$5</f>
        <v/>
      </c>
      <c r="D14" s="13">
        <f>C14*$B$6</f>
        <v/>
      </c>
      <c r="E14" s="13">
        <f>C14*$B$7</f>
        <v/>
      </c>
      <c r="F14" s="13">
        <f>B14+D14+E14</f>
        <v/>
      </c>
    </row>
    <row r="15">
      <c r="A15" s="17" t="inlineStr">
        <is>
          <t>Volunteer coordinator</t>
        </is>
      </c>
      <c r="B15" s="13" t="n">
        <v>3000</v>
      </c>
      <c r="C15" s="14">
        <f>B15/$B$5</f>
        <v/>
      </c>
      <c r="D15" s="13">
        <f>C15*$B$6</f>
        <v/>
      </c>
      <c r="E15" s="13">
        <f>C15*$B$7</f>
        <v/>
      </c>
      <c r="F15" s="13">
        <f>B15+D15+E15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 · Generated 10 Oct 2026, 9:55pm&amp;R&amp;"Roboto,Regular"&amp;8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2026-10-10T11:56:58Z</dcterms:created>
  <dcterms:modified xmlns:dcterms="http://purl.org/dc/terms/" xmlns:xsi="http://www.w3.org/2001/XMLSchema-instance" xsi:type="dcterms:W3CDTF">2026-10-10T11:56:58Z</dcterms:modified>
</cp:coreProperties>
</file>