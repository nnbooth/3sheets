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port" sheetId="1" state="visible" r:id="rId1"/>
    <sheet xmlns:r="http://schemas.openxmlformats.org/officeDocument/2006/relationships" name="Workings" sheetId="2" state="visible" r:id="rId2"/>
    <sheet xmlns:r="http://schemas.openxmlformats.org/officeDocument/2006/relationships" name="Data" sheetId="3" state="visible" r:id="rId3"/>
  </sheets>
  <definedNames>
    <definedName name="_xlnm.Print_Titles" localSheetId="2">'Data'!$5:$5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;[Red](#,##0);&quot;-&quot;"/>
    <numFmt numFmtId="165" formatCode="0.0%;[Red](0.0%);&quot;-&quot;"/>
  </numFmts>
  <fonts count="9">
    <font>
      <name val="Calibri"/>
      <family val="2"/>
      <color theme="1"/>
      <sz val="11"/>
      <scheme val="minor"/>
    </font>
    <font>
      <b val="1"/>
      <color rgb="0025342A"/>
      <sz val="14"/>
    </font>
    <font>
      <i val="1"/>
      <color rgb="005F6F63"/>
      <sz val="9"/>
    </font>
    <font>
      <b val="1"/>
      <color rgb="00FFFFFF"/>
    </font>
    <font>
      <b val="1"/>
      <color rgb="002F7A5D"/>
      <sz val="12"/>
    </font>
    <font>
      <i val="1"/>
      <color rgb="005F6F63"/>
    </font>
    <font>
      <b val="1"/>
    </font>
    <font>
      <color rgb="005F6F63"/>
    </font>
    <font>
      <b val="1"/>
      <color rgb="002F7A5D"/>
    </font>
  </fonts>
  <fills count="3">
    <fill>
      <patternFill/>
    </fill>
    <fill>
      <patternFill patternType="gray125"/>
    </fill>
    <fill>
      <patternFill patternType="solid">
        <fgColor rgb="002F7A5D"/>
      </patternFill>
    </fill>
  </fills>
  <borders count="2">
    <border>
      <left/>
      <right/>
      <top/>
      <bottom/>
      <diagonal/>
    </border>
    <border>
      <top style="thin">
        <color rgb="00DCE8DC"/>
      </top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0" fillId="0" borderId="0" applyAlignment="1" pivotButton="0" quotePrefix="0" xfId="0">
      <alignment vertical="top" wrapText="1"/>
    </xf>
    <xf numFmtId="0" fontId="3" fillId="2" borderId="0" applyAlignment="1" pivotButton="0" quotePrefix="0" xfId="0">
      <alignment horizontal="left" vertical="center" wrapText="1"/>
    </xf>
    <xf numFmtId="0" fontId="3" fillId="2" borderId="0" applyAlignment="1" pivotButton="0" quotePrefix="0" xfId="0">
      <alignment horizontal="right" vertical="center" wrapText="1"/>
    </xf>
    <xf numFmtId="164" fontId="0" fillId="0" borderId="0" pivotButton="0" quotePrefix="0" xfId="0"/>
    <xf numFmtId="0" fontId="7" fillId="0" borderId="0" pivotButton="0" quotePrefix="0" xfId="0"/>
    <xf numFmtId="165" fontId="0" fillId="0" borderId="0" pivotButton="0" quotePrefix="0" xfId="0"/>
    <xf numFmtId="0" fontId="5" fillId="0" borderId="0" pivotButton="0" quotePrefix="0" xfId="0"/>
    <xf numFmtId="0" fontId="8" fillId="0" borderId="0" pivotButton="0" quotePrefix="0" xfId="0"/>
    <xf numFmtId="0" fontId="4" fillId="0" borderId="0" pivotButton="0" quotePrefix="0" xfId="0"/>
    <xf numFmtId="164" fontId="0" fillId="0" borderId="0" applyAlignment="1" pivotButton="0" quotePrefix="0" xfId="0">
      <alignment horizontal="right"/>
    </xf>
    <xf numFmtId="0" fontId="6" fillId="0" borderId="1" pivotButton="0" quotePrefix="0" xfId="0"/>
    <xf numFmtId="164" fontId="6" fillId="0" borderId="1" applyAlignment="1" pivotButton="0" quotePrefix="0" xfId="0">
      <alignment horizontal="right"/>
    </xf>
    <xf numFmtId="165" fontId="6" fillId="0" borderId="1" applyAlignment="1" pivotButton="0" quotePrefix="0" xfId="0">
      <alignment horizontal="right"/>
    </xf>
    <xf numFmtId="4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20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20" customWidth="1" min="2" max="2"/>
    <col width="44" customWidth="1" min="3" max="3"/>
    <col width="18" customWidth="1" min="4" max="4"/>
  </cols>
  <sheetData>
    <row r="1">
      <c r="A1" s="1" t="inlineStr">
        <is>
          <t>What does it cost to win a customer?</t>
        </is>
      </c>
    </row>
    <row r="2">
      <c r="A2" s="2" t="inlineStr">
        <is>
          <t>Sample Electrical &amp; Air Pty Ltd · SAMPLE DATA (invented) · The Fourth Sheet</t>
        </is>
      </c>
    </row>
    <row r="3">
      <c r="A3" s="2" t="inlineStr">
        <is>
          <t>Period: July 2026 · Data status: Jun 2026 locked · Jul 2026 locked · Oct 2026 incomplete (data retrieved 2pm, Tue 6 Oct 2026)</t>
        </is>
      </c>
    </row>
    <row r="4"/>
    <row r="5" ht="32" customHeight="1">
      <c r="A5" s="3" t="inlineStr">
        <is>
          <t>Marketing spend divided by the customers it actually brought in (a customer's first ever job), month by month.</t>
        </is>
      </c>
    </row>
    <row r="6"/>
    <row r="7">
      <c r="A7" s="4" t="inlineStr">
        <is>
          <t>Headline number</t>
        </is>
      </c>
      <c r="B7" s="5" t="inlineStr">
        <is>
          <t>Value</t>
        </is>
      </c>
      <c r="C7" s="5" t="inlineStr">
        <is>
          <t>Compared with</t>
        </is>
      </c>
    </row>
    <row r="8">
      <c r="A8" t="inlineStr">
        <is>
          <t>July 2026</t>
        </is>
      </c>
      <c r="B8" s="6">
        <f>Workings!B10</f>
        <v/>
      </c>
      <c r="C8" s="7" t="inlineStr">
        <is>
          <t>June $215</t>
        </is>
      </c>
    </row>
    <row r="9">
      <c r="A9" t="inlineStr">
        <is>
          <t>July last year</t>
        </is>
      </c>
      <c r="B9" s="6">
        <f>Workings!B18</f>
        <v/>
      </c>
      <c r="C9" s="7" t="inlineStr">
        <is>
          <t>28 new customers from $8,400</t>
        </is>
      </c>
    </row>
    <row r="10">
      <c r="A10" t="inlineStr">
        <is>
          <t>Year to date (Jul 2026)</t>
        </is>
      </c>
      <c r="B10" s="8">
        <f>Workings!B30</f>
        <v/>
      </c>
      <c r="C10" s="7" t="inlineStr">
        <is>
          <t>(12.5%) on the same period last year ($300)</t>
        </is>
      </c>
    </row>
    <row r="11"/>
    <row r="12">
      <c r="A12" s="9" t="inlineStr">
        <is>
          <t>Cost to win a customer, by month: every month is on the Data sheet.</t>
        </is>
      </c>
    </row>
    <row r="13"/>
    <row r="14">
      <c r="A14" s="10" t="inlineStr">
        <is>
          <t>What it shows</t>
        </is>
      </c>
    </row>
    <row r="15" ht="30" customHeight="1">
      <c r="A15" s="3" t="inlineStr">
        <is>
          <t>32 new customers came from $8,400 of marketing in July, against 39 from $8,400 in June: $263 each, up from $215.</t>
        </is>
      </c>
    </row>
    <row r="16"/>
    <row r="17">
      <c r="A17" s="10" t="inlineStr">
        <is>
          <t>What you'd do about it</t>
        </is>
      </c>
    </row>
    <row r="18" ht="30" customHeight="1">
      <c r="A18" s="3" t="inlineStr">
        <is>
          <t>Worth knowing which channels brought this month's customers in: recording the source of each new customer shows the cost per channel.</t>
        </is>
      </c>
    </row>
    <row r="19"/>
    <row r="20"/>
  </sheetData>
  <mergeCells count="3">
    <mergeCell ref="A5:D5"/>
    <mergeCell ref="A18:D18"/>
    <mergeCell ref="A15:D15"/>
  </mergeCells>
  <printOptions horizontalCentered="1"/>
  <pageMargins left="0.5" right="0.5" top="0.75" bottom="0.75" header="0.5" footer="0.5"/>
  <pageSetup orientation="landscape" paperSize="9" fitToHeight="0" fitToWidth="1"/>
  <headerFooter>
    <oddHeader>&amp;L&amp;8 Sample Electrical &amp;&amp; Air Pty Ltd&amp;R&amp;8 &amp;A</oddHeader>
    <oddFooter>&amp;L&amp;8 cost-to-win.xlsx&amp;C&amp;8 Data retrieved 2pm, Tue 6 Oct 2026&amp;R&amp;8 Page &amp;P of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33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20" customWidth="1" min="2" max="2"/>
    <col width="20" customWidth="1" min="3" max="3"/>
    <col width="20" customWidth="1" min="4" max="4"/>
  </cols>
  <sheetData>
    <row r="1">
      <c r="A1" s="1" t="inlineStr">
        <is>
          <t>How each number is worked out</t>
        </is>
      </c>
    </row>
    <row r="2">
      <c r="A2" s="2" t="inlineStr">
        <is>
          <t>Sample Electrical &amp; Air Pty Ltd · SAMPLE DATA (invented) · The Fourth Sheet</t>
        </is>
      </c>
    </row>
    <row r="3">
      <c r="A3" s="2" t="inlineStr">
        <is>
          <t>Period: July 2026 · Data status: Jun 2026 locked · Jul 2026 locked · Oct 2026 incomplete (data retrieved 2pm, Tue 6 Oct 2026)</t>
        </is>
      </c>
    </row>
    <row r="4"/>
    <row r="5">
      <c r="A5" s="11" t="inlineStr">
        <is>
          <t>Cost to win a customer, July and June</t>
        </is>
      </c>
    </row>
    <row r="6">
      <c r="A6" s="9" t="inlineStr">
        <is>
          <t>Marketing spend ÷ new customers</t>
        </is>
      </c>
    </row>
    <row r="7">
      <c r="A7" s="4" t="inlineStr"/>
      <c r="B7" s="5" t="inlineStr">
        <is>
          <t>Jul 26</t>
        </is>
      </c>
      <c r="C7" s="5" t="inlineStr">
        <is>
          <t>Jun 26</t>
        </is>
      </c>
    </row>
    <row r="8">
      <c r="A8" t="inlineStr">
        <is>
          <t>Marketing spend (ledger)</t>
        </is>
      </c>
      <c r="B8" s="12" t="n">
        <v>8400</v>
      </c>
      <c r="C8" s="12" t="n">
        <v>8400</v>
      </c>
    </row>
    <row r="9">
      <c r="A9" t="inlineStr">
        <is>
          <t>New customers (first job ever)</t>
        </is>
      </c>
      <c r="B9" s="12" t="n">
        <v>32</v>
      </c>
      <c r="C9" s="12" t="n">
        <v>39</v>
      </c>
    </row>
    <row r="10">
      <c r="A10" s="13" t="inlineStr">
        <is>
          <t>Cost per new customer</t>
        </is>
      </c>
      <c r="B10" s="14">
        <f>B8/B9</f>
        <v/>
      </c>
      <c r="C10" s="14">
        <f>C8/C9</f>
        <v/>
      </c>
    </row>
    <row r="11"/>
    <row r="12"/>
    <row r="13">
      <c r="A13" s="11" t="inlineStr">
        <is>
          <t>Cost to win a customer, Jul 25</t>
        </is>
      </c>
    </row>
    <row r="14">
      <c r="A14" s="9" t="inlineStr">
        <is>
          <t>Marketing spend ÷ new customers</t>
        </is>
      </c>
    </row>
    <row r="15">
      <c r="A15" s="4" t="inlineStr"/>
      <c r="B15" s="5" t="inlineStr">
        <is>
          <t>Jul 25</t>
        </is>
      </c>
    </row>
    <row r="16">
      <c r="A16" t="inlineStr">
        <is>
          <t>Marketing spend (ledger)</t>
        </is>
      </c>
      <c r="B16" s="12" t="n">
        <v>8400</v>
      </c>
    </row>
    <row r="17">
      <c r="A17" t="inlineStr">
        <is>
          <t>New customers (first job ever)</t>
        </is>
      </c>
      <c r="B17" s="12" t="n">
        <v>28</v>
      </c>
    </row>
    <row r="18">
      <c r="A18" s="13" t="inlineStr">
        <is>
          <t>Cost per new customer</t>
        </is>
      </c>
      <c r="B18" s="14">
        <f>B16/B17</f>
        <v/>
      </c>
    </row>
    <row r="19"/>
    <row r="20"/>
    <row r="21">
      <c r="A21" s="11" t="inlineStr">
        <is>
          <t>Cost to win a customer, year to date against the same period last year</t>
        </is>
      </c>
    </row>
    <row r="22">
      <c r="A22" s="9" t="inlineStr">
        <is>
          <t>Total marketing ÷ total new customers, for each period</t>
        </is>
      </c>
    </row>
    <row r="23">
      <c r="A23" s="4" t="inlineStr"/>
      <c r="B23" s="5" t="inlineStr">
        <is>
          <t>Year to date</t>
        </is>
      </c>
    </row>
    <row r="24">
      <c r="A24" t="inlineStr">
        <is>
          <t>Marketing, Jul 2026</t>
        </is>
      </c>
      <c r="B24" s="12" t="n">
        <v>8400</v>
      </c>
    </row>
    <row r="25">
      <c r="A25" t="inlineStr">
        <is>
          <t>New customers, Jul 2026</t>
        </is>
      </c>
      <c r="B25" s="12" t="n">
        <v>32</v>
      </c>
    </row>
    <row r="26">
      <c r="A26" t="inlineStr">
        <is>
          <t>Cost per customer, year to date</t>
        </is>
      </c>
      <c r="B26" s="12">
        <f>B24/B25</f>
        <v/>
      </c>
    </row>
    <row r="27">
      <c r="A27" t="inlineStr">
        <is>
          <t>Marketing, Jul 2025</t>
        </is>
      </c>
      <c r="B27" s="12" t="n">
        <v>8400</v>
      </c>
    </row>
    <row r="28">
      <c r="A28" t="inlineStr">
        <is>
          <t>New customers, Jul 2025</t>
        </is>
      </c>
      <c r="B28" s="12" t="n">
        <v>28</v>
      </c>
    </row>
    <row r="29">
      <c r="A29" t="inlineStr">
        <is>
          <t>Cost per customer, same period last year</t>
        </is>
      </c>
      <c r="B29" s="12">
        <f>B27/B28</f>
        <v/>
      </c>
    </row>
    <row r="30">
      <c r="A30" s="13" t="inlineStr">
        <is>
          <t>Change</t>
        </is>
      </c>
      <c r="B30" s="15">
        <f>B26/B29-1</f>
        <v/>
      </c>
    </row>
    <row r="31"/>
    <row r="32"/>
    <row r="33"/>
  </sheetData>
  <printOptions horizontalCentered="1"/>
  <pageMargins left="0.5" right="0.5" top="0.75" bottom="0.75" header="0.5" footer="0.5"/>
  <pageSetup orientation="landscape" paperSize="9" fitToHeight="0" fitToWidth="1"/>
  <headerFooter>
    <oddHeader>&amp;L&amp;8 Sample Electrical &amp;&amp; Air Pty Ltd&amp;R&amp;8 &amp;A</oddHeader>
    <oddFooter>&amp;L&amp;8 cost-to-win.xlsx&amp;C&amp;8 Data retrieved 2pm, Tue 6 Oct 2026&amp;R&amp;8 Page &amp;P of &amp;N</oddFooter>
    <evenHeader/>
    <evenFooter/>
    <firstHeader/>
    <firstFooter/>
  </headerFooter>
  <rowBreaks count="1" manualBreakCount="1">
    <brk id="20" min="0" max="16383" man="1"/>
  </rowBreak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E27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1" t="inlineStr">
        <is>
          <t>Data</t>
        </is>
      </c>
    </row>
    <row r="2">
      <c r="A2" s="2" t="inlineStr">
        <is>
          <t>Sample Electrical &amp; Air Pty Ltd · SAMPLE DATA (invented) · The Fourth Sheet</t>
        </is>
      </c>
    </row>
    <row r="3">
      <c r="A3" s="2" t="inlineStr">
        <is>
          <t>Period: July 2026 · Data status: Jun 2026 locked · Jul 2026 locked · Oct 2026 incomplete (data retrieved 2pm, Tue 6 Oct 2026)</t>
        </is>
      </c>
    </row>
    <row r="4"/>
    <row r="5">
      <c r="A5" s="4" t="inlineStr">
        <is>
          <t>Month</t>
        </is>
      </c>
      <c r="B5" s="5" t="inlineStr">
        <is>
          <t>Status</t>
        </is>
      </c>
      <c r="C5" s="5" t="inlineStr">
        <is>
          <t>Marketing spend</t>
        </is>
      </c>
      <c r="D5" s="5" t="inlineStr">
        <is>
          <t>New customers</t>
        </is>
      </c>
      <c r="E5" s="5" t="inlineStr">
        <is>
          <t>Cost per new customer</t>
        </is>
      </c>
    </row>
    <row r="6">
      <c r="A6" s="16" t="inlineStr">
        <is>
          <t>Oct 24</t>
        </is>
      </c>
      <c r="B6" s="16" t="inlineStr">
        <is>
          <t>Locked</t>
        </is>
      </c>
      <c r="C6" s="12" t="n">
        <v>8600</v>
      </c>
      <c r="D6" s="12" t="n">
        <v>34</v>
      </c>
      <c r="E6" s="12">
        <f>C6/D6</f>
        <v/>
      </c>
    </row>
    <row r="7">
      <c r="A7" s="16" t="inlineStr">
        <is>
          <t>Nov 24</t>
        </is>
      </c>
      <c r="B7" s="16" t="inlineStr">
        <is>
          <t>Locked</t>
        </is>
      </c>
      <c r="C7" s="12" t="n">
        <v>8400</v>
      </c>
      <c r="D7" s="12" t="n">
        <v>33</v>
      </c>
      <c r="E7" s="12">
        <f>C7/D7</f>
        <v/>
      </c>
    </row>
    <row r="8">
      <c r="A8" s="16" t="inlineStr">
        <is>
          <t>Dec 24</t>
        </is>
      </c>
      <c r="B8" s="16" t="inlineStr">
        <is>
          <t>Locked</t>
        </is>
      </c>
      <c r="C8" s="12" t="n">
        <v>7800</v>
      </c>
      <c r="D8" s="12" t="n">
        <v>37</v>
      </c>
      <c r="E8" s="12">
        <f>C8/D8</f>
        <v/>
      </c>
    </row>
    <row r="9">
      <c r="A9" s="16" t="inlineStr">
        <is>
          <t>Jan 25</t>
        </is>
      </c>
      <c r="B9" s="16" t="inlineStr">
        <is>
          <t>Locked</t>
        </is>
      </c>
      <c r="C9" s="12" t="n">
        <v>8000</v>
      </c>
      <c r="D9" s="12" t="n">
        <v>40</v>
      </c>
      <c r="E9" s="12">
        <f>C9/D9</f>
        <v/>
      </c>
    </row>
    <row r="10">
      <c r="A10" s="16" t="inlineStr">
        <is>
          <t>Feb 25</t>
        </is>
      </c>
      <c r="B10" s="16" t="inlineStr">
        <is>
          <t>Locked</t>
        </is>
      </c>
      <c r="C10" s="12" t="n">
        <v>8600</v>
      </c>
      <c r="D10" s="12" t="n">
        <v>35</v>
      </c>
      <c r="E10" s="12">
        <f>C10/D10</f>
        <v/>
      </c>
    </row>
    <row r="11">
      <c r="A11" s="16" t="inlineStr">
        <is>
          <t>Mar 25</t>
        </is>
      </c>
      <c r="B11" s="16" t="inlineStr">
        <is>
          <t>Locked</t>
        </is>
      </c>
      <c r="C11" s="12" t="n">
        <v>8400</v>
      </c>
      <c r="D11" s="12" t="n">
        <v>34</v>
      </c>
      <c r="E11" s="12">
        <f>C11/D11</f>
        <v/>
      </c>
    </row>
    <row r="12">
      <c r="A12" s="16" t="inlineStr">
        <is>
          <t>Apr 25</t>
        </is>
      </c>
      <c r="B12" s="16" t="inlineStr">
        <is>
          <t>Locked</t>
        </is>
      </c>
      <c r="C12" s="12" t="n">
        <v>8400</v>
      </c>
      <c r="D12" s="12" t="n">
        <v>30</v>
      </c>
      <c r="E12" s="12">
        <f>C12/D12</f>
        <v/>
      </c>
    </row>
    <row r="13">
      <c r="A13" s="16" t="inlineStr">
        <is>
          <t>May 25</t>
        </is>
      </c>
      <c r="B13" s="16" t="inlineStr">
        <is>
          <t>Locked</t>
        </is>
      </c>
      <c r="C13" s="12" t="n">
        <v>8400</v>
      </c>
      <c r="D13" s="12" t="n">
        <v>31</v>
      </c>
      <c r="E13" s="12">
        <f>C13/D13</f>
        <v/>
      </c>
    </row>
    <row r="14">
      <c r="A14" s="16" t="inlineStr">
        <is>
          <t>Jun 25</t>
        </is>
      </c>
      <c r="B14" s="16" t="inlineStr">
        <is>
          <t>Locked</t>
        </is>
      </c>
      <c r="C14" s="12" t="n">
        <v>8400</v>
      </c>
      <c r="D14" s="12" t="n">
        <v>32</v>
      </c>
      <c r="E14" s="12">
        <f>C14/D14</f>
        <v/>
      </c>
    </row>
    <row r="15">
      <c r="A15" s="16" t="inlineStr">
        <is>
          <t>Jul 25</t>
        </is>
      </c>
      <c r="B15" s="16" t="inlineStr">
        <is>
          <t>Locked</t>
        </is>
      </c>
      <c r="C15" s="12" t="n">
        <v>8400</v>
      </c>
      <c r="D15" s="12" t="n">
        <v>28</v>
      </c>
      <c r="E15" s="12">
        <f>C15/D15</f>
        <v/>
      </c>
    </row>
    <row r="16">
      <c r="A16" s="16" t="inlineStr">
        <is>
          <t>Aug 25</t>
        </is>
      </c>
      <c r="B16" s="16" t="inlineStr">
        <is>
          <t>Locked</t>
        </is>
      </c>
      <c r="C16" s="12" t="n">
        <v>8400</v>
      </c>
      <c r="D16" s="12" t="n">
        <v>36</v>
      </c>
      <c r="E16" s="12">
        <f>C16/D16</f>
        <v/>
      </c>
    </row>
    <row r="17">
      <c r="A17" s="16" t="inlineStr">
        <is>
          <t>Sep 25</t>
        </is>
      </c>
      <c r="B17" s="16" t="inlineStr">
        <is>
          <t>Locked</t>
        </is>
      </c>
      <c r="C17" s="12" t="n">
        <v>8600</v>
      </c>
      <c r="D17" s="12" t="n">
        <v>32</v>
      </c>
      <c r="E17" s="12">
        <f>C17/D17</f>
        <v/>
      </c>
    </row>
    <row r="18">
      <c r="A18" s="16" t="inlineStr">
        <is>
          <t>Oct 25</t>
        </is>
      </c>
      <c r="B18" s="16" t="inlineStr">
        <is>
          <t>Locked</t>
        </is>
      </c>
      <c r="C18" s="12" t="n">
        <v>8600</v>
      </c>
      <c r="D18" s="12" t="n">
        <v>33</v>
      </c>
      <c r="E18" s="12">
        <f>C18/D18</f>
        <v/>
      </c>
    </row>
    <row r="19">
      <c r="A19" s="16" t="inlineStr">
        <is>
          <t>Nov 25</t>
        </is>
      </c>
      <c r="B19" s="16" t="inlineStr">
        <is>
          <t>Locked</t>
        </is>
      </c>
      <c r="C19" s="12" t="n">
        <v>8400</v>
      </c>
      <c r="D19" s="12" t="n">
        <v>37</v>
      </c>
      <c r="E19" s="12">
        <f>C19/D19</f>
        <v/>
      </c>
    </row>
    <row r="20">
      <c r="A20" s="16" t="inlineStr">
        <is>
          <t>Dec 25</t>
        </is>
      </c>
      <c r="B20" s="16" t="inlineStr">
        <is>
          <t>Locked</t>
        </is>
      </c>
      <c r="C20" s="12" t="n">
        <v>7800</v>
      </c>
      <c r="D20" s="12" t="n">
        <v>45</v>
      </c>
      <c r="E20" s="12">
        <f>C20/D20</f>
        <v/>
      </c>
    </row>
    <row r="21">
      <c r="A21" s="16" t="inlineStr">
        <is>
          <t>Jan 26</t>
        </is>
      </c>
      <c r="B21" s="16" t="inlineStr">
        <is>
          <t>Locked</t>
        </is>
      </c>
      <c r="C21" s="12" t="n">
        <v>8000</v>
      </c>
      <c r="D21" s="12" t="n">
        <v>44</v>
      </c>
      <c r="E21" s="12">
        <f>C21/D21</f>
        <v/>
      </c>
    </row>
    <row r="22">
      <c r="A22" s="16" t="inlineStr">
        <is>
          <t>Feb 26</t>
        </is>
      </c>
      <c r="B22" s="16" t="inlineStr">
        <is>
          <t>Locked</t>
        </is>
      </c>
      <c r="C22" s="12" t="n">
        <v>8600</v>
      </c>
      <c r="D22" s="12" t="n">
        <v>39</v>
      </c>
      <c r="E22" s="12">
        <f>C22/D22</f>
        <v/>
      </c>
    </row>
    <row r="23">
      <c r="A23" s="16" t="inlineStr">
        <is>
          <t>Mar 26</t>
        </is>
      </c>
      <c r="B23" s="16" t="inlineStr">
        <is>
          <t>Locked</t>
        </is>
      </c>
      <c r="C23" s="12" t="n">
        <v>8400</v>
      </c>
      <c r="D23" s="12" t="n">
        <v>37</v>
      </c>
      <c r="E23" s="12">
        <f>C23/D23</f>
        <v/>
      </c>
    </row>
    <row r="24">
      <c r="A24" s="16" t="inlineStr">
        <is>
          <t>Apr 26</t>
        </is>
      </c>
      <c r="B24" s="16" t="inlineStr">
        <is>
          <t>Locked</t>
        </is>
      </c>
      <c r="C24" s="12" t="n">
        <v>8400</v>
      </c>
      <c r="D24" s="12" t="n">
        <v>35</v>
      </c>
      <c r="E24" s="12">
        <f>C24/D24</f>
        <v/>
      </c>
    </row>
    <row r="25">
      <c r="A25" s="16" t="inlineStr">
        <is>
          <t>May 26</t>
        </is>
      </c>
      <c r="B25" s="16" t="inlineStr">
        <is>
          <t>Locked</t>
        </is>
      </c>
      <c r="C25" s="12" t="n">
        <v>8400</v>
      </c>
      <c r="D25" s="12" t="n">
        <v>36</v>
      </c>
      <c r="E25" s="12">
        <f>C25/D25</f>
        <v/>
      </c>
    </row>
    <row r="26">
      <c r="A26" s="16" t="inlineStr">
        <is>
          <t>Jun 26</t>
        </is>
      </c>
      <c r="B26" s="16" t="inlineStr">
        <is>
          <t>Locked</t>
        </is>
      </c>
      <c r="C26" s="12" t="n">
        <v>8400</v>
      </c>
      <c r="D26" s="12" t="n">
        <v>39</v>
      </c>
      <c r="E26" s="12">
        <f>C26/D26</f>
        <v/>
      </c>
    </row>
    <row r="27">
      <c r="A27" s="16" t="inlineStr">
        <is>
          <t>Jul 26</t>
        </is>
      </c>
      <c r="B27" s="16" t="inlineStr">
        <is>
          <t>Locked</t>
        </is>
      </c>
      <c r="C27" s="12" t="n">
        <v>8400</v>
      </c>
      <c r="D27" s="12" t="n">
        <v>32</v>
      </c>
      <c r="E27" s="12">
        <f>C27/D27</f>
        <v/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&amp;L&amp;8 Sample Electrical &amp;&amp; Air Pty Ltd&amp;R&amp;8 &amp;A</oddHeader>
    <oddFooter>&amp;L&amp;8 cost-to-win.xlsx&amp;C&amp;8 Data retrieved 2pm, Tue 6 Oct 2026&amp;R&amp;8 Page &amp;P of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2026-10-06T07:09:28Z</dcterms:created>
  <dcterms:modified xmlns:dcterms="http://purl.org/dc/terms/" xmlns:xsi="http://www.w3.org/2001/XMLSchema-instance" xsi:type="dcterms:W3CDTF">2026-10-06T07:09:28Z</dcterms:modified>
</cp:coreProperties>
</file>