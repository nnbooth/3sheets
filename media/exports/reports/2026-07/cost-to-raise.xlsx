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ly_all_fundraising">'Report'!$B$10</definedName>
    <definedName name="Year_to_date_Jul_2026">'Report'!$B$11</definedName>
    <definedName name="July_Grants">'Report'!$B$35</definedName>
    <definedName name="Year_to_date_Jul_2026_2">'Report'!$B$36</definedName>
    <definedName name="July_Donations">'Report'!$B$46</definedName>
    <definedName name="Year_to_date_Jul_2026_3">'Report'!$B$47</definedName>
    <definedName name="July_Fundraising_events">'Report'!$B$57</definedName>
    <definedName name="Year_to_date_Jul_2026_4">'Report'!$B$58</definedName>
    <definedName name="_xlnm.Print_Area" localSheetId="0">'Report'!$A$1:$D$67</definedName>
    <definedName name="_xlnm.Print_Area" localSheetId="1">'Workings'!$A$1:$C$89</definedName>
    <definedName name="_xlnm.Print_Titles" localSheetId="2">'Data'!$5:$5</definedName>
    <definedName name="_xlnm.Print_Area" localSheetId="2">'Data'!$A$1:$I$27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July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'Data'!$A$6:$A$27</f>
            </numRef>
          </cat>
          <val>
            <numRef>
              <f>'Data'!$C$6:$C$27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7" headerRowCount="1">
  <autoFilter ref="A5:I27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11¢ in July, and 11¢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July · all fundraising</t>
        </is>
      </c>
      <c r="B10" s="8">
        <f>Workings!B10</f>
        <v/>
      </c>
      <c r="C10" s="9" t="inlineStr">
        <is>
          <t>June 11¢</t>
        </is>
      </c>
    </row>
    <row r="11">
      <c r="A11" t="inlineStr">
        <is>
          <t>Year to date (Jul 2026)</t>
        </is>
      </c>
      <c r="B11" s="8">
        <f>Workings!B18</f>
        <v/>
      </c>
      <c r="C11" s="9" t="inlineStr">
        <is>
          <t>same period last year: 13¢</t>
        </is>
      </c>
    </row>
    <row r="12"/>
    <row r="13">
      <c r="A13" s="10" t="inlineStr">
        <is>
          <t>Cost to raise a dollar, by source, July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10</v>
      </c>
    </row>
    <row r="16">
      <c r="A16" t="inlineStr">
        <is>
          <t>Donations</t>
        </is>
      </c>
      <c r="B16" s="8" t="n">
        <v>15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July cost 11¢ to raise each dollar, against 11¢ in June. This financial year to date it has cost 11¢ a dollar, against 13¢ in the same period last year.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July · Grants</t>
        </is>
      </c>
      <c r="B35" s="8">
        <f>Workings!B41</f>
        <v/>
      </c>
      <c r="C35" s="9" t="inlineStr">
        <is>
          <t>June 10¢</t>
        </is>
      </c>
    </row>
    <row r="36">
      <c r="A36" t="inlineStr">
        <is>
          <t>Year to date (Jul 2026)</t>
        </is>
      </c>
      <c r="B36" s="8">
        <f>Workings!B49</f>
        <v/>
      </c>
      <c r="C36" s="9" t="inlineStr">
        <is>
          <t>same period last year: 12¢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10¢ to raise each dollar this financial year to date ($7,100 of grant writing and reporting for $72,618), against 12¢ in the same period last year.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July · Donations</t>
        </is>
      </c>
      <c r="B46" s="8">
        <f>Workings!B60</f>
        <v/>
      </c>
      <c r="C46" s="9" t="inlineStr">
        <is>
          <t>June 14¢</t>
        </is>
      </c>
    </row>
    <row r="47">
      <c r="A47" t="inlineStr">
        <is>
          <t>Year to date (Jul 2026)</t>
        </is>
      </c>
      <c r="B47" s="8">
        <f>Workings!B68</f>
        <v/>
      </c>
      <c r="C47" s="9" t="inlineStr">
        <is>
          <t>same period last year: 16¢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($2,200 of donor campaigns for $14,300), against 16¢ in the same period last year.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July · Fundraising events</t>
        </is>
      </c>
      <c r="B57" t="inlineStr">
        <is>
          <t>–</t>
        </is>
      </c>
      <c r="C57" s="9" t="inlineStr">
        <is>
          <t>June none raised</t>
        </is>
      </c>
    </row>
    <row r="58">
      <c r="A58" t="inlineStr">
        <is>
          <t>Year to date (Jul 2026)</t>
        </is>
      </c>
      <c r="B58" t="inlineStr">
        <is>
          <t>–</t>
        </is>
      </c>
      <c r="C58" s="9" t="inlineStr">
        <is>
          <t>same period last year: –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– to raise each dollar this financial year to date ($0 of event costs for $0).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July and June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Jul 26</t>
        </is>
      </c>
      <c r="C7" s="7" t="inlineStr">
        <is>
          <t>Jun 26</t>
        </is>
      </c>
    </row>
    <row r="8">
      <c r="A8" t="inlineStr">
        <is>
          <t>Cost of raising it</t>
        </is>
      </c>
      <c r="B8" s="13" t="n">
        <v>9300</v>
      </c>
      <c r="C8" s="13" t="n">
        <v>12600</v>
      </c>
    </row>
    <row r="9">
      <c r="A9" t="inlineStr">
        <is>
          <t>Money raised</t>
        </is>
      </c>
      <c r="B9" s="13" t="n">
        <v>86918</v>
      </c>
      <c r="C9" s="13" t="n">
        <v>110972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9300</v>
      </c>
    </row>
    <row r="17">
      <c r="A17" t="inlineStr">
        <is>
          <t>Raised, year to date</t>
        </is>
      </c>
      <c r="B17" s="13" t="n">
        <v>86918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9300</v>
      </c>
    </row>
    <row r="20">
      <c r="A20" t="inlineStr">
        <is>
          <t>Raised, same period last year</t>
        </is>
      </c>
      <c r="B20" s="13" t="n">
        <v>72563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5" t="inlineStr">
        <is>
          <t>Cost to raise a dollar, by source, July 2026</t>
        </is>
      </c>
    </row>
    <row r="25">
      <c r="A25" s="12" t="inlineStr">
        <is>
          <t>Fundraising cost ÷ money raised, for each source, in cents</t>
        </is>
      </c>
    </row>
    <row r="26">
      <c r="A26" s="6" t="inlineStr"/>
      <c r="B26" s="7" t="inlineStr">
        <is>
          <t>Jul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72618</v>
      </c>
    </row>
    <row r="29">
      <c r="A29" t="inlineStr">
        <is>
          <t>Donations: cost (donor campaigns)</t>
        </is>
      </c>
      <c r="B29" s="13" t="n">
        <v>2200</v>
      </c>
    </row>
    <row r="30">
      <c r="A30" t="inlineStr">
        <is>
          <t>Donations: raised</t>
        </is>
      </c>
      <c r="B30" s="13" t="n">
        <v>14300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 xml:space="preserve">Nothing raised from fundraising events in July. </t>
        </is>
      </c>
    </row>
    <row r="34"/>
    <row r="35"/>
    <row r="36">
      <c r="A36" s="5" t="inlineStr">
        <is>
          <t>Cost to raise a dollar, grants, July and June</t>
        </is>
      </c>
    </row>
    <row r="37">
      <c r="A37" s="12" t="inlineStr">
        <is>
          <t>Cost of raising it ÷ money raised, in cents</t>
        </is>
      </c>
    </row>
    <row r="38">
      <c r="A38" s="6" t="inlineStr"/>
      <c r="B38" s="7" t="inlineStr">
        <is>
          <t>Jul 26</t>
        </is>
      </c>
      <c r="C38" s="7" t="inlineStr">
        <is>
          <t>Jun 26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72618</v>
      </c>
      <c r="C40" s="13" t="n">
        <v>70872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5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6" t="inlineStr"/>
      <c r="B46" s="7" t="inlineStr">
        <is>
          <t>Year to date</t>
        </is>
      </c>
    </row>
    <row r="47">
      <c r="A47" t="inlineStr">
        <is>
          <t>Cost, year to date</t>
        </is>
      </c>
      <c r="B47" s="13" t="n">
        <v>7100</v>
      </c>
    </row>
    <row r="48">
      <c r="A48" t="inlineStr">
        <is>
          <t>Raised, year to date</t>
        </is>
      </c>
      <c r="B48" s="13" t="n">
        <v>72618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7100</v>
      </c>
    </row>
    <row r="51">
      <c r="A51" t="inlineStr">
        <is>
          <t>Raised, same period last year</t>
        </is>
      </c>
      <c r="B51" s="13" t="n">
        <v>59063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5" t="inlineStr">
        <is>
          <t>Cost to raise a dollar, donations, July and June</t>
        </is>
      </c>
    </row>
    <row r="56">
      <c r="A56" s="12" t="inlineStr">
        <is>
          <t>Cost of raising it ÷ money raised, in cents</t>
        </is>
      </c>
    </row>
    <row r="57">
      <c r="A57" s="6" t="inlineStr"/>
      <c r="B57" s="7" t="inlineStr">
        <is>
          <t>Jul 26</t>
        </is>
      </c>
      <c r="C57" s="7" t="inlineStr">
        <is>
          <t>Jun 26</t>
        </is>
      </c>
    </row>
    <row r="58">
      <c r="A58" t="inlineStr">
        <is>
          <t>Cost of raising it</t>
        </is>
      </c>
      <c r="B58" s="13" t="n">
        <v>2200</v>
      </c>
      <c r="C58" s="13" t="n">
        <v>5500</v>
      </c>
    </row>
    <row r="59">
      <c r="A59" t="inlineStr">
        <is>
          <t>Money raised</t>
        </is>
      </c>
      <c r="B59" s="13" t="n">
        <v>14300</v>
      </c>
      <c r="C59" s="13" t="n">
        <v>40100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5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6" t="inlineStr"/>
      <c r="B65" s="7" t="inlineStr">
        <is>
          <t>Year to date</t>
        </is>
      </c>
    </row>
    <row r="66">
      <c r="A66" t="inlineStr">
        <is>
          <t>Cost, year to date</t>
        </is>
      </c>
      <c r="B66" s="13" t="n">
        <v>2200</v>
      </c>
    </row>
    <row r="67">
      <c r="A67" t="inlineStr">
        <is>
          <t>Raised, year to date</t>
        </is>
      </c>
      <c r="B67" s="13" t="n">
        <v>14300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2200</v>
      </c>
    </row>
    <row r="70">
      <c r="A70" t="inlineStr">
        <is>
          <t>Raised, same period last year</t>
        </is>
      </c>
      <c r="B70" s="13" t="n">
        <v>13500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5" t="inlineStr">
        <is>
          <t>Cost to raise a dollar, fundraising events, July and June</t>
        </is>
      </c>
    </row>
    <row r="75">
      <c r="A75" s="12" t="inlineStr">
        <is>
          <t>Cost of raising it ÷ money raised, in cents</t>
        </is>
      </c>
    </row>
    <row r="76">
      <c r="A76" s="6" t="inlineStr"/>
      <c r="B76" s="7" t="inlineStr">
        <is>
          <t>Jul 26</t>
        </is>
      </c>
      <c r="C76" s="7" t="inlineStr">
        <is>
          <t>Jun 26</t>
        </is>
      </c>
    </row>
    <row r="77">
      <c r="A77" t="inlineStr">
        <is>
          <t>Cost of raising it</t>
        </is>
      </c>
      <c r="B77" s="13" t="n">
        <v>0</v>
      </c>
      <c r="C77" s="13" t="n">
        <v>0</v>
      </c>
    </row>
    <row r="78">
      <c r="A78" s="14" t="inlineStr">
        <is>
          <t>Money raised</t>
        </is>
      </c>
      <c r="B78" s="17" t="n">
        <v>0</v>
      </c>
      <c r="C78" s="17" t="n">
        <v>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5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6" t="inlineStr"/>
      <c r="B84" s="7" t="inlineStr">
        <is>
          <t>Year to date</t>
        </is>
      </c>
    </row>
    <row r="85">
      <c r="A85" t="inlineStr">
        <is>
          <t>Cost, year to date</t>
        </is>
      </c>
      <c r="B85" s="13" t="n">
        <v>0</v>
      </c>
    </row>
    <row r="86">
      <c r="A86" t="inlineStr">
        <is>
          <t>Raised, year to date</t>
        </is>
      </c>
      <c r="B86" s="13" t="n">
        <v>0</v>
      </c>
    </row>
    <row r="87">
      <c r="A87" t="inlineStr">
        <is>
          <t>Cents, year to date</t>
        </is>
      </c>
      <c r="B87" s="16">
        <f>IFERROR(B85/B86*100,"–")</f>
        <v/>
      </c>
    </row>
    <row r="88">
      <c r="A88" t="inlineStr">
        <is>
          <t>Cost, same period last year</t>
        </is>
      </c>
      <c r="B88" s="13" t="n">
        <v>0</v>
      </c>
    </row>
    <row r="89">
      <c r="A89" s="14" t="inlineStr">
        <is>
          <t>Raised, same period last year</t>
        </is>
      </c>
      <c r="B89" s="17" t="n">
        <v>0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