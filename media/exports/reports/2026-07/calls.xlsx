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Calls_for_help_July">'Report'!$B$8</definedName>
    <definedName name="Answered_while_staffed_July">'Report'!$B$9</definedName>
    <definedName name="Calls_outside_staffed_hours_July">'Report'!$B$10</definedName>
    <definedName name="Median_wait_when_answered_July">'Report'!$B$11</definedName>
    <definedName name="_xlnm.Print_Area" localSheetId="0">'Report'!$A$1:$D$36</definedName>
    <definedName name="_xlnm.Print_Area" localSheetId="1">'Workings'!$A$1:$C$105</definedName>
    <definedName name="_xlnm.Print_Titles" localSheetId="2">'Data'!$5:$5</definedName>
    <definedName name="_xlnm.Print_Area" localSheetId="2">'Data'!$A$1:$F$27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5342A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8" fillId="0" borderId="0" applyAlignment="1" pivotButton="0" quotePrefix="0" xfId="0">
      <alignment indent="1"/>
    </xf>
    <xf numFmtId="0" fontId="9" fillId="0" borderId="0" pivotButton="0" quotePrefix="0" xfId="0"/>
    <xf numFmtId="164" fontId="0" fillId="0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5" fillId="0" borderId="0" pivotButton="0" quotePrefix="0" xfId="0"/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7" fillId="0" borderId="1" pivotButton="0" quotePrefix="0" xfId="0"/>
    <xf numFmtId="165" fontId="7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When the calls come in, July 2026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Calls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#,##0;(#,##0)"/>
            <showLegendKey val="0"/>
            <showVal val="1"/>
            <showCatName val="0"/>
            <showSerName val="0"/>
            <showPercent val="0"/>
          </dLbls>
          <cat>
            <numRef>
              <f>'Report'!$A$15:$A$21</f>
            </numRef>
          </cat>
          <val>
            <numRef>
              <f>'Report'!$B$15:$B$21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13</row>
      <rowOff>0</rowOff>
    </from>
    <ext cx="5400000" cy="261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calls_Data" displayName="calls_Data" ref="A5:F27" headerRowCount="1">
  <autoFilter ref="A5:F27"/>
  <tableColumns count="6">
    <tableColumn id="1" name="Month"/>
    <tableColumn id="2" name="Status"/>
    <tableColumn id="3" name="Calls"/>
    <tableColumn id="4" name="While staffed"/>
    <tableColumn id="5" name="Answered"/>
    <tableColumn id="6" name="Answered while staffed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38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When do calls for help come in, and are we there to answer?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July 2026 · Data status: Jun 2026 locked · Jul 2026 locked · Oct 2026 incomplete (data retrieved 2pm, Tue 6 Oct 2026) · Generated 8 Oct 2026, 11:41pm</t>
        </is>
      </c>
    </row>
    <row r="4"/>
    <row r="5" ht="32" customHeight="1">
      <c r="A5" s="3" t="inlineStr">
        <is>
          <t>Every call to the help line: when it came in, whether someone answered, and how long the caller waited. The line is staffed 8:30am to 5pm on working days.</t>
        </is>
      </c>
    </row>
    <row r="6"/>
    <row r="7">
      <c r="A7" s="4" t="inlineStr">
        <is>
          <t>Headline number</t>
        </is>
      </c>
      <c r="B7" s="5" t="inlineStr">
        <is>
          <t>Value</t>
        </is>
      </c>
      <c r="C7" s="5" t="inlineStr">
        <is>
          <t>Compared with</t>
        </is>
      </c>
    </row>
    <row r="8">
      <c r="A8" t="inlineStr">
        <is>
          <t>Calls for help, July</t>
        </is>
      </c>
      <c r="B8" s="6">
        <f>Workings!B12</f>
        <v/>
      </c>
      <c r="C8" s="7" t="inlineStr">
        <is>
          <t>June 951</t>
        </is>
      </c>
    </row>
    <row r="9">
      <c r="A9" t="inlineStr">
        <is>
          <t>Answered while staffed, July</t>
        </is>
      </c>
      <c r="B9" s="6">
        <f>Workings!B22</f>
        <v/>
      </c>
      <c r="C9" s="7" t="inlineStr">
        <is>
          <t>target 90.0%</t>
        </is>
      </c>
    </row>
    <row r="10">
      <c r="A10" t="inlineStr">
        <is>
          <t>Calls outside staffed hours, July</t>
        </is>
      </c>
      <c r="B10" s="6">
        <f>Workings!B32</f>
        <v/>
      </c>
      <c r="C10" s="7" t="inlineStr">
        <is>
          <t>467 calls to voicemail</t>
        </is>
      </c>
    </row>
    <row r="11">
      <c r="A11" t="inlineStr">
        <is>
          <t>Median wait when answered, July</t>
        </is>
      </c>
      <c r="B11" s="6">
        <f>Workings!B42</f>
        <v/>
      </c>
      <c r="C11" s="7" t="inlineStr">
        <is>
          <t>384 answered calls</t>
        </is>
      </c>
    </row>
    <row r="12"/>
    <row r="13">
      <c r="A13" s="8" t="inlineStr">
        <is>
          <t>When the calls come in, July 2026</t>
        </is>
      </c>
    </row>
    <row r="14">
      <c r="A14" s="4" t="inlineStr"/>
      <c r="B14" s="5" t="inlineStr">
        <is>
          <t>Calls</t>
        </is>
      </c>
      <c r="C14" s="5" t="inlineStr">
        <is>
          <t>Answered %</t>
        </is>
      </c>
    </row>
    <row r="15">
      <c r="A15" t="inlineStr">
        <is>
          <t>Before 8:30am</t>
        </is>
      </c>
      <c r="B15" s="9">
        <f>Workings!B49</f>
        <v/>
      </c>
      <c r="C15" s="6">
        <f>Workings!B50</f>
        <v/>
      </c>
    </row>
    <row r="16">
      <c r="A16" t="inlineStr">
        <is>
          <t>8:30 to 10am</t>
        </is>
      </c>
      <c r="B16" s="9">
        <f>Workings!B58</f>
        <v/>
      </c>
      <c r="C16" s="6">
        <f>Workings!B59</f>
        <v/>
      </c>
    </row>
    <row r="17">
      <c r="A17" t="inlineStr">
        <is>
          <t>10am to noon</t>
        </is>
      </c>
      <c r="B17" s="9">
        <f>Workings!B67</f>
        <v/>
      </c>
      <c r="C17" s="6">
        <f>Workings!B68</f>
        <v/>
      </c>
    </row>
    <row r="18">
      <c r="A18" t="inlineStr">
        <is>
          <t>Noon to 2pm</t>
        </is>
      </c>
      <c r="B18" s="9">
        <f>Workings!B76</f>
        <v/>
      </c>
      <c r="C18" s="6">
        <f>Workings!B77</f>
        <v/>
      </c>
    </row>
    <row r="19">
      <c r="A19" t="inlineStr">
        <is>
          <t>2 to 5pm</t>
        </is>
      </c>
      <c r="B19" s="9">
        <f>Workings!B85</f>
        <v/>
      </c>
      <c r="C19" s="6">
        <f>Workings!B86</f>
        <v/>
      </c>
    </row>
    <row r="20">
      <c r="A20" t="inlineStr">
        <is>
          <t>5 to 8pm</t>
        </is>
      </c>
      <c r="B20" s="9">
        <f>Workings!B94</f>
        <v/>
      </c>
      <c r="C20" s="6">
        <f>Workings!B95</f>
        <v/>
      </c>
    </row>
    <row r="21">
      <c r="A21" t="inlineStr">
        <is>
          <t>After 8pm</t>
        </is>
      </c>
      <c r="B21" s="9">
        <f>Workings!B103</f>
        <v/>
      </c>
      <c r="C21" s="6">
        <f>Workings!B104</f>
        <v/>
      </c>
    </row>
    <row r="22"/>
    <row r="23"/>
    <row r="24"/>
    <row r="25"/>
    <row r="26"/>
    <row r="27"/>
    <row r="28"/>
    <row r="29"/>
    <row r="30">
      <c r="A30" s="10" t="inlineStr">
        <is>
          <t>Calls for help by month: every month is on the Data sheet.</t>
        </is>
      </c>
    </row>
    <row r="31"/>
    <row r="32">
      <c r="A32" s="11" t="inlineStr">
        <is>
          <t>What it shows</t>
        </is>
      </c>
    </row>
    <row r="33" ht="45" customHeight="1">
      <c r="A33" s="3" t="inlineStr">
        <is>
          <t>953 calls for help came in during July. While the line was staffed, 79.0% were answered (target 90.0%); 49.0% of all calls came outside staffed hours and went to voicemail. The busiest time was 5 to 8pm (176 calls).</t>
        </is>
      </c>
    </row>
    <row r="34"/>
    <row r="35">
      <c r="A35" s="11" t="inlineStr">
        <is>
          <t>What you'd do about it</t>
        </is>
      </c>
    </row>
    <row r="36" ht="30" customHeight="1">
      <c r="A36" s="3" t="inlineStr">
        <is>
          <t>176 calls came between 5 and 8pm, when no-one is on the line. 102 callers hung up waiting while the line was staffed.</t>
        </is>
      </c>
    </row>
    <row r="37"/>
    <row r="38"/>
  </sheetData>
  <mergeCells count="3">
    <mergeCell ref="A5:D5"/>
    <mergeCell ref="A36:D36"/>
    <mergeCell ref="A33:D33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calls.xlsx&amp;C&amp;"Roboto,Regular"&amp;8 Data retrieved 2pm, Tue 6 Oct 2026 · Generated 8 Oct 2026, 11:41pm&amp;R&amp;"Roboto,Regular"&amp;8 Page &amp;P of &amp;N</oddFooter>
    <evenHeader/>
    <evenFooter/>
    <firstHeader/>
    <firstFooter/>
  </headerFooter>
  <rowBreaks count="1" manualBreakCount="1">
    <brk id="31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08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July 2026 · Data status: Jun 2026 locked · Jul 2026 locked · Oct 2026 incomplete (data retrieved 2pm, Tue 6 Oct 2026) · Generated 8 Oct 2026, 11:41pm</t>
        </is>
      </c>
    </row>
    <row r="4"/>
    <row r="5">
      <c r="A5" s="12" t="inlineStr">
        <is>
          <t>Calls for help, July and June</t>
        </is>
      </c>
    </row>
    <row r="6">
      <c r="A6" s="10" t="inlineStr">
        <is>
          <t>Answered ÷ calls while the line was staffed</t>
        </is>
      </c>
    </row>
    <row r="7">
      <c r="A7" s="4" t="inlineStr"/>
      <c r="B7" s="5" t="inlineStr">
        <is>
          <t>Jul 26</t>
        </is>
      </c>
      <c r="C7" s="5" t="inlineStr">
        <is>
          <t>Jun 26</t>
        </is>
      </c>
    </row>
    <row r="8">
      <c r="A8" t="inlineStr">
        <is>
          <t>Calls</t>
        </is>
      </c>
      <c r="B8" s="13" t="n">
        <v>953</v>
      </c>
      <c r="C8" s="13" t="n">
        <v>951</v>
      </c>
    </row>
    <row r="9">
      <c r="A9" t="inlineStr">
        <is>
          <t>Calls while staffed</t>
        </is>
      </c>
      <c r="B9" s="13" t="n">
        <v>486</v>
      </c>
      <c r="C9" s="13" t="n">
        <v>488</v>
      </c>
    </row>
    <row r="10">
      <c r="A10" t="inlineStr">
        <is>
          <t>Answered</t>
        </is>
      </c>
      <c r="B10" s="13" t="n">
        <v>384</v>
      </c>
      <c r="C10" s="13" t="n">
        <v>380</v>
      </c>
    </row>
    <row r="11">
      <c r="A11" t="inlineStr">
        <is>
          <t>Answered while staffed</t>
        </is>
      </c>
      <c r="B11" s="14">
        <f>B10/B9</f>
        <v/>
      </c>
      <c r="C11" s="14">
        <f>C10/C9</f>
        <v/>
      </c>
    </row>
    <row r="12">
      <c r="A12" s="15" t="inlineStr">
        <is>
          <t>Calls outside staffed hours</t>
        </is>
      </c>
      <c r="B12" s="16">
        <f>(B8-B9)/B8</f>
        <v/>
      </c>
      <c r="C12" s="16">
        <f>(C8-C9)/C8</f>
        <v/>
      </c>
    </row>
    <row r="13"/>
    <row r="14"/>
    <row r="15">
      <c r="A15" s="12" t="inlineStr">
        <is>
          <t>Calls for help, July and June</t>
        </is>
      </c>
    </row>
    <row r="16">
      <c r="A16" s="10" t="inlineStr">
        <is>
          <t>Answered ÷ calls while the line was staffed</t>
        </is>
      </c>
    </row>
    <row r="17">
      <c r="A17" s="4" t="inlineStr"/>
      <c r="B17" s="5" t="inlineStr">
        <is>
          <t>Jul 26</t>
        </is>
      </c>
      <c r="C17" s="5" t="inlineStr">
        <is>
          <t>Jun 26</t>
        </is>
      </c>
    </row>
    <row r="18">
      <c r="A18" t="inlineStr">
        <is>
          <t>Calls</t>
        </is>
      </c>
      <c r="B18" s="13" t="n">
        <v>953</v>
      </c>
      <c r="C18" s="13" t="n">
        <v>951</v>
      </c>
    </row>
    <row r="19">
      <c r="A19" t="inlineStr">
        <is>
          <t>Calls while staffed</t>
        </is>
      </c>
      <c r="B19" s="13" t="n">
        <v>486</v>
      </c>
      <c r="C19" s="13" t="n">
        <v>488</v>
      </c>
    </row>
    <row r="20">
      <c r="A20" t="inlineStr">
        <is>
          <t>Answered</t>
        </is>
      </c>
      <c r="B20" s="13" t="n">
        <v>384</v>
      </c>
      <c r="C20" s="13" t="n">
        <v>380</v>
      </c>
    </row>
    <row r="21">
      <c r="A21" t="inlineStr">
        <is>
          <t>Answered while staffed</t>
        </is>
      </c>
      <c r="B21" s="14">
        <f>B20/B19</f>
        <v/>
      </c>
      <c r="C21" s="14">
        <f>C20/C19</f>
        <v/>
      </c>
    </row>
    <row r="22">
      <c r="A22" s="15" t="inlineStr">
        <is>
          <t>Calls outside staffed hours</t>
        </is>
      </c>
      <c r="B22" s="16">
        <f>(B18-B19)/B18</f>
        <v/>
      </c>
      <c r="C22" s="16">
        <f>(C18-C19)/C18</f>
        <v/>
      </c>
    </row>
    <row r="23"/>
    <row r="24"/>
    <row r="25">
      <c r="A25" s="12" t="inlineStr">
        <is>
          <t>Calls for help, July and June</t>
        </is>
      </c>
    </row>
    <row r="26">
      <c r="A26" s="10" t="inlineStr">
        <is>
          <t>Answered ÷ calls while the line was staffed</t>
        </is>
      </c>
    </row>
    <row r="27">
      <c r="A27" s="4" t="inlineStr"/>
      <c r="B27" s="5" t="inlineStr">
        <is>
          <t>Jul 26</t>
        </is>
      </c>
      <c r="C27" s="5" t="inlineStr">
        <is>
          <t>Jun 26</t>
        </is>
      </c>
    </row>
    <row r="28">
      <c r="A28" t="inlineStr">
        <is>
          <t>Calls</t>
        </is>
      </c>
      <c r="B28" s="13" t="n">
        <v>953</v>
      </c>
      <c r="C28" s="13" t="n">
        <v>951</v>
      </c>
    </row>
    <row r="29">
      <c r="A29" t="inlineStr">
        <is>
          <t>Calls while staffed</t>
        </is>
      </c>
      <c r="B29" s="13" t="n">
        <v>486</v>
      </c>
      <c r="C29" s="13" t="n">
        <v>488</v>
      </c>
    </row>
    <row r="30">
      <c r="A30" t="inlineStr">
        <is>
          <t>Answered</t>
        </is>
      </c>
      <c r="B30" s="13" t="n">
        <v>384</v>
      </c>
      <c r="C30" s="13" t="n">
        <v>380</v>
      </c>
    </row>
    <row r="31">
      <c r="A31" t="inlineStr">
        <is>
          <t>Answered while staffed</t>
        </is>
      </c>
      <c r="B31" s="14">
        <f>B30/B29</f>
        <v/>
      </c>
      <c r="C31" s="14">
        <f>C30/C29</f>
        <v/>
      </c>
    </row>
    <row r="32">
      <c r="A32" s="15" t="inlineStr">
        <is>
          <t>Calls outside staffed hours</t>
        </is>
      </c>
      <c r="B32" s="16">
        <f>(B28-B29)/B28</f>
        <v/>
      </c>
      <c r="C32" s="16">
        <f>(C28-C29)/C28</f>
        <v/>
      </c>
    </row>
    <row r="33"/>
    <row r="34"/>
    <row r="35">
      <c r="A35" s="12" t="inlineStr">
        <is>
          <t>Calls for help, July and June</t>
        </is>
      </c>
    </row>
    <row r="36">
      <c r="A36" s="10" t="inlineStr">
        <is>
          <t>Answered ÷ calls while the line was staffed</t>
        </is>
      </c>
    </row>
    <row r="37">
      <c r="A37" s="4" t="inlineStr"/>
      <c r="B37" s="5" t="inlineStr">
        <is>
          <t>Jul 26</t>
        </is>
      </c>
      <c r="C37" s="5" t="inlineStr">
        <is>
          <t>Jun 26</t>
        </is>
      </c>
    </row>
    <row r="38">
      <c r="A38" t="inlineStr">
        <is>
          <t>Calls</t>
        </is>
      </c>
      <c r="B38" s="13" t="n">
        <v>953</v>
      </c>
      <c r="C38" s="13" t="n">
        <v>951</v>
      </c>
    </row>
    <row r="39">
      <c r="A39" t="inlineStr">
        <is>
          <t>Calls while staffed</t>
        </is>
      </c>
      <c r="B39" s="13" t="n">
        <v>486</v>
      </c>
      <c r="C39" s="13" t="n">
        <v>488</v>
      </c>
    </row>
    <row r="40">
      <c r="A40" t="inlineStr">
        <is>
          <t>Answered</t>
        </is>
      </c>
      <c r="B40" s="13" t="n">
        <v>384</v>
      </c>
      <c r="C40" s="13" t="n">
        <v>380</v>
      </c>
    </row>
    <row r="41">
      <c r="A41" t="inlineStr">
        <is>
          <t>Answered while staffed</t>
        </is>
      </c>
      <c r="B41" s="14">
        <f>B40/B39</f>
        <v/>
      </c>
      <c r="C41" s="14">
        <f>C40/C39</f>
        <v/>
      </c>
    </row>
    <row r="42">
      <c r="A42" s="15" t="inlineStr">
        <is>
          <t>Calls outside staffed hours</t>
        </is>
      </c>
      <c r="B42" s="16">
        <f>(B38-B39)/B38</f>
        <v/>
      </c>
      <c r="C42" s="16">
        <f>(C38-C39)/C38</f>
        <v/>
      </c>
    </row>
    <row r="43"/>
    <row r="44"/>
    <row r="45">
      <c r="A45" s="12" t="inlineStr">
        <is>
          <t>Calls before 8:30am, July 2026</t>
        </is>
      </c>
    </row>
    <row r="46">
      <c r="A46" s="10" t="inlineStr">
        <is>
          <t>Answered ÷ calls</t>
        </is>
      </c>
    </row>
    <row r="47">
      <c r="A47" s="4" t="inlineStr"/>
      <c r="B47" s="5" t="inlineStr">
        <is>
          <t>Jul 2026</t>
        </is>
      </c>
    </row>
    <row r="48">
      <c r="A48" t="inlineStr">
        <is>
          <t>Calls</t>
        </is>
      </c>
      <c r="B48" s="13" t="n">
        <v>142</v>
      </c>
    </row>
    <row r="49">
      <c r="A49" t="inlineStr">
        <is>
          <t>Answered</t>
        </is>
      </c>
      <c r="B49" s="13" t="n">
        <v>0</v>
      </c>
    </row>
    <row r="50">
      <c r="A50" s="15" t="inlineStr">
        <is>
          <t>Answered</t>
        </is>
      </c>
      <c r="B50" s="16">
        <f>B49/B48</f>
        <v/>
      </c>
    </row>
    <row r="51">
      <c r="A51" s="2" t="inlineStr">
        <is>
          <t>Outside 8:30am to 5pm on working days the line goes to voicemail.</t>
        </is>
      </c>
    </row>
    <row r="52"/>
    <row r="53"/>
    <row r="54">
      <c r="A54" s="12" t="inlineStr">
        <is>
          <t>Calls 8:30 to 10am, July 2026</t>
        </is>
      </c>
    </row>
    <row r="55">
      <c r="A55" s="10" t="inlineStr">
        <is>
          <t>Answered ÷ calls</t>
        </is>
      </c>
    </row>
    <row r="56">
      <c r="A56" s="4" t="inlineStr"/>
      <c r="B56" s="5" t="inlineStr">
        <is>
          <t>Jul 2026</t>
        </is>
      </c>
    </row>
    <row r="57">
      <c r="A57" t="inlineStr">
        <is>
          <t>Calls</t>
        </is>
      </c>
      <c r="B57" s="13" t="n">
        <v>120</v>
      </c>
    </row>
    <row r="58">
      <c r="A58" t="inlineStr">
        <is>
          <t>Answered</t>
        </is>
      </c>
      <c r="B58" s="13" t="n">
        <v>80</v>
      </c>
    </row>
    <row r="59">
      <c r="A59" s="15" t="inlineStr">
        <is>
          <t>Answered</t>
        </is>
      </c>
      <c r="B59" s="16">
        <f>B58/B57</f>
        <v/>
      </c>
    </row>
    <row r="60">
      <c r="A60" s="2" t="inlineStr">
        <is>
          <t>Outside 8:30am to 5pm on working days the line goes to voicemail.</t>
        </is>
      </c>
    </row>
    <row r="61"/>
    <row r="62"/>
    <row r="63">
      <c r="A63" s="12" t="inlineStr">
        <is>
          <t>Calls 10am to noon, July 2026</t>
        </is>
      </c>
    </row>
    <row r="64">
      <c r="A64" s="10" t="inlineStr">
        <is>
          <t>Answered ÷ calls</t>
        </is>
      </c>
    </row>
    <row r="65">
      <c r="A65" s="4" t="inlineStr"/>
      <c r="B65" s="5" t="inlineStr">
        <is>
          <t>Jul 2026</t>
        </is>
      </c>
    </row>
    <row r="66">
      <c r="A66" t="inlineStr">
        <is>
          <t>Calls</t>
        </is>
      </c>
      <c r="B66" s="13" t="n">
        <v>140</v>
      </c>
    </row>
    <row r="67">
      <c r="A67" t="inlineStr">
        <is>
          <t>Answered</t>
        </is>
      </c>
      <c r="B67" s="13" t="n">
        <v>110</v>
      </c>
    </row>
    <row r="68">
      <c r="A68" s="15" t="inlineStr">
        <is>
          <t>Answered</t>
        </is>
      </c>
      <c r="B68" s="16">
        <f>B67/B66</f>
        <v/>
      </c>
    </row>
    <row r="69">
      <c r="A69" s="2" t="inlineStr">
        <is>
          <t>Outside 8:30am to 5pm on working days the line goes to voicemail.</t>
        </is>
      </c>
    </row>
    <row r="70"/>
    <row r="71"/>
    <row r="72">
      <c r="A72" s="12" t="inlineStr">
        <is>
          <t>Calls noon to 2pm, July 2026</t>
        </is>
      </c>
    </row>
    <row r="73">
      <c r="A73" s="10" t="inlineStr">
        <is>
          <t>Answered ÷ calls</t>
        </is>
      </c>
    </row>
    <row r="74">
      <c r="A74" s="4" t="inlineStr"/>
      <c r="B74" s="5" t="inlineStr">
        <is>
          <t>Jul 2026</t>
        </is>
      </c>
    </row>
    <row r="75">
      <c r="A75" t="inlineStr">
        <is>
          <t>Calls</t>
        </is>
      </c>
      <c r="B75" s="13" t="n">
        <v>124</v>
      </c>
    </row>
    <row r="76">
      <c r="A76" t="inlineStr">
        <is>
          <t>Answered</t>
        </is>
      </c>
      <c r="B76" s="13" t="n">
        <v>95</v>
      </c>
    </row>
    <row r="77">
      <c r="A77" s="15" t="inlineStr">
        <is>
          <t>Answered</t>
        </is>
      </c>
      <c r="B77" s="16">
        <f>B76/B75</f>
        <v/>
      </c>
    </row>
    <row r="78">
      <c r="A78" s="2" t="inlineStr">
        <is>
          <t>Outside 8:30am to 5pm on working days the line goes to voicemail.</t>
        </is>
      </c>
    </row>
    <row r="79"/>
    <row r="80"/>
    <row r="81">
      <c r="A81" s="12" t="inlineStr">
        <is>
          <t>Calls 2 to 5pm, July 2026</t>
        </is>
      </c>
    </row>
    <row r="82">
      <c r="A82" s="10" t="inlineStr">
        <is>
          <t>Answered ÷ calls</t>
        </is>
      </c>
    </row>
    <row r="83">
      <c r="A83" s="4" t="inlineStr"/>
      <c r="B83" s="5" t="inlineStr">
        <is>
          <t>Jul 2026</t>
        </is>
      </c>
    </row>
    <row r="84">
      <c r="A84" t="inlineStr">
        <is>
          <t>Calls</t>
        </is>
      </c>
      <c r="B84" s="13" t="n">
        <v>149</v>
      </c>
    </row>
    <row r="85">
      <c r="A85" t="inlineStr">
        <is>
          <t>Answered</t>
        </is>
      </c>
      <c r="B85" s="13" t="n">
        <v>99</v>
      </c>
    </row>
    <row r="86">
      <c r="A86" s="15" t="inlineStr">
        <is>
          <t>Answered</t>
        </is>
      </c>
      <c r="B86" s="16">
        <f>B85/B84</f>
        <v/>
      </c>
    </row>
    <row r="87">
      <c r="A87" s="2" t="inlineStr">
        <is>
          <t>Outside 8:30am to 5pm on working days the line goes to voicemail.</t>
        </is>
      </c>
    </row>
    <row r="88"/>
    <row r="89"/>
    <row r="90">
      <c r="A90" s="12" t="inlineStr">
        <is>
          <t>Calls 5 to 8pm, July 2026</t>
        </is>
      </c>
    </row>
    <row r="91">
      <c r="A91" s="10" t="inlineStr">
        <is>
          <t>Answered ÷ calls</t>
        </is>
      </c>
    </row>
    <row r="92">
      <c r="A92" s="4" t="inlineStr"/>
      <c r="B92" s="5" t="inlineStr">
        <is>
          <t>Jul 2026</t>
        </is>
      </c>
    </row>
    <row r="93">
      <c r="A93" t="inlineStr">
        <is>
          <t>Calls</t>
        </is>
      </c>
      <c r="B93" s="13" t="n">
        <v>176</v>
      </c>
    </row>
    <row r="94">
      <c r="A94" t="inlineStr">
        <is>
          <t>Answered</t>
        </is>
      </c>
      <c r="B94" s="13" t="n">
        <v>0</v>
      </c>
    </row>
    <row r="95">
      <c r="A95" s="15" t="inlineStr">
        <is>
          <t>Answered</t>
        </is>
      </c>
      <c r="B95" s="16">
        <f>B94/B93</f>
        <v/>
      </c>
    </row>
    <row r="96">
      <c r="A96" s="2" t="inlineStr">
        <is>
          <t>Outside 8:30am to 5pm on working days the line goes to voicemail.</t>
        </is>
      </c>
    </row>
    <row r="97"/>
    <row r="98"/>
    <row r="99">
      <c r="A99" s="12" t="inlineStr">
        <is>
          <t>Calls after 8pm, July 2026</t>
        </is>
      </c>
    </row>
    <row r="100">
      <c r="A100" s="10" t="inlineStr">
        <is>
          <t>Answered ÷ calls</t>
        </is>
      </c>
    </row>
    <row r="101">
      <c r="A101" s="4" t="inlineStr"/>
      <c r="B101" s="5" t="inlineStr">
        <is>
          <t>Jul 2026</t>
        </is>
      </c>
    </row>
    <row r="102">
      <c r="A102" t="inlineStr">
        <is>
          <t>Calls</t>
        </is>
      </c>
      <c r="B102" s="13" t="n">
        <v>102</v>
      </c>
    </row>
    <row r="103">
      <c r="A103" t="inlineStr">
        <is>
          <t>Answered</t>
        </is>
      </c>
      <c r="B103" s="13" t="n">
        <v>0</v>
      </c>
    </row>
    <row r="104">
      <c r="A104" s="15" t="inlineStr">
        <is>
          <t>Answered</t>
        </is>
      </c>
      <c r="B104" s="16">
        <f>B103/B102</f>
        <v/>
      </c>
    </row>
    <row r="105">
      <c r="A105" s="2" t="inlineStr">
        <is>
          <t>Outside 8:30am to 5pm on working days the line goes to voicemail.</t>
        </is>
      </c>
    </row>
    <row r="106"/>
    <row r="107"/>
    <row r="108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calls.xlsx&amp;C&amp;"Roboto,Regular"&amp;8 Data retrieved 2pm, Tue 6 Oct 2026 · Generated 8 Oct 2026, 11:41pm&amp;R&amp;"Roboto,Regular"&amp;8 Page &amp;P of &amp;N</oddFooter>
    <evenHeader/>
    <evenFooter/>
    <firstHeader/>
    <firstFooter/>
  </headerFooter>
  <rowBreaks count="3" manualBreakCount="3">
    <brk id="24" min="0" max="16383" man="1"/>
    <brk id="53" min="0" max="16383" man="1"/>
    <brk id="80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July 2026 · Data status: Jun 2026 locked · Jul 2026 locked · Oct 2026 incomplete (data retrieved 2pm, Tue 6 Oct 2026) · Generated 8 Oct 2026, 11:41pm</t>
        </is>
      </c>
    </row>
    <row r="4"/>
    <row r="5">
      <c r="A5" s="4" t="inlineStr">
        <is>
          <t>Month</t>
        </is>
      </c>
      <c r="B5" s="5" t="inlineStr">
        <is>
          <t>Status</t>
        </is>
      </c>
      <c r="C5" s="5" t="inlineStr">
        <is>
          <t>Calls</t>
        </is>
      </c>
      <c r="D5" s="5" t="inlineStr">
        <is>
          <t>While staffed</t>
        </is>
      </c>
      <c r="E5" s="5" t="inlineStr">
        <is>
          <t>Answered</t>
        </is>
      </c>
      <c r="F5" s="5" t="inlineStr">
        <is>
          <t>Answered while staffed</t>
        </is>
      </c>
    </row>
    <row r="6">
      <c r="A6" s="17" t="inlineStr">
        <is>
          <t>Oct 24</t>
        </is>
      </c>
      <c r="B6" s="17" t="inlineStr">
        <is>
          <t>Locked</t>
        </is>
      </c>
      <c r="C6" s="13" t="n">
        <v>685</v>
      </c>
      <c r="D6" s="13" t="n">
        <v>329</v>
      </c>
      <c r="E6" s="13" t="n">
        <v>299</v>
      </c>
      <c r="F6" s="14">
        <f>IF(D6=0,"",E6/D6)</f>
        <v/>
      </c>
    </row>
    <row r="7">
      <c r="A7" s="17" t="inlineStr">
        <is>
          <t>Nov 24</t>
        </is>
      </c>
      <c r="B7" s="17" t="inlineStr">
        <is>
          <t>Locked</t>
        </is>
      </c>
      <c r="C7" s="13" t="n">
        <v>633</v>
      </c>
      <c r="D7" s="13" t="n">
        <v>307</v>
      </c>
      <c r="E7" s="13" t="n">
        <v>278</v>
      </c>
      <c r="F7" s="14">
        <f>IF(D7=0,"",E7/D7)</f>
        <v/>
      </c>
    </row>
    <row r="8">
      <c r="A8" s="17" t="inlineStr">
        <is>
          <t>Dec 24</t>
        </is>
      </c>
      <c r="B8" s="17" t="inlineStr">
        <is>
          <t>Locked</t>
        </is>
      </c>
      <c r="C8" s="13" t="n">
        <v>684</v>
      </c>
      <c r="D8" s="13" t="n">
        <v>330</v>
      </c>
      <c r="E8" s="13" t="n">
        <v>284</v>
      </c>
      <c r="F8" s="14">
        <f>IF(D8=0,"",E8/D8)</f>
        <v/>
      </c>
    </row>
    <row r="9">
      <c r="A9" s="17" t="inlineStr">
        <is>
          <t>Jan 25</t>
        </is>
      </c>
      <c r="B9" s="17" t="inlineStr">
        <is>
          <t>Locked</t>
        </is>
      </c>
      <c r="C9" s="13" t="n">
        <v>690</v>
      </c>
      <c r="D9" s="13" t="n">
        <v>324</v>
      </c>
      <c r="E9" s="13" t="n">
        <v>280</v>
      </c>
      <c r="F9" s="14">
        <f>IF(D9=0,"",E9/D9)</f>
        <v/>
      </c>
    </row>
    <row r="10">
      <c r="A10" s="17" t="inlineStr">
        <is>
          <t>Feb 25</t>
        </is>
      </c>
      <c r="B10" s="17" t="inlineStr">
        <is>
          <t>Locked</t>
        </is>
      </c>
      <c r="C10" s="13" t="n">
        <v>664</v>
      </c>
      <c r="D10" s="13" t="n">
        <v>320</v>
      </c>
      <c r="E10" s="13" t="n">
        <v>278</v>
      </c>
      <c r="F10" s="14">
        <f>IF(D10=0,"",E10/D10)</f>
        <v/>
      </c>
    </row>
    <row r="11">
      <c r="A11" s="17" t="inlineStr">
        <is>
          <t>Mar 25</t>
        </is>
      </c>
      <c r="B11" s="17" t="inlineStr">
        <is>
          <t>Locked</t>
        </is>
      </c>
      <c r="C11" s="13" t="n">
        <v>685</v>
      </c>
      <c r="D11" s="13" t="n">
        <v>311</v>
      </c>
      <c r="E11" s="13" t="n">
        <v>284</v>
      </c>
      <c r="F11" s="14">
        <f>IF(D11=0,"",E11/D11)</f>
        <v/>
      </c>
    </row>
    <row r="12">
      <c r="A12" s="17" t="inlineStr">
        <is>
          <t>Apr 25</t>
        </is>
      </c>
      <c r="B12" s="17" t="inlineStr">
        <is>
          <t>Locked</t>
        </is>
      </c>
      <c r="C12" s="13" t="n">
        <v>629</v>
      </c>
      <c r="D12" s="13" t="n">
        <v>286</v>
      </c>
      <c r="E12" s="13" t="n">
        <v>246</v>
      </c>
      <c r="F12" s="14">
        <f>IF(D12=0,"",E12/D12)</f>
        <v/>
      </c>
    </row>
    <row r="13">
      <c r="A13" s="17" t="inlineStr">
        <is>
          <t>May 25</t>
        </is>
      </c>
      <c r="B13" s="17" t="inlineStr">
        <is>
          <t>Locked</t>
        </is>
      </c>
      <c r="C13" s="13" t="n">
        <v>724</v>
      </c>
      <c r="D13" s="13" t="n">
        <v>348</v>
      </c>
      <c r="E13" s="13" t="n">
        <v>302</v>
      </c>
      <c r="F13" s="14">
        <f>IF(D13=0,"",E13/D13)</f>
        <v/>
      </c>
    </row>
    <row r="14">
      <c r="A14" s="17" t="inlineStr">
        <is>
          <t>Jun 25</t>
        </is>
      </c>
      <c r="B14" s="17" t="inlineStr">
        <is>
          <t>Locked</t>
        </is>
      </c>
      <c r="C14" s="13" t="n">
        <v>820</v>
      </c>
      <c r="D14" s="13" t="n">
        <v>389</v>
      </c>
      <c r="E14" s="13" t="n">
        <v>330</v>
      </c>
      <c r="F14" s="14">
        <f>IF(D14=0,"",E14/D14)</f>
        <v/>
      </c>
    </row>
    <row r="15">
      <c r="A15" s="17" t="inlineStr">
        <is>
          <t>Jul 25</t>
        </is>
      </c>
      <c r="B15" s="17" t="inlineStr">
        <is>
          <t>Locked</t>
        </is>
      </c>
      <c r="C15" s="13" t="n">
        <v>909</v>
      </c>
      <c r="D15" s="13" t="n">
        <v>477</v>
      </c>
      <c r="E15" s="13" t="n">
        <v>402</v>
      </c>
      <c r="F15" s="14">
        <f>IF(D15=0,"",E15/D15)</f>
        <v/>
      </c>
    </row>
    <row r="16">
      <c r="A16" s="17" t="inlineStr">
        <is>
          <t>Aug 25</t>
        </is>
      </c>
      <c r="B16" s="17" t="inlineStr">
        <is>
          <t>Locked</t>
        </is>
      </c>
      <c r="C16" s="13" t="n">
        <v>826</v>
      </c>
      <c r="D16" s="13" t="n">
        <v>388</v>
      </c>
      <c r="E16" s="13" t="n">
        <v>327</v>
      </c>
      <c r="F16" s="14">
        <f>IF(D16=0,"",E16/D16)</f>
        <v/>
      </c>
    </row>
    <row r="17">
      <c r="A17" s="17" t="inlineStr">
        <is>
          <t>Sep 25</t>
        </is>
      </c>
      <c r="B17" s="17" t="inlineStr">
        <is>
          <t>Locked</t>
        </is>
      </c>
      <c r="C17" s="13" t="n">
        <v>756</v>
      </c>
      <c r="D17" s="13" t="n">
        <v>359</v>
      </c>
      <c r="E17" s="13" t="n">
        <v>307</v>
      </c>
      <c r="F17" s="14">
        <f>IF(D17=0,"",E17/D17)</f>
        <v/>
      </c>
    </row>
    <row r="18">
      <c r="A18" s="17" t="inlineStr">
        <is>
          <t>Oct 25</t>
        </is>
      </c>
      <c r="B18" s="17" t="inlineStr">
        <is>
          <t>Locked</t>
        </is>
      </c>
      <c r="C18" s="13" t="n">
        <v>770</v>
      </c>
      <c r="D18" s="13" t="n">
        <v>363</v>
      </c>
      <c r="E18" s="13" t="n">
        <v>304</v>
      </c>
      <c r="F18" s="14">
        <f>IF(D18=0,"",E18/D18)</f>
        <v/>
      </c>
    </row>
    <row r="19">
      <c r="A19" s="17" t="inlineStr">
        <is>
          <t>Nov 25</t>
        </is>
      </c>
      <c r="B19" s="17" t="inlineStr">
        <is>
          <t>Locked</t>
        </is>
      </c>
      <c r="C19" s="13" t="n">
        <v>746</v>
      </c>
      <c r="D19" s="13" t="n">
        <v>357</v>
      </c>
      <c r="E19" s="13" t="n">
        <v>297</v>
      </c>
      <c r="F19" s="14">
        <f>IF(D19=0,"",E19/D19)</f>
        <v/>
      </c>
    </row>
    <row r="20">
      <c r="A20" s="17" t="inlineStr">
        <is>
          <t>Dec 25</t>
        </is>
      </c>
      <c r="B20" s="17" t="inlineStr">
        <is>
          <t>Locked</t>
        </is>
      </c>
      <c r="C20" s="13" t="n">
        <v>776</v>
      </c>
      <c r="D20" s="13" t="n">
        <v>357</v>
      </c>
      <c r="E20" s="13" t="n">
        <v>282</v>
      </c>
      <c r="F20" s="14">
        <f>IF(D20=0,"",E20/D20)</f>
        <v/>
      </c>
    </row>
    <row r="21">
      <c r="A21" s="17" t="inlineStr">
        <is>
          <t>Jan 26</t>
        </is>
      </c>
      <c r="B21" s="17" t="inlineStr">
        <is>
          <t>Locked</t>
        </is>
      </c>
      <c r="C21" s="13" t="n">
        <v>726</v>
      </c>
      <c r="D21" s="13" t="n">
        <v>346</v>
      </c>
      <c r="E21" s="13" t="n">
        <v>297</v>
      </c>
      <c r="F21" s="14">
        <f>IF(D21=0,"",E21/D21)</f>
        <v/>
      </c>
    </row>
    <row r="22">
      <c r="A22" s="17" t="inlineStr">
        <is>
          <t>Feb 26</t>
        </is>
      </c>
      <c r="B22" s="17" t="inlineStr">
        <is>
          <t>Locked</t>
        </is>
      </c>
      <c r="C22" s="13" t="n">
        <v>678</v>
      </c>
      <c r="D22" s="13" t="n">
        <v>341</v>
      </c>
      <c r="E22" s="13" t="n">
        <v>275</v>
      </c>
      <c r="F22" s="14">
        <f>IF(D22=0,"",E22/D22)</f>
        <v/>
      </c>
    </row>
    <row r="23">
      <c r="A23" s="17" t="inlineStr">
        <is>
          <t>Mar 26</t>
        </is>
      </c>
      <c r="B23" s="17" t="inlineStr">
        <is>
          <t>Locked</t>
        </is>
      </c>
      <c r="C23" s="13" t="n">
        <v>865</v>
      </c>
      <c r="D23" s="13" t="n">
        <v>421</v>
      </c>
      <c r="E23" s="13" t="n">
        <v>338</v>
      </c>
      <c r="F23" s="14">
        <f>IF(D23=0,"",E23/D23)</f>
        <v/>
      </c>
    </row>
    <row r="24">
      <c r="A24" s="17" t="inlineStr">
        <is>
          <t>Apr 26</t>
        </is>
      </c>
      <c r="B24" s="17" t="inlineStr">
        <is>
          <t>Locked</t>
        </is>
      </c>
      <c r="C24" s="13" t="n">
        <v>731</v>
      </c>
      <c r="D24" s="13" t="n">
        <v>356</v>
      </c>
      <c r="E24" s="13" t="n">
        <v>294</v>
      </c>
      <c r="F24" s="14">
        <f>IF(D24=0,"",E24/D24)</f>
        <v/>
      </c>
    </row>
    <row r="25">
      <c r="A25" s="17" t="inlineStr">
        <is>
          <t>May 26</t>
        </is>
      </c>
      <c r="B25" s="17" t="inlineStr">
        <is>
          <t>Locked</t>
        </is>
      </c>
      <c r="C25" s="13" t="n">
        <v>757</v>
      </c>
      <c r="D25" s="13" t="n">
        <v>338</v>
      </c>
      <c r="E25" s="13" t="n">
        <v>280</v>
      </c>
      <c r="F25" s="14">
        <f>IF(D25=0,"",E25/D25)</f>
        <v/>
      </c>
    </row>
    <row r="26">
      <c r="A26" s="17" t="inlineStr">
        <is>
          <t>Jun 26</t>
        </is>
      </c>
      <c r="B26" s="17" t="inlineStr">
        <is>
          <t>Locked</t>
        </is>
      </c>
      <c r="C26" s="13" t="n">
        <v>951</v>
      </c>
      <c r="D26" s="13" t="n">
        <v>488</v>
      </c>
      <c r="E26" s="13" t="n">
        <v>380</v>
      </c>
      <c r="F26" s="14">
        <f>IF(D26=0,"",E26/D26)</f>
        <v/>
      </c>
    </row>
    <row r="27">
      <c r="A27" s="17" t="inlineStr">
        <is>
          <t>Jul 26</t>
        </is>
      </c>
      <c r="B27" s="17" t="inlineStr">
        <is>
          <t>Locked</t>
        </is>
      </c>
      <c r="C27" s="13" t="n">
        <v>953</v>
      </c>
      <c r="D27" s="13" t="n">
        <v>486</v>
      </c>
      <c r="E27" s="13" t="n">
        <v>384</v>
      </c>
      <c r="F27" s="14">
        <f>IF(D27=0,"",E27/D27)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calls.xlsx&amp;C&amp;"Roboto,Regular"&amp;8 Data retrieved 2pm, Tue 6 Oct 2026 · Generated 8 Oct 2026, 11:41pm&amp;R&amp;"Roboto,Regular"&amp;8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2026-10-08T13:42:20Z</dcterms:created>
  <dcterms:modified xmlns:dcterms="http://purl.org/dc/terms/" xmlns:xsi="http://www.w3.org/2001/XMLSchema-instance" xsi:type="dcterms:W3CDTF">2026-10-08T13:42:20Z</dcterms:modified>
</cp:coreProperties>
</file>