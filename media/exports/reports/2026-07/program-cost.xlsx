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'Report'!$A$1:$D$73</definedName>
    <definedName name="_xlnm.Print_Area" localSheetId="1">'Workings'!$A$1:$B$80</definedName>
    <definedName name="_xlnm.Print_Titles" localSheetId="2">'Data'!$9:$9</definedName>
    <definedName name="_xlnm.Print_Area" localSheetId="2">'Data'!$A$1:$F$15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July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'Report'!$A$10:$A$15</f>
            </numRef>
          </cat>
          <val>
            <numRef>
              <f>'Report'!$B$10:$B$15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5" headerRowCount="1">
  <autoFilter ref="A9:F15"/>
  <tableColumns count="6">
    <tableColumn id="1" name="Program"/>
    <tableColumn id="2" name="Grant spending, Jul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July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Mental health first aid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</t>
        </is>
      </c>
      <c r="B14" s="8">
        <f>Workings!B67</f>
        <v/>
      </c>
      <c r="C14" s="9">
        <f>Workings!B62</f>
        <v/>
      </c>
    </row>
    <row r="15">
      <c r="A15" t="inlineStr">
        <is>
          <t>Volunteer coordinator</t>
        </is>
      </c>
      <c r="B15" s="8">
        <f>Workings!B80</f>
        <v/>
      </c>
      <c r="C15" s="9">
        <f>Workings!B75</f>
        <v/>
      </c>
    </row>
    <row r="16"/>
    <row r="17"/>
    <row r="18"/>
    <row r="19"/>
    <row r="20"/>
    <row r="21"/>
    <row r="22"/>
    <row r="23"/>
    <row r="24">
      <c r="A24" s="10" t="inlineStr">
        <is>
          <t>What it shows</t>
        </is>
      </c>
    </row>
    <row r="25" ht="45" customHeight="1">
      <c r="A25" s="3" t="inlineStr">
        <is>
          <t>Housing support is the biggest program: $50,333 in July once its share of untied program costs and administration is added to $29,097 of grant spending. Shared costs add 73.0% on top of grant spending across all programs.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9"/>
    <row r="30">
      <c r="A30" s="4" t="inlineStr">
        <is>
          <t>Program: Housing support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Housing support cost $50,333 in full in July: $29,097 paid by the State Housing Program grant, and $21,236 of shared costs no grant covers. It has spent 93.3% of its budget to date, with $164,000 left and 5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$50,333 a month; $21,236 of it is shared cost the grant doesn't pay for. Worth asking for as much of it as the funder allows at renewal.</t>
        </is>
      </c>
    </row>
    <row r="36"/>
    <row r="37">
      <c r="A37" s="4" t="inlineStr">
        <is>
          <t>Program: Youth outreach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Youth outreach cost $40,260 in full in July: $23,274 paid by the State Department of Families grant, and $16,986 of shared costs no grant covers. It has spent 100.8% of its budget to date, with $218,000 left and 11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$40,260 a month; $16,986 of it is shared cost the grant doesn't pay for. Worth asking for as much of it as the funder allows at renewal.</t>
        </is>
      </c>
    </row>
    <row r="43"/>
    <row r="44">
      <c r="A44" s="4" t="inlineStr">
        <is>
          <t>Program: Mental health first aid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Mental health first aid cost $14,996 in full in July: $8,669 paid by the Federal health program grant, and $6,327 of shared costs no grant covers. It has spent 92.5% of its budget to date, with $83,000 left and 8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$14,996 a month; $6,327 of it is shared cost the grant doesn't pay for. Worth asking for as much of it as the funder allows at renewal.</t>
        </is>
      </c>
    </row>
    <row r="50"/>
    <row r="51">
      <c r="A51" s="4" t="inlineStr">
        <is>
          <t>Program: Digital literacy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Digital literacy cost $8,326 in full in July: $4,813 paid by the Philanthropic foundation grant, and $3,513 of shared costs no grant covers. It has spent 99.0% of its budget to date, with $40,500 left and 8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$8,326 a month; $3,513 of it is shared cost the grant doesn't pay for. Worth asking for as much of it as the funder allows at renewal.</t>
        </is>
      </c>
    </row>
    <row r="57"/>
    <row r="58">
      <c r="A58" s="4" t="inlineStr">
        <is>
          <t>Program: Community meals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Community meals cost $6,227 in full in July: $3,600 paid by the Local council community grant grant, and $2,627 of shared costs no grant covers. It has spent 90.0% of its budget to date, with $44,400 left and 11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$6,227 a month; $2,627 of it is shared cost the grant doesn't pay for. Worth asking for as much of it as the funder allows at renewal.</t>
        </is>
      </c>
    </row>
    <row r="64"/>
    <row r="65">
      <c r="A65" s="4" t="inlineStr">
        <is>
          <t>Program: Volunteer coordinator</t>
        </is>
      </c>
    </row>
    <row r="66">
      <c r="A66" s="10" t="inlineStr">
        <is>
          <t>What it shows</t>
        </is>
      </c>
    </row>
    <row r="67" ht="45" customHeight="1">
      <c r="A67" s="3" t="inlineStr">
        <is>
          <t>Volunteer coordinator cost $5,475 in full in July: $3,165 paid by the State volunteering grant grant, and $2,310 of shared costs no grant covers. It has spent 100.0% of its budget to date, with $21,000 left and 7 months to go.</t>
        </is>
      </c>
    </row>
    <row r="68"/>
    <row r="69">
      <c r="A69" s="10" t="inlineStr">
        <is>
          <t>What you'd do about it</t>
        </is>
      </c>
    </row>
    <row r="70" ht="30" customHeight="1">
      <c r="A70" s="3" t="inlineStr">
        <is>
          <t>The full cost is $5,475 a month; $2,310 of it is shared cost the grant doesn't pay for. Worth asking for as much of it as the funder allows at renewal.</t>
        </is>
      </c>
    </row>
    <row r="71"/>
    <row r="72">
      <c r="A72" s="4" t="inlineStr">
        <is>
          <t>Every program at once</t>
        </is>
      </c>
    </row>
    <row r="73">
      <c r="A73" s="11" t="inlineStr">
        <is>
          <t>Grant spending, by month: every month is on the Data sheet.</t>
        </is>
      </c>
    </row>
    <row r="74"/>
    <row r="75"/>
  </sheetData>
  <mergeCells count="15">
    <mergeCell ref="A5:D5"/>
    <mergeCell ref="A56:D56"/>
    <mergeCell ref="A67:D67"/>
    <mergeCell ref="A70:D70"/>
    <mergeCell ref="A42:D42"/>
    <mergeCell ref="A53:D53"/>
    <mergeCell ref="A60:D60"/>
    <mergeCell ref="A35:D35"/>
    <mergeCell ref="A63:D63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>
      <c r="A5" s="4" t="inlineStr">
        <is>
          <t>Housing support: full cost, July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Jul 2026</t>
        </is>
      </c>
    </row>
    <row r="8">
      <c r="A8" t="inlineStr">
        <is>
          <t>Grant spending on the program</t>
        </is>
      </c>
      <c r="B8" s="12" t="n">
        <v>29097</v>
      </c>
    </row>
    <row r="9">
      <c r="A9" t="inlineStr">
        <is>
          <t>All grant-funded program spending</t>
        </is>
      </c>
      <c r="B9" s="12" t="n">
        <v>72618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17400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35600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July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Jul 2026</t>
        </is>
      </c>
    </row>
    <row r="21">
      <c r="A21" t="inlineStr">
        <is>
          <t>Grant spending on the program</t>
        </is>
      </c>
      <c r="B21" s="12" t="n">
        <v>23274</v>
      </c>
    </row>
    <row r="22">
      <c r="A22" t="inlineStr">
        <is>
          <t>All grant-funded program spending</t>
        </is>
      </c>
      <c r="B22" s="12" t="n">
        <v>72618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17400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35600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Mental health first aid: full cost, July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Jul 2026</t>
        </is>
      </c>
    </row>
    <row r="34">
      <c r="A34" t="inlineStr">
        <is>
          <t>Grant spending on the program</t>
        </is>
      </c>
      <c r="B34" s="12" t="n">
        <v>8669</v>
      </c>
    </row>
    <row r="35">
      <c r="A35" t="inlineStr">
        <is>
          <t>All grant-funded program spending</t>
        </is>
      </c>
      <c r="B35" s="12" t="n">
        <v>72618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17400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35600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July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Jul 2026</t>
        </is>
      </c>
    </row>
    <row r="47">
      <c r="A47" t="inlineStr">
        <is>
          <t>Grant spending on the program</t>
        </is>
      </c>
      <c r="B47" s="12" t="n">
        <v>4813</v>
      </c>
    </row>
    <row r="48">
      <c r="A48" t="inlineStr">
        <is>
          <t>All grant-funded program spending</t>
        </is>
      </c>
      <c r="B48" s="12" t="n">
        <v>72618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17400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35600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meals: full cost, July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Jul 2026</t>
        </is>
      </c>
    </row>
    <row r="60">
      <c r="A60" t="inlineStr">
        <is>
          <t>Grant spending on the program</t>
        </is>
      </c>
      <c r="B60" s="12" t="n">
        <v>3600</v>
      </c>
    </row>
    <row r="61">
      <c r="A61" t="inlineStr">
        <is>
          <t>All grant-funded program spending</t>
        </is>
      </c>
      <c r="B61" s="12" t="n">
        <v>72618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17400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35600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>
      <c r="A70" s="4" t="inlineStr">
        <is>
          <t>Volunteer coordinator: full cost, July</t>
        </is>
      </c>
    </row>
    <row r="71">
      <c r="A71" s="11" t="inlineStr">
        <is>
          <t>Grant spending + its share of untied program costs and administration (shared by grant spending)</t>
        </is>
      </c>
    </row>
    <row r="72">
      <c r="A72" s="6" t="inlineStr"/>
      <c r="B72" s="7" t="inlineStr">
        <is>
          <t>Jul 2026</t>
        </is>
      </c>
    </row>
    <row r="73">
      <c r="A73" t="inlineStr">
        <is>
          <t>Grant spending on the program</t>
        </is>
      </c>
      <c r="B73" s="12" t="n">
        <v>3165</v>
      </c>
    </row>
    <row r="74">
      <c r="A74" t="inlineStr">
        <is>
          <t>All grant-funded program spending</t>
        </is>
      </c>
      <c r="B74" s="12" t="n">
        <v>72618</v>
      </c>
    </row>
    <row r="75">
      <c r="A75" t="inlineStr">
        <is>
          <t>Share of program spending</t>
        </is>
      </c>
      <c r="B75" s="13">
        <f>B73/B74</f>
        <v/>
      </c>
    </row>
    <row r="76">
      <c r="A76" t="inlineStr">
        <is>
          <t>Untied program costs (all programs)</t>
        </is>
      </c>
      <c r="B76" s="12" t="n">
        <v>17400</v>
      </c>
    </row>
    <row r="77">
      <c r="A77" t="inlineStr">
        <is>
          <t>Share of untied program costs</t>
        </is>
      </c>
      <c r="B77" s="12">
        <f>B75*B76</f>
        <v/>
      </c>
    </row>
    <row r="78">
      <c r="A78" t="inlineStr">
        <is>
          <t>Administration (all)</t>
        </is>
      </c>
      <c r="B78" s="12" t="n">
        <v>35600</v>
      </c>
    </row>
    <row r="79">
      <c r="A79" t="inlineStr">
        <is>
          <t>Share of administration</t>
        </is>
      </c>
      <c r="B79" s="12">
        <f>B75*B78</f>
        <v/>
      </c>
    </row>
    <row r="80">
      <c r="A80" s="14" t="inlineStr">
        <is>
          <t>Full cost of the program</t>
        </is>
      </c>
      <c r="B80" s="15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>
      <c r="A5" t="inlineStr">
        <is>
          <t>All grant-funded program spending, July 2026</t>
        </is>
      </c>
      <c r="B5" s="8" t="n">
        <v>72618</v>
      </c>
    </row>
    <row r="6">
      <c r="A6" t="inlineStr">
        <is>
          <t>Untied program costs, July 2026 (all programs)</t>
        </is>
      </c>
      <c r="B6" s="8" t="n">
        <v>17400</v>
      </c>
    </row>
    <row r="7">
      <c r="A7" t="inlineStr">
        <is>
          <t>Administration, July 2026 (all)</t>
        </is>
      </c>
      <c r="B7" s="8" t="n">
        <v>35600</v>
      </c>
    </row>
    <row r="8"/>
    <row r="9">
      <c r="A9" s="6" t="inlineStr">
        <is>
          <t>Program</t>
        </is>
      </c>
      <c r="B9" s="7" t="inlineStr">
        <is>
          <t>Grant spending, Jul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29097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23274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8669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4813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</t>
        </is>
      </c>
      <c r="B14" s="12" t="n">
        <v>3600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3165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2026-10-07T23:36:02Z</dcterms:created>
  <dcterms:modified xmlns:dcterms="http://purl.org/dc/terms/" xmlns:xsi="http://www.w3.org/2001/XMLSchema-instance" xsi:type="dcterms:W3CDTF">2026-10-07T23:36:02Z</dcterms:modified>
</cp:coreProperties>
</file>