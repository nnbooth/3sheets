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uly">'Report'!$B$8</definedName>
    <definedName name="Overtime_hours_July">'Report'!$B$9</definedName>
    <definedName name="July_last_year">'Report'!$B$10</definedName>
    <definedName name="_xlnm.Print_Area" localSheetId="0">'Report'!$A$1:$D$49</definedName>
    <definedName name="_xlnm.Print_Area" localSheetId="1">'Workings'!$A$1:$C$101</definedName>
    <definedName name="_xlnm.Print_Titles" localSheetId="2">'Data'!$5:$5</definedName>
    <definedName name="_xlnm.Print_Area" localSheetId="2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7" headerRowCount="1">
  <autoFilter ref="A5:E27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11:41pm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July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July</t>
        </is>
      </c>
      <c r="B9" s="6">
        <f>Workings!B18</f>
        <v/>
      </c>
      <c r="C9" s="7" t="inlineStr">
        <is>
          <t>June 81.0 h</t>
        </is>
      </c>
    </row>
    <row r="10">
      <c r="A10" t="inlineStr">
        <is>
          <t>July last year</t>
        </is>
      </c>
      <c r="B10" s="6">
        <f>Workings!B26</f>
        <v/>
      </c>
      <c r="C10" s="7" t="inlineStr">
        <is>
          <t>34.5 h of overtime</t>
        </is>
      </c>
    </row>
    <row r="11"/>
    <row r="12">
      <c r="A12" s="8" t="inlineStr">
        <is>
          <t>Why the overtime, July 2026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Short-staffed</t>
        </is>
      </c>
      <c r="B15" s="9">
        <f>Workings!B42</f>
        <v/>
      </c>
    </row>
    <row r="16">
      <c r="A16" t="inlineStr">
        <is>
          <t>Installation ran over</t>
        </is>
      </c>
      <c r="B16" s="9">
        <f>Workings!B50</f>
        <v/>
      </c>
    </row>
    <row r="17">
      <c r="A17" t="inlineStr">
        <is>
          <t>Paperwork and quotes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July 2026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T1</t>
        </is>
      </c>
      <c r="B28" s="9">
        <f>Workings!B65</f>
        <v/>
      </c>
    </row>
    <row r="29">
      <c r="A29" t="inlineStr">
        <is>
          <t>Technician T5</t>
        </is>
      </c>
      <c r="B29" s="9">
        <f>Workings!B71</f>
        <v/>
      </c>
    </row>
    <row r="30">
      <c r="A30" t="inlineStr">
        <is>
          <t>Technician T3</t>
        </is>
      </c>
      <c r="B30" s="9">
        <f>Workings!B77</f>
        <v/>
      </c>
    </row>
    <row r="31">
      <c r="A31" t="inlineStr">
        <is>
          <t>Technician T2</t>
        </is>
      </c>
      <c r="B31" s="9">
        <f>Workings!B83</f>
        <v/>
      </c>
    </row>
    <row r="32">
      <c r="A32" t="inlineStr">
        <is>
          <t>Technician T7</t>
        </is>
      </c>
      <c r="B32" s="9">
        <f>Workings!B89</f>
        <v/>
      </c>
    </row>
    <row r="33">
      <c r="A33" t="inlineStr">
        <is>
          <t>Technician T6</t>
        </is>
      </c>
      <c r="B33" s="9">
        <f>Workings!B95</f>
        <v/>
      </c>
    </row>
    <row r="34">
      <c r="A34" t="inlineStr">
        <is>
          <t>Technician T4</t>
        </is>
      </c>
      <c r="B34" s="9">
        <f>Workings!B101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57.5 h of overtime in July, 4.9% of ordinary hours (target under 5.0%), against 7.2% in June. Over the last year it has gone from 3.3% to 4.9%.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After-hours call-out is the main reason: 27.0 h, 47.0% of the overtime. Technician T1 carried the most (20.5 h).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11:41pm</t>
        </is>
      </c>
    </row>
    <row r="4"/>
    <row r="5">
      <c r="A5" s="12" t="inlineStr">
        <is>
          <t>Overtime, July and June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Jul 26</t>
        </is>
      </c>
      <c r="C7" s="5" t="inlineStr">
        <is>
          <t>Jun 26</t>
        </is>
      </c>
    </row>
    <row r="8">
      <c r="A8" t="inlineStr">
        <is>
          <t>Overtime hours</t>
        </is>
      </c>
      <c r="B8" s="13" t="n">
        <v>57.5</v>
      </c>
      <c r="C8" s="13" t="n">
        <v>81</v>
      </c>
    </row>
    <row r="9">
      <c r="A9" t="inlineStr">
        <is>
          <t>Ordinary hours</t>
        </is>
      </c>
      <c r="B9" s="13" t="n">
        <v>1170.4</v>
      </c>
      <c r="C9" s="13" t="n">
        <v>1124.800000000001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July and June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Jul 26</t>
        </is>
      </c>
      <c r="C15" s="5" t="inlineStr">
        <is>
          <t>Jun 26</t>
        </is>
      </c>
    </row>
    <row r="16">
      <c r="A16" t="inlineStr">
        <is>
          <t>Overtime hours</t>
        </is>
      </c>
      <c r="B16" s="13" t="n">
        <v>57.5</v>
      </c>
      <c r="C16" s="13" t="n">
        <v>81</v>
      </c>
    </row>
    <row r="17">
      <c r="A17" t="inlineStr">
        <is>
          <t>Ordinary hours</t>
        </is>
      </c>
      <c r="B17" s="13" t="n">
        <v>1170.4</v>
      </c>
      <c r="C17" s="13" t="n">
        <v>1124.800000000001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Jul 25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Jul 25</t>
        </is>
      </c>
    </row>
    <row r="24">
      <c r="A24" t="inlineStr">
        <is>
          <t>Overtime hours</t>
        </is>
      </c>
      <c r="B24" s="13" t="n">
        <v>34.5</v>
      </c>
    </row>
    <row r="25">
      <c r="A25" t="inlineStr">
        <is>
          <t>Ordinary hours</t>
        </is>
      </c>
      <c r="B25" s="13" t="n">
        <v>1033.600000000002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July 2026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Jul 2026</t>
        </is>
      </c>
    </row>
    <row r="33">
      <c r="A33" t="inlineStr">
        <is>
          <t>Overtime hours</t>
        </is>
      </c>
      <c r="B33" s="13" t="n">
        <v>27</v>
      </c>
    </row>
    <row r="34">
      <c r="A34" t="inlineStr">
        <is>
          <t>All overtime hours</t>
        </is>
      </c>
      <c r="B34" s="13" t="n">
        <v>57.5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Short-staffed: overtime, July 2026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Jul 2026</t>
        </is>
      </c>
    </row>
    <row r="41">
      <c r="A41" t="inlineStr">
        <is>
          <t>Overtime hours</t>
        </is>
      </c>
      <c r="B41" s="13" t="n">
        <v>11</v>
      </c>
    </row>
    <row r="42">
      <c r="A42" t="inlineStr">
        <is>
          <t>All overtime hours</t>
        </is>
      </c>
      <c r="B42" s="13" t="n">
        <v>57.5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Installation ran over: overtime, July 2026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Jul 2026</t>
        </is>
      </c>
    </row>
    <row r="49">
      <c r="A49" t="inlineStr">
        <is>
          <t>Overtime hours</t>
        </is>
      </c>
      <c r="B49" s="13" t="n">
        <v>10.5</v>
      </c>
    </row>
    <row r="50">
      <c r="A50" t="inlineStr">
        <is>
          <t>All overtime hours</t>
        </is>
      </c>
      <c r="B50" s="13" t="n">
        <v>57.5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Paperwork and quotes: overtime, July 2026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Jul 2026</t>
        </is>
      </c>
    </row>
    <row r="57">
      <c r="A57" t="inlineStr">
        <is>
          <t>Overtime hours</t>
        </is>
      </c>
      <c r="B57" s="13" t="n">
        <v>9</v>
      </c>
    </row>
    <row r="58">
      <c r="A58" t="inlineStr">
        <is>
          <t>All overtime hours</t>
        </is>
      </c>
      <c r="B58" s="13" t="n">
        <v>57.5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T1: overtime, July 2026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Jul 2026</t>
        </is>
      </c>
    </row>
    <row r="65">
      <c r="A65" s="14" t="inlineStr">
        <is>
          <t>Overtime hours</t>
        </is>
      </c>
      <c r="B65" s="16" t="n">
        <v>20.5</v>
      </c>
    </row>
    <row r="66"/>
    <row r="67"/>
    <row r="68">
      <c r="A68" s="12" t="inlineStr">
        <is>
          <t>Technician T5: overtime, July 2026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Jul 2026</t>
        </is>
      </c>
    </row>
    <row r="71">
      <c r="A71" s="14" t="inlineStr">
        <is>
          <t>Overtime hours</t>
        </is>
      </c>
      <c r="B71" s="16" t="n">
        <v>9</v>
      </c>
    </row>
    <row r="72"/>
    <row r="73"/>
    <row r="74">
      <c r="A74" s="12" t="inlineStr">
        <is>
          <t>Technician T3: overtime, July 2026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Jul 2026</t>
        </is>
      </c>
    </row>
    <row r="77">
      <c r="A77" s="14" t="inlineStr">
        <is>
          <t>Overtime hours</t>
        </is>
      </c>
      <c r="B77" s="16" t="n">
        <v>8.5</v>
      </c>
    </row>
    <row r="78"/>
    <row r="79"/>
    <row r="80">
      <c r="A80" s="12" t="inlineStr">
        <is>
          <t>Technician T2: overtime, July 2026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Jul 2026</t>
        </is>
      </c>
    </row>
    <row r="83">
      <c r="A83" s="14" t="inlineStr">
        <is>
          <t>Overtime hours</t>
        </is>
      </c>
      <c r="B83" s="16" t="n">
        <v>8.5</v>
      </c>
    </row>
    <row r="84"/>
    <row r="85"/>
    <row r="86">
      <c r="A86" s="12" t="inlineStr">
        <is>
          <t>Technician T7: overtime, July 2026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Jul 2026</t>
        </is>
      </c>
    </row>
    <row r="89">
      <c r="A89" s="14" t="inlineStr">
        <is>
          <t>Overtime hours</t>
        </is>
      </c>
      <c r="B89" s="16" t="n">
        <v>5</v>
      </c>
    </row>
    <row r="90"/>
    <row r="91"/>
    <row r="92">
      <c r="A92" s="12" t="inlineStr">
        <is>
          <t>Technician T6: overtime, July 2026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Jul 2026</t>
        </is>
      </c>
    </row>
    <row r="95">
      <c r="A95" s="14" t="inlineStr">
        <is>
          <t>Overtime hours</t>
        </is>
      </c>
      <c r="B95" s="16" t="n">
        <v>4</v>
      </c>
    </row>
    <row r="96"/>
    <row r="97"/>
    <row r="98">
      <c r="A98" s="12" t="inlineStr">
        <is>
          <t>Technician T4: overtime, July 2026</t>
        </is>
      </c>
    </row>
    <row r="99">
      <c r="A99" s="10" t="inlineStr">
        <is>
          <t>Overtime hours on this technician's shifts</t>
        </is>
      </c>
    </row>
    <row r="100">
      <c r="A100" s="4" t="inlineStr"/>
      <c r="B100" s="5" t="inlineStr">
        <is>
          <t>Jul 2026</t>
        </is>
      </c>
    </row>
    <row r="101">
      <c r="A101" s="14" t="inlineStr">
        <is>
          <t>Overtime hours</t>
        </is>
      </c>
      <c r="B101" s="16" t="n">
        <v>2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957.600000000002</v>
      </c>
      <c r="D6" s="13" t="n">
        <v>15.5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866.4000000000017</v>
      </c>
      <c r="D7" s="13" t="n">
        <v>23.5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896.8000000000018</v>
      </c>
      <c r="D8" s="13" t="n">
        <v>19.5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904.4000000000018</v>
      </c>
      <c r="D9" s="13" t="n">
        <v>27.5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896.8000000000018</v>
      </c>
      <c r="D10" s="13" t="n">
        <v>41.5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912.0000000000018</v>
      </c>
      <c r="D11" s="13" t="n">
        <v>40.5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836.0000000000016</v>
      </c>
      <c r="D12" s="13" t="n">
        <v>30.5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896.8000000000018</v>
      </c>
      <c r="D13" s="13" t="n">
        <v>33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942.4000000000019</v>
      </c>
      <c r="D14" s="13" t="n">
        <v>26.5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1033.600000000002</v>
      </c>
      <c r="D15" s="13" t="n">
        <v>34.5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874.0000000000017</v>
      </c>
      <c r="D16" s="13" t="n">
        <v>28.5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957.600000000002</v>
      </c>
      <c r="D17" s="13" t="n">
        <v>35.5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980.400000000002</v>
      </c>
      <c r="D18" s="13" t="n">
        <v>38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851.2000000000016</v>
      </c>
      <c r="D19" s="13" t="n">
        <v>32</v>
      </c>
      <c r="E19" s="18">
        <f>IF(C19=0,"",D19/C19)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919.6000000000018</v>
      </c>
      <c r="D20" s="13" t="n">
        <v>70.5</v>
      </c>
      <c r="E20" s="18">
        <f>IF(C20=0,"",D20/C20)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1003.200000000002</v>
      </c>
      <c r="D21" s="13" t="n">
        <v>31</v>
      </c>
      <c r="E21" s="18">
        <f>IF(C21=0,"",D21/C21)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1026.000000000002</v>
      </c>
      <c r="D22" s="13" t="n">
        <v>43.5</v>
      </c>
      <c r="E22" s="18">
        <f>IF(C22=0,"",D22/C22)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1147.600000000001</v>
      </c>
      <c r="D23" s="13" t="n">
        <v>48.5</v>
      </c>
      <c r="E23" s="18">
        <f>IF(C23=0,"",D23/C23)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1033.600000000002</v>
      </c>
      <c r="D24" s="13" t="n">
        <v>60.5</v>
      </c>
      <c r="E24" s="18">
        <f>IF(C24=0,"",D24/C24)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1018.400000000002</v>
      </c>
      <c r="D25" s="13" t="n">
        <v>68</v>
      </c>
      <c r="E25" s="18">
        <f>IF(C25=0,"",D25/C25)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1124.800000000001</v>
      </c>
      <c r="D26" s="13" t="n">
        <v>81</v>
      </c>
      <c r="E26" s="18">
        <f>IF(C26=0,"",D26/C26)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1170.4</v>
      </c>
      <c r="D27" s="13" t="n">
        <v>57.5</v>
      </c>
      <c r="E27" s="18">
        <f>IF(C27=0,"",D27/C27)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2026-10-08T13:42:14Z</dcterms:created>
  <dcterms:modified xmlns:dcterms="http://purl.org/dc/terms/" xmlns:xsi="http://www.w3.org/2001/XMLSchema-instance" xsi:type="dcterms:W3CDTF">2026-10-08T13:42:14Z</dcterms:modified>
</cp:coreProperties>
</file>