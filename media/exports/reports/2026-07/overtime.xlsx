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July">'Report'!$B$8</definedName>
    <definedName name="Overtime_hours_July">'Report'!$B$9</definedName>
    <definedName name="July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7" headerRowCount="1">
  <autoFilter ref="A5:E27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6:29pm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July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July</t>
        </is>
      </c>
      <c r="B9" s="6">
        <f>Workings!B18</f>
        <v/>
      </c>
      <c r="C9" s="7" t="inlineStr">
        <is>
          <t>June 62.5 h</t>
        </is>
      </c>
    </row>
    <row r="10">
      <c r="A10" t="inlineStr">
        <is>
          <t>July last year</t>
        </is>
      </c>
      <c r="B10" s="6">
        <f>Workings!B26</f>
        <v/>
      </c>
      <c r="C10" s="7" t="inlineStr">
        <is>
          <t>27.5 h of overtime</t>
        </is>
      </c>
    </row>
    <row r="11"/>
    <row r="12">
      <c r="A12" s="8" t="inlineStr">
        <is>
          <t>Why the overtime, July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Installation ran over</t>
        </is>
      </c>
      <c r="B15" s="9">
        <f>Workings!B42</f>
        <v/>
      </c>
    </row>
    <row r="16">
      <c r="A16" t="inlineStr">
        <is>
          <t>Short-staffed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July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T5</t>
        </is>
      </c>
      <c r="B28" s="9">
        <f>Workings!B65</f>
        <v/>
      </c>
    </row>
    <row r="29">
      <c r="A29" t="inlineStr">
        <is>
          <t>Technician T4</t>
        </is>
      </c>
      <c r="B29" s="9">
        <f>Workings!B71</f>
        <v/>
      </c>
    </row>
    <row r="30">
      <c r="A30" t="inlineStr">
        <is>
          <t>Technician T7</t>
        </is>
      </c>
      <c r="B30" s="9">
        <f>Workings!B77</f>
        <v/>
      </c>
    </row>
    <row r="31">
      <c r="A31" t="inlineStr">
        <is>
          <t>Technician T1</t>
        </is>
      </c>
      <c r="B31" s="9">
        <f>Workings!B83</f>
        <v/>
      </c>
    </row>
    <row r="32">
      <c r="A32" t="inlineStr">
        <is>
          <t>Technician T3</t>
        </is>
      </c>
      <c r="B32" s="9">
        <f>Workings!B89</f>
        <v/>
      </c>
    </row>
    <row r="33">
      <c r="A33" t="inlineStr">
        <is>
          <t>Technician T2</t>
        </is>
      </c>
      <c r="B33" s="9">
        <f>Workings!B95</f>
        <v/>
      </c>
    </row>
    <row r="34">
      <c r="A34" t="inlineStr">
        <is>
          <t>Technician T6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69.5 h of overtime in July, 6.2% of ordinary hours (target under 5.0%), against 5.4% in June. Over the last year it has gone from 2.4% to 6.2%.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After-hours call-out is the main reason: 37.5 h, 54.0% of the overtime. Technician T5 carried the most (16.0 h). Above target by 13.3 h.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6:29pm</t>
        </is>
      </c>
    </row>
    <row r="4"/>
    <row r="5">
      <c r="A5" s="12" t="inlineStr">
        <is>
          <t>Overtime, July and June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Jul 26</t>
        </is>
      </c>
      <c r="C7" s="5" t="inlineStr">
        <is>
          <t>Jun 26</t>
        </is>
      </c>
    </row>
    <row r="8">
      <c r="A8" t="inlineStr">
        <is>
          <t>Overtime hours</t>
        </is>
      </c>
      <c r="B8" s="13" t="n">
        <v>69.5</v>
      </c>
      <c r="C8" s="13" t="n">
        <v>62.5</v>
      </c>
    </row>
    <row r="9">
      <c r="A9" t="inlineStr">
        <is>
          <t>Ordinary hours</t>
        </is>
      </c>
      <c r="B9" s="13" t="n">
        <v>1124.800000000001</v>
      </c>
      <c r="C9" s="13" t="n">
        <v>1147.600000000001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July and June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Jul 26</t>
        </is>
      </c>
      <c r="C15" s="5" t="inlineStr">
        <is>
          <t>Jun 26</t>
        </is>
      </c>
    </row>
    <row r="16">
      <c r="A16" t="inlineStr">
        <is>
          <t>Overtime hours</t>
        </is>
      </c>
      <c r="B16" s="13" t="n">
        <v>69.5</v>
      </c>
      <c r="C16" s="13" t="n">
        <v>62.5</v>
      </c>
    </row>
    <row r="17">
      <c r="A17" t="inlineStr">
        <is>
          <t>Ordinary hours</t>
        </is>
      </c>
      <c r="B17" s="13" t="n">
        <v>1124.800000000001</v>
      </c>
      <c r="C17" s="13" t="n">
        <v>1147.600000000001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Jul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Jul 25</t>
        </is>
      </c>
    </row>
    <row r="24">
      <c r="A24" t="inlineStr">
        <is>
          <t>Overtime hours</t>
        </is>
      </c>
      <c r="B24" s="13" t="n">
        <v>27.5</v>
      </c>
    </row>
    <row r="25">
      <c r="A25" t="inlineStr">
        <is>
          <t>Ordinary hours</t>
        </is>
      </c>
      <c r="B25" s="13" t="n">
        <v>1140.000000000001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July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Jul 2026</t>
        </is>
      </c>
    </row>
    <row r="33">
      <c r="A33" t="inlineStr">
        <is>
          <t>Overtime hours</t>
        </is>
      </c>
      <c r="B33" s="13" t="n">
        <v>37.5</v>
      </c>
    </row>
    <row r="34">
      <c r="A34" t="inlineStr">
        <is>
          <t>All overtime hours</t>
        </is>
      </c>
      <c r="B34" s="13" t="n">
        <v>69.5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Installation ran over: overtime, July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Jul 2026</t>
        </is>
      </c>
    </row>
    <row r="41">
      <c r="A41" t="inlineStr">
        <is>
          <t>Overtime hours</t>
        </is>
      </c>
      <c r="B41" s="13" t="n">
        <v>18</v>
      </c>
    </row>
    <row r="42">
      <c r="A42" t="inlineStr">
        <is>
          <t>All overtime hours</t>
        </is>
      </c>
      <c r="B42" s="13" t="n">
        <v>69.5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Short-staffed: overtime, July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Jul 2026</t>
        </is>
      </c>
    </row>
    <row r="49">
      <c r="A49" t="inlineStr">
        <is>
          <t>Overtime hours</t>
        </is>
      </c>
      <c r="B49" s="13" t="n">
        <v>8.5</v>
      </c>
    </row>
    <row r="50">
      <c r="A50" t="inlineStr">
        <is>
          <t>All overtime hours</t>
        </is>
      </c>
      <c r="B50" s="13" t="n">
        <v>69.5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July 2026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Jul 2026</t>
        </is>
      </c>
    </row>
    <row r="57">
      <c r="A57" t="inlineStr">
        <is>
          <t>Overtime hours</t>
        </is>
      </c>
      <c r="B57" s="13" t="n">
        <v>5.5</v>
      </c>
    </row>
    <row r="58">
      <c r="A58" t="inlineStr">
        <is>
          <t>All overtime hours</t>
        </is>
      </c>
      <c r="B58" s="13" t="n">
        <v>69.5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T5: overtime, July 2026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Jul 2026</t>
        </is>
      </c>
    </row>
    <row r="65">
      <c r="A65" s="14" t="inlineStr">
        <is>
          <t>Overtime hours</t>
        </is>
      </c>
      <c r="B65" s="16" t="n">
        <v>16</v>
      </c>
    </row>
    <row r="66"/>
    <row r="67"/>
    <row r="68">
      <c r="A68" s="12" t="inlineStr">
        <is>
          <t>Technician T4: overtime, July 2026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Jul 2026</t>
        </is>
      </c>
    </row>
    <row r="71">
      <c r="A71" s="14" t="inlineStr">
        <is>
          <t>Overtime hours</t>
        </is>
      </c>
      <c r="B71" s="16" t="n">
        <v>15</v>
      </c>
    </row>
    <row r="72"/>
    <row r="73"/>
    <row r="74">
      <c r="A74" s="12" t="inlineStr">
        <is>
          <t>Technician T7: overtime, July 2026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Jul 2026</t>
        </is>
      </c>
    </row>
    <row r="77">
      <c r="A77" s="14" t="inlineStr">
        <is>
          <t>Overtime hours</t>
        </is>
      </c>
      <c r="B77" s="16" t="n">
        <v>14</v>
      </c>
    </row>
    <row r="78"/>
    <row r="79"/>
    <row r="80">
      <c r="A80" s="12" t="inlineStr">
        <is>
          <t>Technician T1: overtime, July 2026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Jul 2026</t>
        </is>
      </c>
    </row>
    <row r="83">
      <c r="A83" s="14" t="inlineStr">
        <is>
          <t>Overtime hours</t>
        </is>
      </c>
      <c r="B83" s="16" t="n">
        <v>11</v>
      </c>
    </row>
    <row r="84"/>
    <row r="85"/>
    <row r="86">
      <c r="A86" s="12" t="inlineStr">
        <is>
          <t>Technician T3: overtime, July 2026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Jul 2026</t>
        </is>
      </c>
    </row>
    <row r="89">
      <c r="A89" s="14" t="inlineStr">
        <is>
          <t>Overtime hours</t>
        </is>
      </c>
      <c r="B89" s="16" t="n">
        <v>7.5</v>
      </c>
    </row>
    <row r="90"/>
    <row r="91"/>
    <row r="92">
      <c r="A92" s="12" t="inlineStr">
        <is>
          <t>Technician T2: overtime, July 2026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Jul 2026</t>
        </is>
      </c>
    </row>
    <row r="95">
      <c r="A95" s="14" t="inlineStr">
        <is>
          <t>Overtime hours</t>
        </is>
      </c>
      <c r="B95" s="16" t="n">
        <v>3.5</v>
      </c>
    </row>
    <row r="96"/>
    <row r="97"/>
    <row r="98">
      <c r="A98" s="12" t="inlineStr">
        <is>
          <t>Technician T6: overtime, July 2026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Jul 2026</t>
        </is>
      </c>
    </row>
    <row r="101">
      <c r="A101" s="14" t="inlineStr">
        <is>
          <t>Overtime hours</t>
        </is>
      </c>
      <c r="B101" s="16" t="n">
        <v>2.5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1132.400000000001</v>
      </c>
      <c r="D6" s="13" t="n">
        <v>17.5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1094.400000000001</v>
      </c>
      <c r="D7" s="13" t="n">
        <v>14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1010.800000000002</v>
      </c>
      <c r="D8" s="13" t="n">
        <v>19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1086.800000000001</v>
      </c>
      <c r="D9" s="13" t="n">
        <v>24.5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995.6000000000021</v>
      </c>
      <c r="D10" s="13" t="n">
        <v>28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1079.200000000001</v>
      </c>
      <c r="D11" s="13" t="n">
        <v>26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950.0000000000019</v>
      </c>
      <c r="D12" s="13" t="n">
        <v>34.5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1086.800000000001</v>
      </c>
      <c r="D13" s="13" t="n">
        <v>28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1079.200000000001</v>
      </c>
      <c r="D14" s="13" t="n">
        <v>30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1140.000000000001</v>
      </c>
      <c r="D15" s="13" t="n">
        <v>27.5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1048.800000000002</v>
      </c>
      <c r="D16" s="13" t="n">
        <v>48.5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1117.200000000001</v>
      </c>
      <c r="D17" s="13" t="n">
        <v>34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1147.600000000001</v>
      </c>
      <c r="D18" s="13" t="n">
        <v>46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1003.200000000002</v>
      </c>
      <c r="D19" s="13" t="n">
        <v>39.5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1079.200000000001</v>
      </c>
      <c r="D20" s="13" t="n">
        <v>38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1041.200000000002</v>
      </c>
      <c r="D21" s="13" t="n">
        <v>39.5</v>
      </c>
      <c r="E21" s="18">
        <f>IF(C21=0,"",D21/C21)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1010.800000000002</v>
      </c>
      <c r="D22" s="13" t="n">
        <v>59</v>
      </c>
      <c r="E22" s="18">
        <f>IF(C22=0,"",D22/C22)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1132.400000000001</v>
      </c>
      <c r="D23" s="13" t="n">
        <v>63.5</v>
      </c>
      <c r="E23" s="18">
        <f>IF(C23=0,"",D23/C23)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1041.200000000002</v>
      </c>
      <c r="D24" s="13" t="n">
        <v>60</v>
      </c>
      <c r="E24" s="18">
        <f>IF(C24=0,"",D24/C24)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1026.000000000002</v>
      </c>
      <c r="D25" s="13" t="n">
        <v>67</v>
      </c>
      <c r="E25" s="18">
        <f>IF(C25=0,"",D25/C25)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3" t="n">
        <v>1147.600000000001</v>
      </c>
      <c r="D26" s="13" t="n">
        <v>62.5</v>
      </c>
      <c r="E26" s="18">
        <f>IF(C26=0,"",D26/C26)</f>
        <v/>
      </c>
    </row>
    <row r="27">
      <c r="A27" s="17" t="inlineStr">
        <is>
          <t>Jul 26</t>
        </is>
      </c>
      <c r="B27" s="17" t="inlineStr">
        <is>
          <t>Locked</t>
        </is>
      </c>
      <c r="C27" s="13" t="n">
        <v>1124.800000000001</v>
      </c>
      <c r="D27" s="13" t="n">
        <v>69.5</v>
      </c>
      <c r="E27" s="18">
        <f>IF(C27=0,"",D27/C27)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2026-10-08T08:30:49Z</dcterms:created>
  <dcterms:modified xmlns:dcterms="http://purl.org/dc/terms/" xmlns:xsi="http://www.w3.org/2001/XMLSchema-instance" xsi:type="dcterms:W3CDTF">2026-10-08T08:30:49Z</dcterms:modified>
</cp:coreProperties>
</file>