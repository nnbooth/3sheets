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target 35.0%</t>
        </is>
      </c>
    </row>
    <row r="16">
      <c r="A16" t="inlineStr">
        <is>
          <t>Job gross margin, June · All jobs</t>
        </is>
      </c>
      <c r="B16" s="8">
        <f>Workings!B37</f>
        <v/>
      </c>
      <c r="C16" s="9" t="inlineStr">
        <is>
          <t>target 35.0%</t>
        </is>
      </c>
    </row>
    <row r="17">
      <c r="A17" t="inlineStr">
        <is>
          <t>Gross margin jobs need to break even</t>
        </is>
      </c>
      <c r="B17" s="8">
        <f>Workings!B53</f>
        <v/>
      </c>
      <c r="C17" s="9" t="inlineStr">
        <is>
          <t>covers overheads and time not charged (July)</t>
        </is>
      </c>
    </row>
    <row r="18"/>
    <row r="19">
      <c r="A19" s="10" t="inlineStr">
        <is>
          <t>Job gross margin by type of job, July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July maintenance contracts made a 59.5% job gross margin, installations made a 28.3% job gross margin, call-outs and repairs made a 43.4% job gross margin (technician time at $68 an hour, wages and all on-costs). Jobs need 29.6% just to cover overheads.</t>
        </is>
      </c>
    </row>
    <row r="27"/>
    <row r="28">
      <c r="A28" s="4" t="inlineStr">
        <is>
          <t>What you'd do about it</t>
        </is>
      </c>
    </row>
    <row r="29" ht="45" customHeight="1">
      <c r="A29" s="3" t="inlineStr">
        <is>
          <t>Installations: 28.3% gross margin, 6.7 points under the 35.0% target: about $8,580 on $127,600 of revenue in July. It's below the 29.6% needed to cover overheads, too. Maintenance contracts: 59.5% gross margin, 24.5 points over the 35.0% target ($9,941 ahead on $40,500 in July).</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July · Maintenance contracts</t>
        </is>
      </c>
      <c r="B33" s="8">
        <f>Workings!B90</f>
        <v/>
      </c>
      <c r="C33" s="9" t="inlineStr">
        <is>
          <t>target 35.0%</t>
        </is>
      </c>
    </row>
    <row r="34">
      <c r="A34" t="inlineStr">
        <is>
          <t>Job gross margin, June · Maintenance contracts</t>
        </is>
      </c>
      <c r="B34" s="8">
        <f>Workings!B99</f>
        <v/>
      </c>
      <c r="C34" s="9" t="inlineStr">
        <is>
          <t>target 35.0%</t>
        </is>
      </c>
    </row>
    <row r="35">
      <c r="A35" t="inlineStr">
        <is>
          <t>Gross margin jobs need to break even</t>
        </is>
      </c>
      <c r="B35" s="8">
        <f>Workings!B115</f>
        <v/>
      </c>
      <c r="C35" s="9" t="inlineStr">
        <is>
          <t>covers overheads and time not charged (July)</t>
        </is>
      </c>
    </row>
    <row r="36"/>
    <row r="37">
      <c r="A37" s="10" t="inlineStr">
        <is>
          <t>Job gross margin on each maintenance contract, July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Wacol logistics depot</t>
        </is>
      </c>
      <c r="B47" s="8">
        <f>Workings!B233</f>
        <v/>
      </c>
      <c r="C47" s="11">
        <f>Workings!B232</f>
        <v/>
      </c>
    </row>
    <row r="48">
      <c r="A48" t="inlineStr">
        <is>
          <t>Milton office tower</t>
        </is>
      </c>
      <c r="B48" s="8">
        <f>Workings!B246</f>
        <v/>
      </c>
      <c r="C48" s="11">
        <f>Workings!B245</f>
        <v/>
      </c>
    </row>
    <row r="49">
      <c r="A49" t="inlineStr">
        <is>
          <t>Bulimba school</t>
        </is>
      </c>
      <c r="B49" s="8">
        <f>Workings!B259</f>
        <v/>
      </c>
      <c r="C49" s="11">
        <f>Workings!B258</f>
        <v/>
      </c>
    </row>
    <row r="50">
      <c r="A50" t="inlineStr">
        <is>
          <t>West End brewery</t>
        </is>
      </c>
      <c r="B50" s="8">
        <f>Workings!B272</f>
        <v/>
      </c>
      <c r="C50" s="11">
        <f>Workings!B271</f>
        <v/>
      </c>
    </row>
    <row r="51">
      <c r="A51" t="inlineStr">
        <is>
          <t>Rocklea factory</t>
        </is>
      </c>
      <c r="B51" s="8">
        <f>Workings!B285</f>
        <v/>
      </c>
      <c r="C51" s="11">
        <f>Workings!B284</f>
        <v/>
      </c>
    </row>
    <row r="52">
      <c r="A52" t="inlineStr">
        <is>
          <t>Kangaroo Point townhouses</t>
        </is>
      </c>
      <c r="B52" s="8">
        <f>Workings!B298</f>
        <v/>
      </c>
      <c r="C52" s="11">
        <f>Workings!B297</f>
        <v/>
      </c>
    </row>
    <row r="53"/>
    <row r="54">
      <c r="A54" s="4" t="inlineStr">
        <is>
          <t>What it shows</t>
        </is>
      </c>
    </row>
    <row r="55" ht="30" customHeight="1">
      <c r="A55" s="3" t="inlineStr">
        <is>
          <t>All 14 contracts made more than the 35.0% job gross margin target. The thinnest was Kangaroo Point townhouses at 58.2% job gross margin: 14.0 h of technician time on a $2,400 monthly fee.</t>
        </is>
      </c>
    </row>
    <row r="56"/>
    <row r="57">
      <c r="A57" s="4" t="inlineStr">
        <is>
          <t>What you'd do about it</t>
        </is>
      </c>
    </row>
    <row r="58" ht="45" customHeight="1">
      <c r="A58" s="3" t="inlineStr">
        <is>
          <t>The thinnest, Kangaroo Point townhouses: 58.2% gross margin, 23.3 points over the 35.0% target ($558 ahead on $2,400 in July). All maintenance contracts: 59.5% gross margin, 24.5 points over the 35.0% target ($9,941 ahead on $40,500 in July).</t>
        </is>
      </c>
    </row>
    <row r="59"/>
    <row r="60">
      <c r="A60" s="5" t="inlineStr">
        <is>
          <t>Type of job: Installations</t>
        </is>
      </c>
    </row>
    <row r="61">
      <c r="A61" s="6" t="inlineStr">
        <is>
          <t>Headline number</t>
        </is>
      </c>
      <c r="B61" s="7" t="inlineStr">
        <is>
          <t>Value</t>
        </is>
      </c>
      <c r="C61" s="7" t="inlineStr">
        <is>
          <t>Compared with</t>
        </is>
      </c>
    </row>
    <row r="62">
      <c r="A62" t="inlineStr">
        <is>
          <t>Job gross margin, July · Installations</t>
        </is>
      </c>
      <c r="B62" s="8">
        <f>Workings!B307</f>
        <v/>
      </c>
      <c r="C62" s="9" t="inlineStr">
        <is>
          <t>target 35.0%</t>
        </is>
      </c>
    </row>
    <row r="63">
      <c r="A63" t="inlineStr">
        <is>
          <t>Job gross margin, June · Installations</t>
        </is>
      </c>
      <c r="B63" s="8">
        <f>Workings!B316</f>
        <v/>
      </c>
      <c r="C63" s="9" t="inlineStr">
        <is>
          <t>target 35.0%</t>
        </is>
      </c>
    </row>
    <row r="64">
      <c r="A64" t="inlineStr">
        <is>
          <t>Gross margin jobs need to break even</t>
        </is>
      </c>
      <c r="B64" s="8">
        <f>Workings!B332</f>
        <v/>
      </c>
      <c r="C64" s="9" t="inlineStr">
        <is>
          <t>covers overheads and time not charged (July)</t>
        </is>
      </c>
    </row>
    <row r="65"/>
    <row r="66">
      <c r="A66" s="10" t="inlineStr">
        <is>
          <t>Job gross margin on each installation invoiced in July 2026</t>
        </is>
      </c>
    </row>
    <row r="67">
      <c r="A67" s="6" t="inlineStr"/>
      <c r="B67" s="7" t="inlineStr">
        <is>
          <t>Gross margin %</t>
        </is>
      </c>
      <c r="C67" s="7" t="inlineStr">
        <is>
          <t>Gross margin $</t>
        </is>
      </c>
    </row>
    <row r="68">
      <c r="A68" t="inlineStr">
        <is>
          <t>Installation 3, July</t>
        </is>
      </c>
      <c r="B68" s="8">
        <f>Workings!B346</f>
        <v/>
      </c>
      <c r="C68" s="11">
        <f>Workings!B345</f>
        <v/>
      </c>
    </row>
    <row r="69">
      <c r="A69" t="inlineStr">
        <is>
          <t>Installation 1, July</t>
        </is>
      </c>
      <c r="B69" s="8">
        <f>Workings!B359</f>
        <v/>
      </c>
      <c r="C69" s="11">
        <f>Workings!B358</f>
        <v/>
      </c>
    </row>
    <row r="70">
      <c r="A70" t="inlineStr">
        <is>
          <t>Installation 4, July</t>
        </is>
      </c>
      <c r="B70" s="8">
        <f>Workings!B372</f>
        <v/>
      </c>
      <c r="C70" s="11">
        <f>Workings!B371</f>
        <v/>
      </c>
    </row>
    <row r="71">
      <c r="A71" t="inlineStr">
        <is>
          <t>Installation 2, July</t>
        </is>
      </c>
      <c r="B71" s="8">
        <f>Workings!B385</f>
        <v/>
      </c>
      <c r="C71" s="11">
        <f>Workings!B384</f>
        <v/>
      </c>
    </row>
    <row r="72"/>
    <row r="73">
      <c r="A73" s="4" t="inlineStr">
        <is>
          <t>What it shows</t>
        </is>
      </c>
    </row>
    <row r="74" ht="60" customHeight="1">
      <c r="A74"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75"/>
    <row r="76">
      <c r="A76" s="4" t="inlineStr">
        <is>
          <t>What you'd do about it</t>
        </is>
      </c>
    </row>
    <row r="77" ht="60" customHeight="1">
      <c r="A77" s="3" t="inlineStr">
        <is>
          <t>4 installations under the 35.0% target, worth about $8,580 between them on $127,600 of revenue. The biggest gap, Installation 2, July: 28.2% gross margin, 6.8 points under the 35.0% target: about $2,354 on $34,600 of revenue in July. It's below the 29.6% needed to cover overheads, too.</t>
        </is>
      </c>
    </row>
    <row r="78"/>
    <row r="79">
      <c r="A79" s="5" t="inlineStr">
        <is>
          <t>Type of job: Call-outs and repairs</t>
        </is>
      </c>
    </row>
    <row r="80">
      <c r="A80" s="6" t="inlineStr">
        <is>
          <t>Headline number</t>
        </is>
      </c>
      <c r="B80" s="7" t="inlineStr">
        <is>
          <t>Value</t>
        </is>
      </c>
      <c r="C80" s="7" t="inlineStr">
        <is>
          <t>Compared with</t>
        </is>
      </c>
    </row>
    <row r="81">
      <c r="A81" t="inlineStr">
        <is>
          <t>Job gross margin, July · Call-outs and repairs</t>
        </is>
      </c>
      <c r="B81" s="8">
        <f>Workings!B394</f>
        <v/>
      </c>
      <c r="C81" s="9" t="inlineStr">
        <is>
          <t>target 35.0%</t>
        </is>
      </c>
    </row>
    <row r="82">
      <c r="A82" t="inlineStr">
        <is>
          <t>Job gross margin, June · Call-outs and repairs</t>
        </is>
      </c>
      <c r="B82" s="8">
        <f>Workings!B403</f>
        <v/>
      </c>
      <c r="C82" s="9" t="inlineStr">
        <is>
          <t>target 35.0%</t>
        </is>
      </c>
    </row>
    <row r="83">
      <c r="A83" t="inlineStr">
        <is>
          <t>Gross margin jobs need to break even</t>
        </is>
      </c>
      <c r="B83" s="8">
        <f>Workings!B419</f>
        <v/>
      </c>
      <c r="C83" s="9" t="inlineStr">
        <is>
          <t>covers overheads and time not charged (July)</t>
        </is>
      </c>
    </row>
    <row r="84">
      <c r="A84" t="inlineStr">
        <is>
          <t>Technician time charged, July</t>
        </is>
      </c>
      <c r="B84" s="8">
        <f>Workings!B432</f>
        <v/>
      </c>
      <c r="C84" s="9" t="inlineStr">
        <is>
          <t>67.8% of call-out revenue</t>
        </is>
      </c>
    </row>
    <row r="85">
      <c r="A85" t="inlineStr">
        <is>
          <t>Materials charged, July</t>
        </is>
      </c>
      <c r="B85" s="8">
        <f>Workings!B444</f>
        <v/>
      </c>
      <c r="C85" s="9" t="inlineStr">
        <is>
          <t>$6,230 at cost, plus 30%</t>
        </is>
      </c>
    </row>
    <row r="86"/>
    <row r="87">
      <c r="A87" s="10" t="inlineStr">
        <is>
          <t>Job gross margin on call-outs by length, July 2026</t>
        </is>
      </c>
    </row>
    <row r="88">
      <c r="A88" s="6" t="inlineStr"/>
      <c r="B88" s="7" t="inlineStr">
        <is>
          <t>Gross margin %</t>
        </is>
      </c>
      <c r="C88" s="7" t="inlineStr">
        <is>
          <t>Gross margin $</t>
        </is>
      </c>
    </row>
    <row r="89">
      <c r="A89" t="inlineStr">
        <is>
          <t>1-hour call-outs (8)</t>
        </is>
      </c>
      <c r="B89" s="8">
        <f>Workings!B457</f>
        <v/>
      </c>
      <c r="C89" s="11">
        <f>Workings!B456</f>
        <v/>
      </c>
    </row>
    <row r="90">
      <c r="A90" t="inlineStr">
        <is>
          <t>1.5-hour call-outs (10)</t>
        </is>
      </c>
      <c r="B90" s="8">
        <f>Workings!B470</f>
        <v/>
      </c>
      <c r="C90" s="11">
        <f>Workings!B469</f>
        <v/>
      </c>
    </row>
    <row r="91">
      <c r="A91" t="inlineStr">
        <is>
          <t>2-hour call-outs (15)</t>
        </is>
      </c>
      <c r="B91" s="8">
        <f>Workings!B483</f>
        <v/>
      </c>
      <c r="C91" s="11">
        <f>Workings!B482</f>
        <v/>
      </c>
    </row>
    <row r="92">
      <c r="A92" t="inlineStr">
        <is>
          <t>2.5-hour call-outs (7)</t>
        </is>
      </c>
      <c r="B92" s="8">
        <f>Workings!B496</f>
        <v/>
      </c>
      <c r="C92" s="11">
        <f>Workings!B495</f>
        <v/>
      </c>
    </row>
    <row r="93">
      <c r="A93" t="inlineStr">
        <is>
          <t>3-hour call-outs (9)</t>
        </is>
      </c>
      <c r="B93" s="8">
        <f>Workings!B509</f>
        <v/>
      </c>
      <c r="C93" s="11">
        <f>Workings!B508</f>
        <v/>
      </c>
    </row>
    <row r="94">
      <c r="A94" t="inlineStr">
        <is>
          <t>4-hour call-outs (5)</t>
        </is>
      </c>
      <c r="B94" s="8">
        <f>Workings!B522</f>
        <v/>
      </c>
      <c r="C94" s="11">
        <f>Workings!B521</f>
        <v/>
      </c>
    </row>
    <row r="95"/>
    <row r="96">
      <c r="A96" s="4" t="inlineStr">
        <is>
          <t>What it shows</t>
        </is>
      </c>
    </row>
    <row r="97" ht="60" customHeight="1">
      <c r="A97" s="3" t="inlineStr">
        <is>
          <t>54 call-outs in July billed $17,046 of technician time and $8,099 of materials ($6,230 at cost plus 30%), and made a 43.4% job gross margin between them. Gross margins run from 37.0% to 45.5% by length: the hourly rate covers technician time comfortably, so the gross margin mostly moves with how much material goes on the van.</t>
        </is>
      </c>
    </row>
    <row r="98"/>
    <row r="99">
      <c r="A99" s="4" t="inlineStr">
        <is>
          <t>What you'd do about it</t>
        </is>
      </c>
    </row>
    <row r="100" ht="30" customHeight="1">
      <c r="A100" s="3" t="inlineStr">
        <is>
          <t>All call-outs: 43.4% gross margin, 8.4 points over the 35.0% target ($2,124 ahead on $25,145 in July).</t>
        </is>
      </c>
    </row>
    <row r="101"/>
    <row r="102">
      <c r="A102" s="5" t="inlineStr">
        <is>
          <t>Every type of job at once</t>
        </is>
      </c>
    </row>
    <row r="103">
      <c r="A103" s="12" t="inlineStr">
        <is>
          <t>Job gross margin by month: every month is on the Data sheet.</t>
        </is>
      </c>
    </row>
    <row r="104"/>
    <row r="105"/>
  </sheetData>
  <mergeCells count="11">
    <mergeCell ref="A5:D5"/>
    <mergeCell ref="A8:D8"/>
    <mergeCell ref="A58:D58"/>
    <mergeCell ref="A74:D74"/>
    <mergeCell ref="A77:D77"/>
    <mergeCell ref="A97:D97"/>
    <mergeCell ref="A100:D100"/>
    <mergeCell ref="A26:D26"/>
    <mergeCell ref="A55:D55"/>
    <mergeCell ref="A29:D29"/>
    <mergeCell ref="A11:D1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24" min="0" max="16383" man="1"/>
    <brk id="36" min="0" max="16383" man="1"/>
    <brk id="65" min="0" max="16383" man="1"/>
    <brk id="86" min="0" max="16383" man="1"/>
  </rowBreaks>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5" t="inlineStr">
        <is>
          <t>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July and June</t>
        </is>
      </c>
    </row>
    <row r="32">
      <c r="A32" s="12" t="inlineStr">
        <is>
          <t>Revenue less direct cost, over revenue. Before overheads.</t>
        </is>
      </c>
    </row>
    <row r="33">
      <c r="A33" s="6" t="inlineStr"/>
      <c r="B33" s="7" t="inlineStr">
        <is>
          <t>Jul 26</t>
        </is>
      </c>
      <c r="C33" s="7" t="inlineStr">
        <is>
          <t>Jun 26</t>
        </is>
      </c>
    </row>
    <row r="34">
      <c r="A34" t="inlineStr">
        <is>
          <t>Revenue</t>
        </is>
      </c>
      <c r="B34" s="13" t="n">
        <v>193245</v>
      </c>
      <c r="C34" s="13" t="n">
        <v>173163</v>
      </c>
    </row>
    <row r="35">
      <c r="A35" t="inlineStr">
        <is>
          <t>Direct cost</t>
        </is>
      </c>
      <c r="B35" s="13" t="n">
        <v>122124</v>
      </c>
      <c r="C35" s="13" t="n">
        <v>106500</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July 2026</t>
        </is>
      </c>
    </row>
    <row r="41">
      <c r="A41" s="12" t="inlineStr">
        <is>
          <t>Gross margin on the work − time not charged − overheads = profit before tax</t>
        </is>
      </c>
    </row>
    <row r="42">
      <c r="A42" s="6" t="inlineStr"/>
      <c r="B42" s="7" t="inlineStr">
        <is>
          <t>Jul 2026</t>
        </is>
      </c>
    </row>
    <row r="43">
      <c r="A43" t="inlineStr">
        <is>
          <t>Gross margin on jobs</t>
        </is>
      </c>
      <c r="B43" s="13" t="n">
        <v>71121</v>
      </c>
    </row>
    <row r="44">
      <c r="A44" t="inlineStr">
        <is>
          <t>Technician wages and on-costs</t>
        </is>
      </c>
      <c r="B44" s="13" t="n">
        <v>54600</v>
      </c>
    </row>
    <row r="45">
      <c r="A45" t="inlineStr">
        <is>
          <t>Technician time charged to jobs (at cost)</t>
        </is>
      </c>
      <c r="B45" s="13" t="n">
        <v>56814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59440</v>
      </c>
    </row>
    <row r="49">
      <c r="A49" t="inlineStr">
        <is>
          <t>Profit before tax (the P&amp;L)</t>
        </is>
      </c>
      <c r="B49" s="13">
        <f>B47-B48</f>
        <v/>
      </c>
    </row>
    <row r="50">
      <c r="A50" t="inlineStr">
        <is>
          <t>Revenue</t>
        </is>
      </c>
      <c r="B50" s="13" t="n">
        <v>193245</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July 2026 P&amp;L (locked). Wages always include all on-costs: super, payroll tax, workers' compensation insurance and leave.</t>
        </is>
      </c>
    </row>
    <row r="55"/>
    <row r="56"/>
    <row r="57">
      <c r="A57" s="5" t="inlineStr">
        <is>
          <t>Maintenance contracts, July</t>
        </is>
      </c>
    </row>
    <row r="58">
      <c r="A58" s="12" t="inlineStr">
        <is>
          <t>Revenue less direct cost (materials, subcontractors, technician time at cost)</t>
        </is>
      </c>
    </row>
    <row r="59">
      <c r="A59" s="6" t="inlineStr"/>
      <c r="B59" s="7" t="inlineStr">
        <is>
          <t>Jul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July</t>
        </is>
      </c>
    </row>
    <row r="67">
      <c r="A67" s="12" t="inlineStr">
        <is>
          <t>Revenue less direct cost (materials, subcontractors, technician time at cost)</t>
        </is>
      </c>
    </row>
    <row r="68">
      <c r="A68" s="6" t="inlineStr"/>
      <c r="B68" s="7" t="inlineStr">
        <is>
          <t>Jul 2026</t>
        </is>
      </c>
    </row>
    <row r="69">
      <c r="A69" t="inlineStr">
        <is>
          <t>Revenue</t>
        </is>
      </c>
      <c r="B69" s="13" t="n">
        <v>127600</v>
      </c>
    </row>
    <row r="70">
      <c r="A70" t="inlineStr">
        <is>
          <t>Direct cost</t>
        </is>
      </c>
      <c r="B70" s="13" t="n">
        <v>91520</v>
      </c>
    </row>
    <row r="71">
      <c r="A71" t="inlineStr">
        <is>
          <t>Gross margin</t>
        </is>
      </c>
      <c r="B71" s="13">
        <f>B69-B70</f>
        <v/>
      </c>
    </row>
    <row r="72">
      <c r="A72" s="15" t="inlineStr">
        <is>
          <t>Gross margin %</t>
        </is>
      </c>
      <c r="B72" s="16">
        <f>B71/B69</f>
        <v/>
      </c>
    </row>
    <row r="73"/>
    <row r="74"/>
    <row r="75">
      <c r="A75" s="5" t="inlineStr">
        <is>
          <t>Call-outs and repairs, July</t>
        </is>
      </c>
    </row>
    <row r="76">
      <c r="A76" s="12" t="inlineStr">
        <is>
          <t>Revenue less direct cost (materials, subcontractors, technician time at cost)</t>
        </is>
      </c>
    </row>
    <row r="77">
      <c r="A77" s="6" t="inlineStr"/>
      <c r="B77" s="7" t="inlineStr">
        <is>
          <t>Jul 2026</t>
        </is>
      </c>
    </row>
    <row r="78">
      <c r="A78" t="inlineStr">
        <is>
          <t>Revenue</t>
        </is>
      </c>
      <c r="B78" s="13" t="n">
        <v>25145</v>
      </c>
    </row>
    <row r="79">
      <c r="A79" t="inlineStr">
        <is>
          <t>Direct cost</t>
        </is>
      </c>
      <c r="B79" s="13" t="n">
        <v>14220</v>
      </c>
    </row>
    <row r="80">
      <c r="A80" t="inlineStr">
        <is>
          <t>Gross margin</t>
        </is>
      </c>
      <c r="B80" s="13">
        <f>B78-B79</f>
        <v/>
      </c>
    </row>
    <row r="81">
      <c r="A81" s="15" t="inlineStr">
        <is>
          <t>Gross margin %</t>
        </is>
      </c>
      <c r="B81" s="16">
        <f>B80/B78</f>
        <v/>
      </c>
    </row>
    <row r="82"/>
    <row r="83"/>
    <row r="84">
      <c r="A84" s="5" t="inlineStr">
        <is>
          <t>Maintenance contracts: gross margin, July and June</t>
        </is>
      </c>
    </row>
    <row r="85">
      <c r="A85" s="12" t="inlineStr">
        <is>
          <t>Revenue less direct cost, over revenue. Before overheads.</t>
        </is>
      </c>
    </row>
    <row r="86">
      <c r="A86" s="6" t="inlineStr"/>
      <c r="B86" s="7" t="inlineStr">
        <is>
          <t>Jul 26</t>
        </is>
      </c>
      <c r="C86" s="7" t="inlineStr">
        <is>
          <t>Jun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July and June</t>
        </is>
      </c>
    </row>
    <row r="94">
      <c r="A94" s="12" t="inlineStr">
        <is>
          <t>Revenue less direct cost, over revenue. Before overheads.</t>
        </is>
      </c>
    </row>
    <row r="95">
      <c r="A95" s="6" t="inlineStr"/>
      <c r="B95" s="7" t="inlineStr">
        <is>
          <t>Jul 26</t>
        </is>
      </c>
      <c r="C95" s="7" t="inlineStr">
        <is>
          <t>Jun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July 2026</t>
        </is>
      </c>
    </row>
    <row r="103">
      <c r="A103" s="12" t="inlineStr">
        <is>
          <t>Gross margin on the work − time not charged − overheads = profit before tax</t>
        </is>
      </c>
    </row>
    <row r="104">
      <c r="A104" s="6" t="inlineStr"/>
      <c r="B104" s="7" t="inlineStr">
        <is>
          <t>Jul 2026</t>
        </is>
      </c>
    </row>
    <row r="105">
      <c r="A105" t="inlineStr">
        <is>
          <t>Gross margin on jobs</t>
        </is>
      </c>
      <c r="B105" s="13" t="n">
        <v>71121</v>
      </c>
    </row>
    <row r="106">
      <c r="A106" t="inlineStr">
        <is>
          <t>Technician wages and on-costs</t>
        </is>
      </c>
      <c r="B106" s="13" t="n">
        <v>54600</v>
      </c>
    </row>
    <row r="107">
      <c r="A107" t="inlineStr">
        <is>
          <t>Technician time charged to jobs (at cost)</t>
        </is>
      </c>
      <c r="B107" s="13" t="n">
        <v>56814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59440</v>
      </c>
    </row>
    <row r="111">
      <c r="A111" t="inlineStr">
        <is>
          <t>Profit before tax (the P&amp;L)</t>
        </is>
      </c>
      <c r="B111" s="13">
        <f>B109-B110</f>
        <v/>
      </c>
    </row>
    <row r="112">
      <c r="A112" t="inlineStr">
        <is>
          <t>Revenue</t>
        </is>
      </c>
      <c r="B112" s="13" t="n">
        <v>193245</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July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Installations: gross margin, July and June</t>
        </is>
      </c>
    </row>
    <row r="302">
      <c r="A302" s="12" t="inlineStr">
        <is>
          <t>Revenue less direct cost, over revenue. Before overheads.</t>
        </is>
      </c>
    </row>
    <row r="303">
      <c r="A303" s="6" t="inlineStr"/>
      <c r="B303" s="7" t="inlineStr">
        <is>
          <t>Jul 26</t>
        </is>
      </c>
      <c r="C303" s="7" t="inlineStr">
        <is>
          <t>Jun 26</t>
        </is>
      </c>
    </row>
    <row r="304">
      <c r="A304" t="inlineStr">
        <is>
          <t>Revenue</t>
        </is>
      </c>
      <c r="B304" s="13" t="n">
        <v>127600</v>
      </c>
      <c r="C304" s="13" t="n">
        <v>103200</v>
      </c>
    </row>
    <row r="305">
      <c r="A305" t="inlineStr">
        <is>
          <t>Direct cost</t>
        </is>
      </c>
      <c r="B305" s="13" t="n">
        <v>91520</v>
      </c>
      <c r="C305" s="13" t="n">
        <v>73792</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Installations: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127600</v>
      </c>
      <c r="C313" s="13" t="n">
        <v>103200</v>
      </c>
    </row>
    <row r="314">
      <c r="A314" t="inlineStr">
        <is>
          <t>Direct cost</t>
        </is>
      </c>
      <c r="B314" s="13" t="n">
        <v>91520</v>
      </c>
      <c r="C314" s="13" t="n">
        <v>73792</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From gross margin to profit, July 2026</t>
        </is>
      </c>
    </row>
    <row r="320">
      <c r="A320" s="12" t="inlineStr">
        <is>
          <t>Gross margin on the work − time not charged − overheads = profit before tax</t>
        </is>
      </c>
    </row>
    <row r="321">
      <c r="A321" s="6" t="inlineStr"/>
      <c r="B321" s="7" t="inlineStr">
        <is>
          <t>Jul 2026</t>
        </is>
      </c>
    </row>
    <row r="322">
      <c r="A322" t="inlineStr">
        <is>
          <t>Gross margin on jobs</t>
        </is>
      </c>
      <c r="B322" s="13" t="n">
        <v>71121</v>
      </c>
    </row>
    <row r="323">
      <c r="A323" t="inlineStr">
        <is>
          <t>Technician wages and on-costs</t>
        </is>
      </c>
      <c r="B323" s="13" t="n">
        <v>54600</v>
      </c>
    </row>
    <row r="324">
      <c r="A324" t="inlineStr">
        <is>
          <t>Technician time charged to jobs (at cost)</t>
        </is>
      </c>
      <c r="B324" s="13" t="n">
        <v>56814</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59440</v>
      </c>
    </row>
    <row r="328">
      <c r="A328" t="inlineStr">
        <is>
          <t>Profit before tax (the P&amp;L)</t>
        </is>
      </c>
      <c r="B328" s="13">
        <f>B326-B327</f>
        <v/>
      </c>
    </row>
    <row r="329">
      <c r="A329" t="inlineStr">
        <is>
          <t>Revenue</t>
        </is>
      </c>
      <c r="B329" s="13" t="n">
        <v>193245</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July 2026 P&amp;L (locked). Wages always include all on-costs: super, payroll tax, workers' compensation insurance and leave.</t>
        </is>
      </c>
    </row>
    <row r="334"/>
    <row r="335"/>
    <row r="336">
      <c r="A336" s="5" t="inlineStr">
        <is>
          <t>Installation 3, July</t>
        </is>
      </c>
    </row>
    <row r="337">
      <c r="A337" s="12" t="inlineStr">
        <is>
          <t>Job gross margin ÷ revenue for this job (before overheads)</t>
        </is>
      </c>
    </row>
    <row r="338">
      <c r="A338" s="6" t="inlineStr"/>
      <c r="B338" s="7" t="inlineStr">
        <is>
          <t>This job</t>
        </is>
      </c>
    </row>
    <row r="339">
      <c r="A339" t="inlineStr">
        <is>
          <t>Revenue</t>
        </is>
      </c>
      <c r="B339" s="13" t="n">
        <v>29200</v>
      </c>
    </row>
    <row r="340">
      <c r="A340" t="inlineStr">
        <is>
          <t>Materials</t>
        </is>
      </c>
      <c r="B340" s="13" t="n">
        <v>-11000</v>
      </c>
    </row>
    <row r="341">
      <c r="A341" t="inlineStr">
        <is>
          <t>Subcontractors</t>
        </is>
      </c>
      <c r="B341" s="13" t="n">
        <v>-2300</v>
      </c>
    </row>
    <row r="342">
      <c r="A342" t="inlineStr">
        <is>
          <t>Technician hours</t>
        </is>
      </c>
      <c r="B342" s="17" t="n">
        <v>112</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July</t>
        </is>
      </c>
    </row>
    <row r="350">
      <c r="A350" s="12" t="inlineStr">
        <is>
          <t>Job gross margin ÷ revenue for this job (before overheads)</t>
        </is>
      </c>
    </row>
    <row r="351">
      <c r="A351" s="6" t="inlineStr"/>
      <c r="B351" s="7" t="inlineStr">
        <is>
          <t>This job</t>
        </is>
      </c>
    </row>
    <row r="352">
      <c r="A352" t="inlineStr">
        <is>
          <t>Revenue</t>
        </is>
      </c>
      <c r="B352" s="13" t="n">
        <v>30500</v>
      </c>
    </row>
    <row r="353">
      <c r="A353" t="inlineStr">
        <is>
          <t>Materials</t>
        </is>
      </c>
      <c r="B353" s="13" t="n">
        <v>-11500</v>
      </c>
    </row>
    <row r="354">
      <c r="A354" t="inlineStr">
        <is>
          <t>Subcontractors</t>
        </is>
      </c>
      <c r="B354" s="13" t="n">
        <v>-2400</v>
      </c>
    </row>
    <row r="355">
      <c r="A355" t="inlineStr">
        <is>
          <t>Technician hours</t>
        </is>
      </c>
      <c r="B355" s="17" t="n">
        <v>117</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4, July</t>
        </is>
      </c>
    </row>
    <row r="363">
      <c r="A363" s="12" t="inlineStr">
        <is>
          <t>Job gross margin ÷ revenue for this job (before overheads)</t>
        </is>
      </c>
    </row>
    <row r="364">
      <c r="A364" s="6" t="inlineStr"/>
      <c r="B364" s="7" t="inlineStr">
        <is>
          <t>This job</t>
        </is>
      </c>
    </row>
    <row r="365">
      <c r="A365" t="inlineStr">
        <is>
          <t>Revenue</t>
        </is>
      </c>
      <c r="B365" s="13" t="n">
        <v>33300</v>
      </c>
    </row>
    <row r="366">
      <c r="A366" t="inlineStr">
        <is>
          <t>Materials</t>
        </is>
      </c>
      <c r="B366" s="13" t="n">
        <v>-12600</v>
      </c>
    </row>
    <row r="367">
      <c r="A367" t="inlineStr">
        <is>
          <t>Subcontractors</t>
        </is>
      </c>
      <c r="B367" s="13" t="n">
        <v>-2600</v>
      </c>
    </row>
    <row r="368">
      <c r="A368" t="inlineStr">
        <is>
          <t>Technician hours</t>
        </is>
      </c>
      <c r="B368" s="17" t="n">
        <v>128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July</t>
        </is>
      </c>
    </row>
    <row r="376">
      <c r="A376" s="12" t="inlineStr">
        <is>
          <t>Job gross margin ÷ revenue for this job (before overheads)</t>
        </is>
      </c>
    </row>
    <row r="377">
      <c r="A377" s="6" t="inlineStr"/>
      <c r="B377" s="7" t="inlineStr">
        <is>
          <t>This job</t>
        </is>
      </c>
    </row>
    <row r="378">
      <c r="A378" t="inlineStr">
        <is>
          <t>Revenue</t>
        </is>
      </c>
      <c r="B378" s="13" t="n">
        <v>34600</v>
      </c>
    </row>
    <row r="379">
      <c r="A379" t="inlineStr">
        <is>
          <t>Materials</t>
        </is>
      </c>
      <c r="B379" s="13" t="n">
        <v>-13100</v>
      </c>
    </row>
    <row r="380">
      <c r="A380" t="inlineStr">
        <is>
          <t>Subcontractors</t>
        </is>
      </c>
      <c r="B380" s="13" t="n">
        <v>-2700</v>
      </c>
    </row>
    <row r="381">
      <c r="A381" t="inlineStr">
        <is>
          <t>Technician hours</t>
        </is>
      </c>
      <c r="B381" s="17" t="n">
        <v>133</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Call-outs and repairs: gross margin, July and June</t>
        </is>
      </c>
    </row>
    <row r="389">
      <c r="A389" s="12" t="inlineStr">
        <is>
          <t>Revenue less direct cost, over revenue. Before overheads.</t>
        </is>
      </c>
    </row>
    <row r="390">
      <c r="A390" s="6" t="inlineStr"/>
      <c r="B390" s="7" t="inlineStr">
        <is>
          <t>Jul 26</t>
        </is>
      </c>
      <c r="C390" s="7" t="inlineStr">
        <is>
          <t>Jun 26</t>
        </is>
      </c>
    </row>
    <row r="391">
      <c r="A391" t="inlineStr">
        <is>
          <t>Revenue</t>
        </is>
      </c>
      <c r="B391" s="13" t="n">
        <v>25145</v>
      </c>
      <c r="C391" s="13" t="n">
        <v>29463</v>
      </c>
    </row>
    <row r="392">
      <c r="A392" t="inlineStr">
        <is>
          <t>Direct cost</t>
        </is>
      </c>
      <c r="B392" s="13" t="n">
        <v>14220</v>
      </c>
      <c r="C392" s="13" t="n">
        <v>16324</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Call-outs and repairs: gross margin, July and June</t>
        </is>
      </c>
    </row>
    <row r="398">
      <c r="A398" s="12" t="inlineStr">
        <is>
          <t>Revenue less direct cost, over revenue. Before overheads.</t>
        </is>
      </c>
    </row>
    <row r="399">
      <c r="A399" s="6" t="inlineStr"/>
      <c r="B399" s="7" t="inlineStr">
        <is>
          <t>Jul 26</t>
        </is>
      </c>
      <c r="C399" s="7" t="inlineStr">
        <is>
          <t>Jun 26</t>
        </is>
      </c>
    </row>
    <row r="400">
      <c r="A400" t="inlineStr">
        <is>
          <t>Revenue</t>
        </is>
      </c>
      <c r="B400" s="13" t="n">
        <v>25145</v>
      </c>
      <c r="C400" s="13" t="n">
        <v>29463</v>
      </c>
    </row>
    <row r="401">
      <c r="A401" t="inlineStr">
        <is>
          <t>Direct cost</t>
        </is>
      </c>
      <c r="B401" s="13" t="n">
        <v>14220</v>
      </c>
      <c r="C401" s="13" t="n">
        <v>16324</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From gross margin to profit, July 2026</t>
        </is>
      </c>
    </row>
    <row r="407">
      <c r="A407" s="12" t="inlineStr">
        <is>
          <t>Gross margin on the work − time not charged − overheads = profit before tax</t>
        </is>
      </c>
    </row>
    <row r="408">
      <c r="A408" s="6" t="inlineStr"/>
      <c r="B408" s="7" t="inlineStr">
        <is>
          <t>Jul 2026</t>
        </is>
      </c>
    </row>
    <row r="409">
      <c r="A409" t="inlineStr">
        <is>
          <t>Gross margin on jobs</t>
        </is>
      </c>
      <c r="B409" s="13" t="n">
        <v>71121</v>
      </c>
    </row>
    <row r="410">
      <c r="A410" t="inlineStr">
        <is>
          <t>Technician wages and on-costs</t>
        </is>
      </c>
      <c r="B410" s="13" t="n">
        <v>54600</v>
      </c>
    </row>
    <row r="411">
      <c r="A411" t="inlineStr">
        <is>
          <t>Technician time charged to jobs (at cost)</t>
        </is>
      </c>
      <c r="B411" s="13" t="n">
        <v>56814</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59440</v>
      </c>
    </row>
    <row r="415">
      <c r="A415" t="inlineStr">
        <is>
          <t>Profit before tax (the P&amp;L)</t>
        </is>
      </c>
      <c r="B415" s="13">
        <f>B413-B414</f>
        <v/>
      </c>
    </row>
    <row r="416">
      <c r="A416" t="inlineStr">
        <is>
          <t>Revenue</t>
        </is>
      </c>
      <c r="B416" s="13" t="n">
        <v>193245</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July 2026 P&amp;L (locked). Wages always include all on-costs: super, payroll tax, workers' compensation insurance and leave.</t>
        </is>
      </c>
    </row>
    <row r="421"/>
    <row r="422"/>
    <row r="423">
      <c r="A423" s="5" t="inlineStr">
        <is>
          <t>Call-out revenue, July</t>
        </is>
      </c>
    </row>
    <row r="424">
      <c r="A424" s="12" t="inlineStr">
        <is>
          <t>Technician time charged at $145/hour + materials charged at cost × 1.3</t>
        </is>
      </c>
    </row>
    <row r="425">
      <c r="A425" s="6" t="inlineStr"/>
      <c r="B425" s="7" t="inlineStr">
        <is>
          <t>Jul 2026</t>
        </is>
      </c>
    </row>
    <row r="426">
      <c r="A426" t="inlineStr">
        <is>
          <t>Technician time charged ($145/hour)</t>
        </is>
      </c>
      <c r="B426" s="13" t="n">
        <v>17046</v>
      </c>
    </row>
    <row r="427">
      <c r="A427" t="inlineStr">
        <is>
          <t>Materials at cost</t>
        </is>
      </c>
      <c r="B427" s="13" t="n">
        <v>6230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8099</v>
      </c>
    </row>
    <row r="431">
      <c r="A431" t="inlineStr">
        <is>
          <t>Call-out revenue</t>
        </is>
      </c>
      <c r="B431" s="13">
        <f>B426+B430</f>
        <v/>
      </c>
    </row>
    <row r="432">
      <c r="A432" s="15" t="inlineStr">
        <is>
          <t>Technician time, % of call-out revenue</t>
        </is>
      </c>
      <c r="B432" s="16">
        <f>B426/B431</f>
        <v/>
      </c>
    </row>
    <row r="433"/>
    <row r="434"/>
    <row r="435">
      <c r="A435" s="5" t="inlineStr">
        <is>
          <t>Call-out revenue, July</t>
        </is>
      </c>
    </row>
    <row r="436">
      <c r="A436" s="12" t="inlineStr">
        <is>
          <t>Technician time charged at $145/hour + materials charged at cost × 1.3</t>
        </is>
      </c>
    </row>
    <row r="437">
      <c r="A437" s="6" t="inlineStr"/>
      <c r="B437" s="7" t="inlineStr">
        <is>
          <t>Jul 2026</t>
        </is>
      </c>
    </row>
    <row r="438">
      <c r="A438" t="inlineStr">
        <is>
          <t>Technician time charged ($145/hour)</t>
        </is>
      </c>
      <c r="B438" s="13" t="n">
        <v>17046</v>
      </c>
    </row>
    <row r="439">
      <c r="A439" t="inlineStr">
        <is>
          <t>Materials at cost</t>
        </is>
      </c>
      <c r="B439" s="13" t="n">
        <v>6230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8099</v>
      </c>
    </row>
    <row r="443">
      <c r="A443" t="inlineStr">
        <is>
          <t>Call-out revenue</t>
        </is>
      </c>
      <c r="B443" s="13">
        <f>B438+B442</f>
        <v/>
      </c>
    </row>
    <row r="444">
      <c r="A444" s="15" t="inlineStr">
        <is>
          <t>Technician time, % of call-out revenue</t>
        </is>
      </c>
      <c r="B444" s="16">
        <f>B438/B443</f>
        <v/>
      </c>
    </row>
    <row r="445"/>
    <row r="446"/>
    <row r="447">
      <c r="A447" s="5" t="inlineStr">
        <is>
          <t>1-hour call-outs (8)</t>
        </is>
      </c>
    </row>
    <row r="448">
      <c r="A448" s="12" t="inlineStr">
        <is>
          <t>Call-outs of this length in July, added together</t>
        </is>
      </c>
    </row>
    <row r="449">
      <c r="A449" s="6" t="inlineStr"/>
      <c r="B449" s="7" t="inlineStr">
        <is>
          <t>Jul 2026</t>
        </is>
      </c>
    </row>
    <row r="450">
      <c r="A450" t="inlineStr">
        <is>
          <t>Call-outs</t>
        </is>
      </c>
      <c r="B450" s="13" t="n">
        <v>8</v>
      </c>
    </row>
    <row r="451">
      <c r="A451" t="inlineStr">
        <is>
          <t>Technician time charged ($145/hour)</t>
        </is>
      </c>
      <c r="B451" s="13" t="n">
        <v>1160</v>
      </c>
    </row>
    <row r="452">
      <c r="A452" t="inlineStr">
        <is>
          <t>Materials charged (cost × 1.3)</t>
        </is>
      </c>
      <c r="B452" s="13" t="n">
        <v>1339</v>
      </c>
    </row>
    <row r="453">
      <c r="A453" t="inlineStr">
        <is>
          <t>Revenue</t>
        </is>
      </c>
      <c r="B453" s="13">
        <f>B451+B452</f>
        <v/>
      </c>
    </row>
    <row r="454">
      <c r="A454" t="inlineStr">
        <is>
          <t>Materials at cost</t>
        </is>
      </c>
      <c r="B454" s="13" t="n">
        <v>-1030</v>
      </c>
    </row>
    <row r="455">
      <c r="A455" t="inlineStr">
        <is>
          <t>Technician time at cost</t>
        </is>
      </c>
      <c r="B455" s="13" t="n">
        <v>-544</v>
      </c>
    </row>
    <row r="456">
      <c r="A456" t="inlineStr">
        <is>
          <t>Job gross margin</t>
        </is>
      </c>
      <c r="B456" s="13">
        <f>B453+B454+B455</f>
        <v/>
      </c>
    </row>
    <row r="457">
      <c r="A457" s="15" t="inlineStr">
        <is>
          <t>Job gross margin %</t>
        </is>
      </c>
      <c r="B457" s="16">
        <f>B456/B453</f>
        <v/>
      </c>
    </row>
    <row r="458"/>
    <row r="459"/>
    <row r="460">
      <c r="A460" s="5" t="inlineStr">
        <is>
          <t>1.5-hour call-outs (10)</t>
        </is>
      </c>
    </row>
    <row r="461">
      <c r="A461" s="12" t="inlineStr">
        <is>
          <t>Call-outs of this length in July, added together</t>
        </is>
      </c>
    </row>
    <row r="462">
      <c r="A462" s="6" t="inlineStr"/>
      <c r="B462" s="7" t="inlineStr">
        <is>
          <t>Jul 2026</t>
        </is>
      </c>
    </row>
    <row r="463">
      <c r="A463" t="inlineStr">
        <is>
          <t>Call-outs</t>
        </is>
      </c>
      <c r="B463" s="13" t="n">
        <v>10</v>
      </c>
    </row>
    <row r="464">
      <c r="A464" t="inlineStr">
        <is>
          <t>Technician time charged ($145/hour)</t>
        </is>
      </c>
      <c r="B464" s="13" t="n">
        <v>2180</v>
      </c>
    </row>
    <row r="465">
      <c r="A465" t="inlineStr">
        <is>
          <t>Materials charged (cost × 1.3)</t>
        </is>
      </c>
      <c r="B465" s="13" t="n">
        <v>1495</v>
      </c>
    </row>
    <row r="466">
      <c r="A466" t="inlineStr">
        <is>
          <t>Revenue</t>
        </is>
      </c>
      <c r="B466" s="13">
        <f>B464+B465</f>
        <v/>
      </c>
    </row>
    <row r="467">
      <c r="A467" t="inlineStr">
        <is>
          <t>Materials at cost</t>
        </is>
      </c>
      <c r="B467" s="13" t="n">
        <v>-1150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2-hour call-outs (15)</t>
        </is>
      </c>
    </row>
    <row r="474">
      <c r="A474" s="12" t="inlineStr">
        <is>
          <t>Call-outs of this length in July, added together</t>
        </is>
      </c>
    </row>
    <row r="475">
      <c r="A475" s="6" t="inlineStr"/>
      <c r="B475" s="7" t="inlineStr">
        <is>
          <t>Jul 2026</t>
        </is>
      </c>
    </row>
    <row r="476">
      <c r="A476" t="inlineStr">
        <is>
          <t>Call-outs</t>
        </is>
      </c>
      <c r="B476" s="13" t="n">
        <v>15</v>
      </c>
    </row>
    <row r="477">
      <c r="A477" t="inlineStr">
        <is>
          <t>Technician time charged ($145/hour)</t>
        </is>
      </c>
      <c r="B477" s="13" t="n">
        <v>4350</v>
      </c>
    </row>
    <row r="478">
      <c r="A478" t="inlineStr">
        <is>
          <t>Materials charged (cost × 1.3)</t>
        </is>
      </c>
      <c r="B478" s="13" t="n">
        <v>1807</v>
      </c>
    </row>
    <row r="479">
      <c r="A479" t="inlineStr">
        <is>
          <t>Revenue</t>
        </is>
      </c>
      <c r="B479" s="13">
        <f>B477+B478</f>
        <v/>
      </c>
    </row>
    <row r="480">
      <c r="A480" t="inlineStr">
        <is>
          <t>Materials at cost</t>
        </is>
      </c>
      <c r="B480" s="13" t="n">
        <v>-1390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2.5-hour call-outs (7)</t>
        </is>
      </c>
    </row>
    <row r="487">
      <c r="A487" s="12" t="inlineStr">
        <is>
          <t>Call-outs of this length in July, added together</t>
        </is>
      </c>
    </row>
    <row r="488">
      <c r="A488" s="6" t="inlineStr"/>
      <c r="B488" s="7" t="inlineStr">
        <is>
          <t>Jul 2026</t>
        </is>
      </c>
    </row>
    <row r="489">
      <c r="A489" t="inlineStr">
        <is>
          <t>Call-outs</t>
        </is>
      </c>
      <c r="B489" s="13" t="n">
        <v>7</v>
      </c>
    </row>
    <row r="490">
      <c r="A490" t="inlineStr">
        <is>
          <t>Technician time charged ($145/hour)</t>
        </is>
      </c>
      <c r="B490" s="13" t="n">
        <v>2541</v>
      </c>
    </row>
    <row r="491">
      <c r="A491" t="inlineStr">
        <is>
          <t>Materials charged (cost × 1.3)</t>
        </is>
      </c>
      <c r="B491" s="13" t="n">
        <v>988</v>
      </c>
    </row>
    <row r="492">
      <c r="A492" t="inlineStr">
        <is>
          <t>Revenue</t>
        </is>
      </c>
      <c r="B492" s="13">
        <f>B490+B491</f>
        <v/>
      </c>
    </row>
    <row r="493">
      <c r="A493" t="inlineStr">
        <is>
          <t>Materials at cost</t>
        </is>
      </c>
      <c r="B493" s="13" t="n">
        <v>-760</v>
      </c>
    </row>
    <row r="494">
      <c r="A494" t="inlineStr">
        <is>
          <t>Technician time at cost</t>
        </is>
      </c>
      <c r="B494" s="13" t="n">
        <v>-1190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July, added together</t>
        </is>
      </c>
    </row>
    <row r="501">
      <c r="A501" s="6" t="inlineStr"/>
      <c r="B501" s="7" t="inlineStr">
        <is>
          <t>Jul 2026</t>
        </is>
      </c>
    </row>
    <row r="502">
      <c r="A502" t="inlineStr">
        <is>
          <t>Call-outs</t>
        </is>
      </c>
      <c r="B502" s="13" t="n">
        <v>9</v>
      </c>
    </row>
    <row r="503">
      <c r="A503" t="inlineStr">
        <is>
          <t>Technician time charged ($145/hour)</t>
        </is>
      </c>
      <c r="B503" s="13" t="n">
        <v>3915</v>
      </c>
    </row>
    <row r="504">
      <c r="A504" t="inlineStr">
        <is>
          <t>Materials charged (cost × 1.3)</t>
        </is>
      </c>
      <c r="B504" s="13" t="n">
        <v>1495</v>
      </c>
    </row>
    <row r="505">
      <c r="A505" t="inlineStr">
        <is>
          <t>Revenue</t>
        </is>
      </c>
      <c r="B505" s="13">
        <f>B503+B504</f>
        <v/>
      </c>
    </row>
    <row r="506">
      <c r="A506" t="inlineStr">
        <is>
          <t>Materials at cost</t>
        </is>
      </c>
      <c r="B506" s="13" t="n">
        <v>-1150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(5)</t>
        </is>
      </c>
    </row>
    <row r="513">
      <c r="A513" s="12" t="inlineStr">
        <is>
          <t>Call-outs of this length in July, added together</t>
        </is>
      </c>
    </row>
    <row r="514">
      <c r="A514" s="6" t="inlineStr"/>
      <c r="B514" s="7" t="inlineStr">
        <is>
          <t>Jul 2026</t>
        </is>
      </c>
    </row>
    <row r="515">
      <c r="A515" t="inlineStr">
        <is>
          <t>Call-outs</t>
        </is>
      </c>
      <c r="B515" s="13" t="n">
        <v>5</v>
      </c>
    </row>
    <row r="516">
      <c r="A516" t="inlineStr">
        <is>
          <t>Technician time charged ($145/hour)</t>
        </is>
      </c>
      <c r="B516" s="13" t="n">
        <v>2900</v>
      </c>
    </row>
    <row r="517">
      <c r="A517" t="inlineStr">
        <is>
          <t>Materials charged (cost × 1.3)</t>
        </is>
      </c>
      <c r="B517" s="13" t="n">
        <v>975</v>
      </c>
    </row>
    <row r="518">
      <c r="A518" t="inlineStr">
        <is>
          <t>Revenue</t>
        </is>
      </c>
      <c r="B518" s="13">
        <f>B516+B517</f>
        <v/>
      </c>
    </row>
    <row r="519">
      <c r="A519" t="inlineStr">
        <is>
          <t>Materials at cost</t>
        </is>
      </c>
      <c r="B519" s="13" t="n">
        <v>-750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2026-10-07T12:57:52Z</dcterms:created>
  <dcterms:modified xmlns:dcterms="http://purl.org/dc/terms/" xmlns:xsi="http://www.w3.org/2001/XMLSchema-instance" xsi:type="dcterms:W3CDTF">2026-10-07T12:57:52Z</dcterms:modified>
</cp:coreProperties>
</file>