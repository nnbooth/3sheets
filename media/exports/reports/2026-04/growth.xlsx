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 xmlns:r="http://schemas.openxmlformats.org/officeDocument/2006/relationships" name="Data Services" sheetId="5" state="visible" r:id="rId5"/>
    <sheet xmlns:r="http://schemas.openxmlformats.org/officeDocument/2006/relationships" name="Year to date Services" sheetId="6" state="visible" r:id="rId6"/>
  </sheets>
  <definedNames>
    <definedName name="_xlnm.Print_Titles" localSheetId="2">'Data Trades'!$5:$5</definedName>
    <definedName name="_xlnm.Print_Titles" localSheetId="3">'Year to date Trades'!$5:$5</definedName>
    <definedName name="_xlnm.Print_Titles" localSheetId="4">'Data Services'!$5:$5</definedName>
    <definedName name="_xlnm.Print_Titles" localSheetId="5">'Year to date Services'!$5:$5</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font>
    <font>
      <name val="Roboto"/>
      <b val="1"/>
      <color rgb="002F7A5D"/>
      <sz val="12"/>
    </font>
    <font>
      <name val="Roboto"/>
      <i val="1"/>
      <color rgb="005F6F63"/>
    </font>
    <font>
      <name val="Roboto"/>
      <b val="1"/>
      <color rgb="00FFFFFF"/>
    </font>
    <font>
      <name val="Roboto"/>
      <b val="1"/>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8" fillId="2" borderId="0" applyAlignment="1" pivotButton="0" quotePrefix="0" xfId="0">
      <alignment horizontal="left" vertical="center" wrapText="1"/>
    </xf>
    <xf numFmtId="0" fontId="8" fillId="2" borderId="0" applyAlignment="1" pivotButton="0" quotePrefix="0" xfId="0">
      <alignment horizontal="right" vertical="center" wrapText="1"/>
    </xf>
    <xf numFmtId="165" fontId="0" fillId="0" borderId="0" pivotButton="0" quotePrefix="0" xfId="0"/>
    <xf numFmtId="0" fontId="10" fillId="0" borderId="0" pivotButton="0" quotePrefix="0" xfId="0"/>
    <xf numFmtId="0" fontId="7"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9" fillId="0" borderId="1" pivotButton="0" quotePrefix="0" xfId="0"/>
    <xf numFmtId="165" fontId="9"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23"/>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SME sample businesses · SAMPLE DATA (invented) · The Fourth Sheet</t>
        </is>
      </c>
    </row>
    <row r="3">
      <c r="A3" s="2" t="inlineStr">
        <is>
          <t>Period: April 2026 · Data status: Mar 2026 locked · Apr 2026 locked · Oct 2026 incomplete (data retrieved 2pm, Tue 6 Oct 2026)</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Gross margin, not profit</t>
        </is>
      </c>
    </row>
    <row r="9" ht="90" customHeight="1">
      <c r="A9"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10"/>
    <row r="11">
      <c r="A11" s="5" t="inlineStr">
        <is>
          <t>From gross margin to profit</t>
        </is>
      </c>
    </row>
    <row r="12" ht="45" customHeight="1">
      <c r="A12" s="3" t="inlineStr">
        <is>
          <t>April's jobs made $68,843 gross margin (41.7%). Technician time not charged to jobs took $6,456 and overheads $59,290, leaving $3,097 profit before tax (1.9% of revenue). To cover overheads, jobs need a 39.8% gross margin on average. (Workings sheet: "From gross margin to profit".)</t>
        </is>
      </c>
    </row>
    <row r="13"/>
    <row r="14">
      <c r="A14" s="6" t="inlineStr">
        <is>
          <t>Line: All</t>
        </is>
      </c>
    </row>
    <row r="15">
      <c r="A15" s="7" t="inlineStr">
        <is>
          <t>Headline number</t>
        </is>
      </c>
      <c r="B15" s="8" t="inlineStr">
        <is>
          <t>Value</t>
        </is>
      </c>
      <c r="C15" s="8" t="inlineStr">
        <is>
          <t>Compared with</t>
        </is>
      </c>
    </row>
    <row r="16">
      <c r="A16" t="inlineStr">
        <is>
          <t>April against April last year</t>
        </is>
      </c>
      <c r="B16" s="9">
        <f>Workings!B27</f>
        <v/>
      </c>
      <c r="C16" s="10" t="inlineStr">
        <is>
          <t>$164,987 against $124,705</t>
        </is>
      </c>
    </row>
    <row r="17">
      <c r="A17" t="inlineStr">
        <is>
          <t>Year to date (Jul to Apr 2026)</t>
        </is>
      </c>
      <c r="B17" s="9">
        <f>Workings!B35</f>
        <v/>
      </c>
      <c r="C17" s="10" t="inlineStr">
        <is>
          <t>same period last year: not in the data</t>
        </is>
      </c>
    </row>
    <row r="18">
      <c r="A18" t="inlineStr">
        <is>
          <t>Gross margin, year to date</t>
        </is>
      </c>
      <c r="B18" s="9">
        <f>Workings!B43</f>
        <v/>
      </c>
      <c r="C18" s="10" t="inlineStr">
        <is>
          <t>$605,185 before overheads</t>
        </is>
      </c>
    </row>
    <row r="19"/>
    <row r="20">
      <c r="A20" s="5" t="inlineStr">
        <is>
          <t>What it shows</t>
        </is>
      </c>
    </row>
    <row r="21" ht="45" customHeight="1">
      <c r="A21" s="3" t="inlineStr">
        <is>
          <t>Revenue is $1,610,581 this financial year to date (Jul to Apr 2026). Maintenance contracts make the highest gross margin (59.5%); Installations the lowest (28.4%). The business needs 39.8% gross margin just to cover overheads.</t>
        </is>
      </c>
    </row>
    <row r="22"/>
    <row r="23">
      <c r="A23" s="5" t="inlineStr">
        <is>
          <t>What you'd do about it</t>
        </is>
      </c>
    </row>
    <row r="24" ht="60" customHeight="1">
      <c r="A24" s="3" t="inlineStr">
        <is>
          <t>Installations: 28.4% gross margin, 6.6 points under the 35.0% target: about $66,763 on $1,011,500 of revenue this financial year to date. It's below the 39.8% needed to cover overheads, too. Maintenance contracts: 59.5% gross margin, 24.5 points over the 35.0% target ($87,069 ahead on $355,300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April against April last year</t>
        </is>
      </c>
      <c r="B28" s="9">
        <f>Workings!B51</f>
        <v/>
      </c>
      <c r="C28" s="10" t="inlineStr">
        <is>
          <t>$37,500 against $27,930</t>
        </is>
      </c>
    </row>
    <row r="29">
      <c r="A29" t="inlineStr">
        <is>
          <t>Year to date (Jul to Apr 2026)</t>
        </is>
      </c>
      <c r="B29" s="9">
        <f>Workings!B59</f>
        <v/>
      </c>
      <c r="C29" s="10" t="inlineStr">
        <is>
          <t>same period last year: not in the data</t>
        </is>
      </c>
    </row>
    <row r="30">
      <c r="A30" t="inlineStr">
        <is>
          <t>Gross margin, year to date</t>
        </is>
      </c>
      <c r="B30" s="9">
        <f>Workings!B67</f>
        <v/>
      </c>
      <c r="C30" s="10" t="inlineStr">
        <is>
          <t>$211,424 before overheads</t>
        </is>
      </c>
    </row>
    <row r="31"/>
    <row r="32">
      <c r="A32" s="5" t="inlineStr">
        <is>
          <t>What it shows</t>
        </is>
      </c>
    </row>
    <row r="33" ht="30" customHeight="1">
      <c r="A33" s="3" t="inlineStr">
        <is>
          <t>Maintenance contracts brought in $355,300 this financial year to date, at a 59.5% gross margin (above the 37.6% overall).</t>
        </is>
      </c>
    </row>
    <row r="34"/>
    <row r="35">
      <c r="A35" s="5" t="inlineStr">
        <is>
          <t>What you'd do about it</t>
        </is>
      </c>
    </row>
    <row r="36" ht="30" customHeight="1">
      <c r="A36" s="3" t="inlineStr">
        <is>
          <t>Maintenance contracts: 59.5% gross margin, 24.5 points over the 35.0% target ($87,069 ahead on $355,300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April against April last year</t>
        </is>
      </c>
      <c r="B40" s="9">
        <f>Workings!B75</f>
        <v/>
      </c>
      <c r="C40" s="10" t="inlineStr">
        <is>
          <t>$104,400 against $74,900</t>
        </is>
      </c>
    </row>
    <row r="41">
      <c r="A41" t="inlineStr">
        <is>
          <t>Year to date (Jul to Apr 2026)</t>
        </is>
      </c>
      <c r="B41" s="9">
        <f>Workings!B83</f>
        <v/>
      </c>
      <c r="C41" s="10" t="inlineStr">
        <is>
          <t>same period last year: not in the data</t>
        </is>
      </c>
    </row>
    <row r="42">
      <c r="A42" t="inlineStr">
        <is>
          <t>Gross margin, year to date</t>
        </is>
      </c>
      <c r="B42" s="9">
        <f>Workings!B91</f>
        <v/>
      </c>
      <c r="C42" s="10" t="inlineStr">
        <is>
          <t>$287,262 before overheads</t>
        </is>
      </c>
    </row>
    <row r="43"/>
    <row r="44">
      <c r="A44" s="5" t="inlineStr">
        <is>
          <t>What it shows</t>
        </is>
      </c>
    </row>
    <row r="45" ht="30" customHeight="1">
      <c r="A45" s="3" t="inlineStr">
        <is>
          <t>Installations brought in $1,011,500 this financial year to date, at a 28.4% gross margin (below the 37.6% overall).</t>
        </is>
      </c>
    </row>
    <row r="46"/>
    <row r="47">
      <c r="A47" s="5" t="inlineStr">
        <is>
          <t>What you'd do about it</t>
        </is>
      </c>
    </row>
    <row r="48" ht="45" customHeight="1">
      <c r="A48" s="3" t="inlineStr">
        <is>
          <t>Installations: 28.4% gross margin, 6.6 points under the 35.0% target: about $66,763 on $1,011,500 of revenue this financial year to date. It's below the 39.8% needed to cover overheads, too.</t>
        </is>
      </c>
    </row>
    <row r="49"/>
    <row r="50">
      <c r="A50" s="6" t="inlineStr">
        <is>
          <t>Line: Call-outs and repairs</t>
        </is>
      </c>
    </row>
    <row r="51">
      <c r="A51" s="7" t="inlineStr">
        <is>
          <t>Headline number</t>
        </is>
      </c>
      <c r="B51" s="8" t="inlineStr">
        <is>
          <t>Value</t>
        </is>
      </c>
      <c r="C51" s="8" t="inlineStr">
        <is>
          <t>Compared with</t>
        </is>
      </c>
    </row>
    <row r="52">
      <c r="A52" t="inlineStr">
        <is>
          <t>April against April last year</t>
        </is>
      </c>
      <c r="B52" s="9">
        <f>Workings!B99</f>
        <v/>
      </c>
      <c r="C52" s="10" t="inlineStr">
        <is>
          <t>$23,087 against $21,875</t>
        </is>
      </c>
    </row>
    <row r="53">
      <c r="A53" t="inlineStr">
        <is>
          <t>Year to date (Jul to Apr 2026)</t>
        </is>
      </c>
      <c r="B53" s="9">
        <f>Workings!B107</f>
        <v/>
      </c>
      <c r="C53" s="10" t="inlineStr">
        <is>
          <t>same period last year: not in the data</t>
        </is>
      </c>
    </row>
    <row r="54">
      <c r="A54" t="inlineStr">
        <is>
          <t>Gross margin, year to date</t>
        </is>
      </c>
      <c r="B54" s="9">
        <f>Workings!B115</f>
        <v/>
      </c>
      <c r="C54" s="10" t="inlineStr">
        <is>
          <t>$106,499 before overheads</t>
        </is>
      </c>
    </row>
    <row r="55"/>
    <row r="56">
      <c r="A56" s="5" t="inlineStr">
        <is>
          <t>What it shows</t>
        </is>
      </c>
    </row>
    <row r="57" ht="30" customHeight="1">
      <c r="A57" s="3" t="inlineStr">
        <is>
          <t>Call-outs and repairs brought in $243,781 this financial year to date, at a 43.7% gross margin (above the 37.6% overall).</t>
        </is>
      </c>
    </row>
    <row r="58"/>
    <row r="59">
      <c r="A59" s="5" t="inlineStr">
        <is>
          <t>What you'd do about it</t>
        </is>
      </c>
    </row>
    <row r="60" ht="30" customHeight="1">
      <c r="A60" s="3" t="inlineStr">
        <is>
          <t>Call-outs and repairs: 43.7% gross margin, 8.7 points over the 35.0% target ($21,176 ahead on $243,781 this financial year to date).</t>
        </is>
      </c>
    </row>
    <row r="61"/>
    <row r="62">
      <c r="A62" s="6" t="inlineStr">
        <is>
          <t>Every line at once</t>
        </is>
      </c>
    </row>
    <row r="63">
      <c r="A63" s="11" t="inlineStr">
        <is>
          <t>Revenue, gross margin and growth by line, by month: every month is on the Data sheets.</t>
        </is>
      </c>
    </row>
    <row r="64"/>
    <row r="65">
      <c r="A65" s="4" t="inlineStr">
        <is>
          <t>Services</t>
        </is>
      </c>
    </row>
    <row r="66">
      <c r="A66" s="5" t="inlineStr">
        <is>
          <t>Gross margin, not profit</t>
        </is>
      </c>
    </row>
    <row r="67" ht="75" customHeight="1">
      <c r="A67" s="3" t="inlineStr">
        <is>
          <t>Gross margin is not profit. Gross margin = revenue less contractors and consultant time charged to the work at $60 an hour (wages and all on-costs). Not included: consultant time not charged to clients, and overheads (management and admin wages, marketing, rent, IT, insurance, travel, depreciation, interest). Profit is what's left after those. Wages always include all on-costs: super, payroll tax, workers' compensation insurance and leave.</t>
        </is>
      </c>
    </row>
    <row r="68"/>
    <row r="69">
      <c r="A69" s="5" t="inlineStr">
        <is>
          <t>From gross margin to profit</t>
        </is>
      </c>
    </row>
    <row r="70" ht="60" customHeight="1">
      <c r="A70" s="3" t="inlineStr">
        <is>
          <t>April's client work made $52,730 gross margin (65.4%). Consultant time not charged to client work took $19,740 and overheads $51,660, leaving ($18,670) profit before tax ((23.2%) of revenue). To cover overheads, client work needs a 88.6% gross margin on average. (Workings sheet: "From gross margin to profit".)</t>
        </is>
      </c>
    </row>
    <row r="71"/>
    <row r="72">
      <c r="A72" s="6" t="inlineStr">
        <is>
          <t>Type of work: All</t>
        </is>
      </c>
    </row>
    <row r="73">
      <c r="A73" s="7" t="inlineStr">
        <is>
          <t>Headline number</t>
        </is>
      </c>
      <c r="B73" s="8" t="inlineStr">
        <is>
          <t>Value</t>
        </is>
      </c>
      <c r="C73" s="8" t="inlineStr">
        <is>
          <t>Compared with</t>
        </is>
      </c>
    </row>
    <row r="74">
      <c r="A74" t="inlineStr">
        <is>
          <t>April against April last year</t>
        </is>
      </c>
      <c r="B74" s="9">
        <f>Workings!B140</f>
        <v/>
      </c>
      <c r="C74" s="10" t="inlineStr">
        <is>
          <t>$80,590 against $63,970</t>
        </is>
      </c>
    </row>
    <row r="75">
      <c r="A75" t="inlineStr">
        <is>
          <t>Year to date (Jul to Apr 2026)</t>
        </is>
      </c>
      <c r="B75" s="9">
        <f>Workings!B148</f>
        <v/>
      </c>
      <c r="C75" s="10" t="inlineStr">
        <is>
          <t>same period last year: not in the data</t>
        </is>
      </c>
    </row>
    <row r="76">
      <c r="A76" t="inlineStr">
        <is>
          <t>Gross margin, year to date</t>
        </is>
      </c>
      <c r="B76" s="9">
        <f>Workings!B156</f>
        <v/>
      </c>
      <c r="C76" s="10" t="inlineStr">
        <is>
          <t>$521,490 before overheads</t>
        </is>
      </c>
    </row>
    <row r="77"/>
    <row r="78">
      <c r="A78" s="5" t="inlineStr">
        <is>
          <t>What it shows</t>
        </is>
      </c>
    </row>
    <row r="79" ht="45" customHeight="1">
      <c r="A79" s="3" t="inlineStr">
        <is>
          <t>Revenue is $814,830 this financial year to date (Jul to Apr 2026). Training makes the highest gross margin (74.6%); Projects the lowest (61.6%). The business needs 88.6% gross margin just to cover overheads.</t>
        </is>
      </c>
    </row>
    <row r="80"/>
    <row r="81">
      <c r="A81" s="5" t="inlineStr">
        <is>
          <t>What you'd do about it</t>
        </is>
      </c>
    </row>
    <row r="82" ht="45" customHeight="1">
      <c r="A82" s="3" t="inlineStr">
        <is>
          <t>Projects: 61.6% gross margin, 21.6 points over the 40.0% target ($109,938 ahead on $509,230 this financial year to date). Training: 74.6% gross margin, 34.6 points over the 40.0% target ($24,420 ahead on $70,600 this financial year to date).</t>
        </is>
      </c>
    </row>
    <row r="83"/>
    <row r="84">
      <c r="A84" s="6" t="inlineStr">
        <is>
          <t>Type of work: Projects</t>
        </is>
      </c>
    </row>
    <row r="85">
      <c r="A85" s="7" t="inlineStr">
        <is>
          <t>Headline number</t>
        </is>
      </c>
      <c r="B85" s="8" t="inlineStr">
        <is>
          <t>Value</t>
        </is>
      </c>
      <c r="C85" s="8" t="inlineStr">
        <is>
          <t>Compared with</t>
        </is>
      </c>
    </row>
    <row r="86">
      <c r="A86" t="inlineStr">
        <is>
          <t>April against April last year</t>
        </is>
      </c>
      <c r="B86" s="9">
        <f>Workings!B164</f>
        <v/>
      </c>
      <c r="C86" s="10" t="inlineStr">
        <is>
          <t>$47,090 against $37,570</t>
        </is>
      </c>
    </row>
    <row r="87">
      <c r="A87" t="inlineStr">
        <is>
          <t>Year to date (Jul to Apr 2026)</t>
        </is>
      </c>
      <c r="B87" s="9">
        <f>Workings!B172</f>
        <v/>
      </c>
      <c r="C87" s="10" t="inlineStr">
        <is>
          <t>same period last year: not in the data</t>
        </is>
      </c>
    </row>
    <row r="88">
      <c r="A88" t="inlineStr">
        <is>
          <t>Gross margin, year to date</t>
        </is>
      </c>
      <c r="B88" s="9">
        <f>Workings!B180</f>
        <v/>
      </c>
      <c r="C88" s="10" t="inlineStr">
        <is>
          <t>$313,630 before overheads</t>
        </is>
      </c>
    </row>
    <row r="89"/>
    <row r="90">
      <c r="A90" s="5" t="inlineStr">
        <is>
          <t>What it shows</t>
        </is>
      </c>
    </row>
    <row r="91" ht="30" customHeight="1">
      <c r="A91" s="3" t="inlineStr">
        <is>
          <t>Projects brought in $509,230 this financial year to date, at a 61.6% gross margin (below the 64.0% overall).</t>
        </is>
      </c>
    </row>
    <row r="92"/>
    <row r="93">
      <c r="A93" s="5" t="inlineStr">
        <is>
          <t>What you'd do about it</t>
        </is>
      </c>
    </row>
    <row r="94" ht="30" customHeight="1">
      <c r="A94" s="3" t="inlineStr">
        <is>
          <t>Projects: 61.6% gross margin, 21.6 points over the 40.0% target ($109,938 ahead on $509,230 this financial year to date).</t>
        </is>
      </c>
    </row>
    <row r="95"/>
    <row r="96">
      <c r="A96" s="6" t="inlineStr">
        <is>
          <t>Type of work: Retainers</t>
        </is>
      </c>
    </row>
    <row r="97">
      <c r="A97" s="7" t="inlineStr">
        <is>
          <t>Headline number</t>
        </is>
      </c>
      <c r="B97" s="8" t="inlineStr">
        <is>
          <t>Value</t>
        </is>
      </c>
      <c r="C97" s="8" t="inlineStr">
        <is>
          <t>Compared with</t>
        </is>
      </c>
    </row>
    <row r="98">
      <c r="A98" t="inlineStr">
        <is>
          <t>April against April last year</t>
        </is>
      </c>
      <c r="B98" s="9">
        <f>Workings!B188</f>
        <v/>
      </c>
      <c r="C98" s="10" t="inlineStr">
        <is>
          <t>$28,300 against $21,800</t>
        </is>
      </c>
    </row>
    <row r="99">
      <c r="A99" t="inlineStr">
        <is>
          <t>Year to date (Jul to Apr 2026)</t>
        </is>
      </c>
      <c r="B99" s="9">
        <f>Workings!B196</f>
        <v/>
      </c>
      <c r="C99" s="10" t="inlineStr">
        <is>
          <t>same period last year: not in the data</t>
        </is>
      </c>
    </row>
    <row r="100">
      <c r="A100" t="inlineStr">
        <is>
          <t>Gross margin, year to date</t>
        </is>
      </c>
      <c r="B100" s="9">
        <f>Workings!B204</f>
        <v/>
      </c>
      <c r="C100" s="10" t="inlineStr">
        <is>
          <t>$155,200 before overheads</t>
        </is>
      </c>
    </row>
    <row r="101"/>
    <row r="102">
      <c r="A102" s="5" t="inlineStr">
        <is>
          <t>What it shows</t>
        </is>
      </c>
    </row>
    <row r="103" ht="30" customHeight="1">
      <c r="A103" s="3" t="inlineStr">
        <is>
          <t>Retainers brought in $235,000 this financial year to date, at a 66.0% gross margin (above the 64.0% overall).</t>
        </is>
      </c>
    </row>
    <row r="104"/>
    <row r="105">
      <c r="A105" s="5" t="inlineStr">
        <is>
          <t>What you'd do about it</t>
        </is>
      </c>
    </row>
    <row r="106" ht="30" customHeight="1">
      <c r="A106" s="3" t="inlineStr">
        <is>
          <t>Retainers: 66.0% gross margin, 26.0 points over the 40.0% target ($61,200 ahead on $235,000 this financial year to date).</t>
        </is>
      </c>
    </row>
    <row r="107"/>
    <row r="108">
      <c r="A108" s="6" t="inlineStr">
        <is>
          <t>Type of work: Training</t>
        </is>
      </c>
    </row>
    <row r="109">
      <c r="A109" s="7" t="inlineStr">
        <is>
          <t>Headline number</t>
        </is>
      </c>
      <c r="B109" s="8" t="inlineStr">
        <is>
          <t>Value</t>
        </is>
      </c>
      <c r="C109" s="8" t="inlineStr">
        <is>
          <t>Compared with</t>
        </is>
      </c>
    </row>
    <row r="110">
      <c r="A110" t="inlineStr">
        <is>
          <t>April against April last year</t>
        </is>
      </c>
      <c r="B110" s="9">
        <f>Workings!B212</f>
        <v/>
      </c>
      <c r="C110" s="10" t="inlineStr">
        <is>
          <t>$5,200 against $4,600</t>
        </is>
      </c>
    </row>
    <row r="111">
      <c r="A111" t="inlineStr">
        <is>
          <t>Year to date (Jul to Apr 2026)</t>
        </is>
      </c>
      <c r="B111" s="9">
        <f>Workings!B220</f>
        <v/>
      </c>
      <c r="C111" s="10" t="inlineStr">
        <is>
          <t>same period last year: not in the data</t>
        </is>
      </c>
    </row>
    <row r="112">
      <c r="A112" t="inlineStr">
        <is>
          <t>Gross margin, year to date</t>
        </is>
      </c>
      <c r="B112" s="9">
        <f>Workings!B228</f>
        <v/>
      </c>
      <c r="C112" s="10" t="inlineStr">
        <is>
          <t>$52,660 before overheads</t>
        </is>
      </c>
    </row>
    <row r="113"/>
    <row r="114">
      <c r="A114" s="5" t="inlineStr">
        <is>
          <t>What it shows</t>
        </is>
      </c>
    </row>
    <row r="115" ht="30" customHeight="1">
      <c r="A115" s="3" t="inlineStr">
        <is>
          <t>Training brought in $70,600 this financial year to date, at a 74.6% gross margin (above the 64.0% overall).</t>
        </is>
      </c>
    </row>
    <row r="116"/>
    <row r="117">
      <c r="A117" s="5" t="inlineStr">
        <is>
          <t>What you'd do about it</t>
        </is>
      </c>
    </row>
    <row r="118" ht="30" customHeight="1">
      <c r="A118" s="3" t="inlineStr">
        <is>
          <t>Training: 74.6% gross margin, 34.6 points over the 40.0% target ($24,420 ahead on $70,600 this financial year to date).</t>
        </is>
      </c>
    </row>
    <row r="119"/>
    <row r="120">
      <c r="A120" s="6" t="inlineStr">
        <is>
          <t>Every type of work at once</t>
        </is>
      </c>
    </row>
    <row r="121">
      <c r="A121" s="11" t="inlineStr">
        <is>
          <t>Revenue, gross margin and growth by type of work, by month: every month is on the Data sheets.</t>
        </is>
      </c>
    </row>
    <row r="122"/>
    <row r="123"/>
  </sheetData>
  <mergeCells count="21">
    <mergeCell ref="A5:D5"/>
    <mergeCell ref="A106:D106"/>
    <mergeCell ref="A91:D91"/>
    <mergeCell ref="A115:D115"/>
    <mergeCell ref="A9:D9"/>
    <mergeCell ref="A67:D67"/>
    <mergeCell ref="A48:D48"/>
    <mergeCell ref="A82:D82"/>
    <mergeCell ref="A24:D24"/>
    <mergeCell ref="A60:D60"/>
    <mergeCell ref="A36:D36"/>
    <mergeCell ref="A45:D45"/>
    <mergeCell ref="A94:D94"/>
    <mergeCell ref="A70:D70"/>
    <mergeCell ref="A79:D79"/>
    <mergeCell ref="A103:D103"/>
    <mergeCell ref="A118:D118"/>
    <mergeCell ref="A12:D12"/>
    <mergeCell ref="A21:D21"/>
    <mergeCell ref="A57:D57"/>
    <mergeCell ref="A33:D33"/>
  </mergeCells>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5" manualBreakCount="5">
    <brk id="19" min="0" max="16383" man="1"/>
    <brk id="43" min="0" max="16383" man="1"/>
    <brk id="65" min="0" max="16383" man="1"/>
    <brk id="84" min="0" max="16383" man="1"/>
    <brk id="108" min="0" max="16383" man="1"/>
  </rowBreaks>
</worksheet>
</file>

<file path=xl/worksheets/sheet2.xml><?xml version="1.0" encoding="utf-8"?>
<worksheet xmlns="http://schemas.openxmlformats.org/spreadsheetml/2006/main">
  <sheetPr>
    <outlinePr summaryBelow="1" summaryRight="1"/>
    <pageSetUpPr fitToPage="1"/>
  </sheetPr>
  <dimension ref="A1:B231"/>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SME sample businesses · SAMPLE DATA (invented) · The Fourth Sheet</t>
        </is>
      </c>
    </row>
    <row r="3">
      <c r="A3" s="2" t="inlineStr">
        <is>
          <t>Period: April 2026 · Data status: Mar 2026 locked · Apr 2026 locked · Oct 2026 incomplete (data retrieved 2pm, Tue 6 Oct 2026)</t>
        </is>
      </c>
    </row>
    <row r="4"/>
    <row r="5">
      <c r="A5" s="6" t="inlineStr">
        <is>
          <t>From gross margin to profit, April 2026</t>
        </is>
      </c>
    </row>
    <row r="6">
      <c r="A6" s="11" t="inlineStr">
        <is>
          <t>Gross margin on the work − time not charged − overheads = profit before tax</t>
        </is>
      </c>
    </row>
    <row r="7">
      <c r="A7" s="7" t="inlineStr"/>
      <c r="B7" s="8" t="inlineStr">
        <is>
          <t>Apr 2026</t>
        </is>
      </c>
    </row>
    <row r="8">
      <c r="A8" t="inlineStr">
        <is>
          <t>Gross margin on jobs</t>
        </is>
      </c>
      <c r="B8" s="12" t="n">
        <v>68843</v>
      </c>
    </row>
    <row r="9">
      <c r="A9" t="inlineStr">
        <is>
          <t>Technician wages and on-costs</t>
        </is>
      </c>
      <c r="B9" s="12" t="n">
        <v>54600</v>
      </c>
    </row>
    <row r="10">
      <c r="A10" t="inlineStr">
        <is>
          <t>Technician time charged to jobs (at cost)</t>
        </is>
      </c>
      <c r="B10" s="12" t="n">
        <v>48144</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59290</v>
      </c>
    </row>
    <row r="14">
      <c r="A14" t="inlineStr">
        <is>
          <t>Profit before tax (the P&amp;L)</t>
        </is>
      </c>
      <c r="B14" s="12">
        <f>B12-B13</f>
        <v/>
      </c>
    </row>
    <row r="15">
      <c r="A15" t="inlineStr">
        <is>
          <t>Revenue</t>
        </is>
      </c>
      <c r="B15" s="12" t="n">
        <v>164987</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April 2026 P&amp;L (locked). Wages always include all on-costs: super, payroll tax, workers' compensation insurance and leave.</t>
        </is>
      </c>
    </row>
    <row r="20"/>
    <row r="21"/>
    <row r="22">
      <c r="A22" s="6" t="inlineStr">
        <is>
          <t>All lines: April against April last year</t>
        </is>
      </c>
    </row>
    <row r="23">
      <c r="A23" s="11" t="inlineStr">
        <is>
          <t>April 2026 ÷ April 2025 − 1 (year on year)</t>
        </is>
      </c>
    </row>
    <row r="24">
      <c r="A24" s="7" t="inlineStr"/>
      <c r="B24" s="8" t="inlineStr">
        <is>
          <t>Apr</t>
        </is>
      </c>
    </row>
    <row r="25">
      <c r="A25" t="inlineStr">
        <is>
          <t>Revenue, Apr 2026</t>
        </is>
      </c>
      <c r="B25" s="12" t="n">
        <v>164987</v>
      </c>
    </row>
    <row r="26">
      <c r="A26" t="inlineStr">
        <is>
          <t>Revenue, Apr 2025</t>
        </is>
      </c>
      <c r="B26" s="12" t="n">
        <v>124705</v>
      </c>
    </row>
    <row r="27">
      <c r="A27" s="14" t="inlineStr">
        <is>
          <t>Growth</t>
        </is>
      </c>
      <c r="B27" s="15">
        <f>B25/B26-1</f>
        <v/>
      </c>
    </row>
    <row r="28"/>
    <row r="29"/>
    <row r="30">
      <c r="A30" s="6" t="inlineStr">
        <is>
          <t>All lines: year to date</t>
        </is>
      </c>
    </row>
    <row r="31">
      <c r="A31" s="11" t="inlineStr">
        <is>
          <t>Financial year to date. Not available: the data starts October 2024.</t>
        </is>
      </c>
    </row>
    <row r="32">
      <c r="A32" s="7" t="inlineStr"/>
      <c r="B32" s="8" t="inlineStr">
        <is>
          <t>Year to date</t>
        </is>
      </c>
    </row>
    <row r="33">
      <c r="A33" t="inlineStr">
        <is>
          <t>Revenue, year to date (Jul to Apr 2026)</t>
        </is>
      </c>
      <c r="B33" s="12" t="n">
        <v>1610581</v>
      </c>
    </row>
    <row r="34">
      <c r="A34" t="inlineStr">
        <is>
          <t>Gross margin, year to date</t>
        </is>
      </c>
      <c r="B34" s="12" t="n">
        <v>605185</v>
      </c>
    </row>
    <row r="35">
      <c r="A35" s="14" t="inlineStr">
        <is>
          <t>Gross margin %, year to date</t>
        </is>
      </c>
      <c r="B35" s="15">
        <f>B34/B33</f>
        <v/>
      </c>
    </row>
    <row r="36"/>
    <row r="37"/>
    <row r="38">
      <c r="A38" s="6" t="inlineStr">
        <is>
          <t>All lines: year to date</t>
        </is>
      </c>
    </row>
    <row r="39">
      <c r="A39" s="11" t="inlineStr">
        <is>
          <t>Financial year to date. Not available: the data starts October 2024.</t>
        </is>
      </c>
    </row>
    <row r="40">
      <c r="A40" s="7" t="inlineStr"/>
      <c r="B40" s="8" t="inlineStr">
        <is>
          <t>Year to date</t>
        </is>
      </c>
    </row>
    <row r="41">
      <c r="A41" t="inlineStr">
        <is>
          <t>Revenue, year to date (Jul to Apr 2026)</t>
        </is>
      </c>
      <c r="B41" s="12" t="n">
        <v>1610581</v>
      </c>
    </row>
    <row r="42">
      <c r="A42" t="inlineStr">
        <is>
          <t>Gross margin, year to date</t>
        </is>
      </c>
      <c r="B42" s="12" t="n">
        <v>605185</v>
      </c>
    </row>
    <row r="43">
      <c r="A43" s="14" t="inlineStr">
        <is>
          <t>Gross margin %, year to date</t>
        </is>
      </c>
      <c r="B43" s="15">
        <f>B42/B41</f>
        <v/>
      </c>
    </row>
    <row r="44"/>
    <row r="45"/>
    <row r="46">
      <c r="A46" s="6" t="inlineStr">
        <is>
          <t>Maintenance contracts: April against April last year</t>
        </is>
      </c>
    </row>
    <row r="47">
      <c r="A47" s="11" t="inlineStr">
        <is>
          <t>April 2026 ÷ April 2025 − 1 (year on year)</t>
        </is>
      </c>
    </row>
    <row r="48">
      <c r="A48" s="7" t="inlineStr"/>
      <c r="B48" s="8" t="inlineStr">
        <is>
          <t>Apr</t>
        </is>
      </c>
    </row>
    <row r="49">
      <c r="A49" t="inlineStr">
        <is>
          <t>Revenue, Apr 2026</t>
        </is>
      </c>
      <c r="B49" s="12" t="n">
        <v>37500</v>
      </c>
    </row>
    <row r="50">
      <c r="A50" t="inlineStr">
        <is>
          <t>Revenue, Apr 2025</t>
        </is>
      </c>
      <c r="B50" s="12" t="n">
        <v>27930</v>
      </c>
    </row>
    <row r="51">
      <c r="A51" s="14" t="inlineStr">
        <is>
          <t>Growth</t>
        </is>
      </c>
      <c r="B51" s="15">
        <f>B49/B50-1</f>
        <v/>
      </c>
    </row>
    <row r="52"/>
    <row r="53"/>
    <row r="54">
      <c r="A54" s="6" t="inlineStr">
        <is>
          <t>Maintenance contracts: year to date</t>
        </is>
      </c>
    </row>
    <row r="55">
      <c r="A55" s="11" t="inlineStr">
        <is>
          <t>Financial year to date. Not available: the data starts October 2024.</t>
        </is>
      </c>
    </row>
    <row r="56">
      <c r="A56" s="7" t="inlineStr"/>
      <c r="B56" s="8" t="inlineStr">
        <is>
          <t>Year to date</t>
        </is>
      </c>
    </row>
    <row r="57">
      <c r="A57" t="inlineStr">
        <is>
          <t>Revenue, year to date (Jul to Apr 2026)</t>
        </is>
      </c>
      <c r="B57" s="12" t="n">
        <v>355300</v>
      </c>
    </row>
    <row r="58">
      <c r="A58" t="inlineStr">
        <is>
          <t>Gross margin, year to date</t>
        </is>
      </c>
      <c r="B58" s="12" t="n">
        <v>211424</v>
      </c>
    </row>
    <row r="59">
      <c r="A59" s="14" t="inlineStr">
        <is>
          <t>Gross margin %, year to date</t>
        </is>
      </c>
      <c r="B59" s="15">
        <f>B58/B57</f>
        <v/>
      </c>
    </row>
    <row r="60"/>
    <row r="61"/>
    <row r="62">
      <c r="A62" s="6" t="inlineStr">
        <is>
          <t>Maintenance contracts: year to date</t>
        </is>
      </c>
    </row>
    <row r="63">
      <c r="A63" s="11" t="inlineStr">
        <is>
          <t>Financial year to date. Not available: the data starts October 2024.</t>
        </is>
      </c>
    </row>
    <row r="64">
      <c r="A64" s="7" t="inlineStr"/>
      <c r="B64" s="8" t="inlineStr">
        <is>
          <t>Year to date</t>
        </is>
      </c>
    </row>
    <row r="65">
      <c r="A65" t="inlineStr">
        <is>
          <t>Revenue, year to date (Jul to Apr 2026)</t>
        </is>
      </c>
      <c r="B65" s="12" t="n">
        <v>355300</v>
      </c>
    </row>
    <row r="66">
      <c r="A66" t="inlineStr">
        <is>
          <t>Gross margin, year to date</t>
        </is>
      </c>
      <c r="B66" s="12" t="n">
        <v>211424</v>
      </c>
    </row>
    <row r="67">
      <c r="A67" s="14" t="inlineStr">
        <is>
          <t>Gross margin %, year to date</t>
        </is>
      </c>
      <c r="B67" s="15">
        <f>B66/B65</f>
        <v/>
      </c>
    </row>
    <row r="68"/>
    <row r="69"/>
    <row r="70">
      <c r="A70" s="6" t="inlineStr">
        <is>
          <t>Installations: April against April last year</t>
        </is>
      </c>
    </row>
    <row r="71">
      <c r="A71" s="11" t="inlineStr">
        <is>
          <t>April 2026 ÷ April 2025 − 1 (year on year)</t>
        </is>
      </c>
    </row>
    <row r="72">
      <c r="A72" s="7" t="inlineStr"/>
      <c r="B72" s="8" t="inlineStr">
        <is>
          <t>Apr</t>
        </is>
      </c>
    </row>
    <row r="73">
      <c r="A73" t="inlineStr">
        <is>
          <t>Revenue, Apr 2026</t>
        </is>
      </c>
      <c r="B73" s="12" t="n">
        <v>104400</v>
      </c>
    </row>
    <row r="74">
      <c r="A74" t="inlineStr">
        <is>
          <t>Revenue, Apr 2025</t>
        </is>
      </c>
      <c r="B74" s="12" t="n">
        <v>74900</v>
      </c>
    </row>
    <row r="75">
      <c r="A75" s="14" t="inlineStr">
        <is>
          <t>Growth</t>
        </is>
      </c>
      <c r="B75" s="15">
        <f>B73/B74-1</f>
        <v/>
      </c>
    </row>
    <row r="76"/>
    <row r="77"/>
    <row r="78">
      <c r="A78" s="6" t="inlineStr">
        <is>
          <t>Installations: year to date</t>
        </is>
      </c>
    </row>
    <row r="79">
      <c r="A79" s="11" t="inlineStr">
        <is>
          <t>Financial year to date. Not available: the data starts October 2024.</t>
        </is>
      </c>
    </row>
    <row r="80">
      <c r="A80" s="7" t="inlineStr"/>
      <c r="B80" s="8" t="inlineStr">
        <is>
          <t>Year to date</t>
        </is>
      </c>
    </row>
    <row r="81">
      <c r="A81" t="inlineStr">
        <is>
          <t>Revenue, year to date (Jul to Apr 2026)</t>
        </is>
      </c>
      <c r="B81" s="12" t="n">
        <v>1011500</v>
      </c>
    </row>
    <row r="82">
      <c r="A82" t="inlineStr">
        <is>
          <t>Gross margin, year to date</t>
        </is>
      </c>
      <c r="B82" s="12" t="n">
        <v>287262</v>
      </c>
    </row>
    <row r="83">
      <c r="A83" s="14" t="inlineStr">
        <is>
          <t>Gross margin %, year to date</t>
        </is>
      </c>
      <c r="B83" s="15">
        <f>B82/B81</f>
        <v/>
      </c>
    </row>
    <row r="84"/>
    <row r="85"/>
    <row r="86">
      <c r="A86" s="6" t="inlineStr">
        <is>
          <t>Installations: year to date</t>
        </is>
      </c>
    </row>
    <row r="87">
      <c r="A87" s="11" t="inlineStr">
        <is>
          <t>Financial year to date. Not available: the data starts October 2024.</t>
        </is>
      </c>
    </row>
    <row r="88">
      <c r="A88" s="7" t="inlineStr"/>
      <c r="B88" s="8" t="inlineStr">
        <is>
          <t>Year to date</t>
        </is>
      </c>
    </row>
    <row r="89">
      <c r="A89" t="inlineStr">
        <is>
          <t>Revenue, year to date (Jul to Apr 2026)</t>
        </is>
      </c>
      <c r="B89" s="12" t="n">
        <v>1011500</v>
      </c>
    </row>
    <row r="90">
      <c r="A90" t="inlineStr">
        <is>
          <t>Gross margin, year to date</t>
        </is>
      </c>
      <c r="B90" s="12" t="n">
        <v>287262</v>
      </c>
    </row>
    <row r="91">
      <c r="A91" s="14" t="inlineStr">
        <is>
          <t>Gross margin %, year to date</t>
        </is>
      </c>
      <c r="B91" s="15">
        <f>B90/B89</f>
        <v/>
      </c>
    </row>
    <row r="92"/>
    <row r="93"/>
    <row r="94">
      <c r="A94" s="6" t="inlineStr">
        <is>
          <t>Call-outs and repairs: April against April last year</t>
        </is>
      </c>
    </row>
    <row r="95">
      <c r="A95" s="11" t="inlineStr">
        <is>
          <t>April 2026 ÷ April 2025 − 1 (year on year)</t>
        </is>
      </c>
    </row>
    <row r="96">
      <c r="A96" s="7" t="inlineStr"/>
      <c r="B96" s="8" t="inlineStr">
        <is>
          <t>Apr</t>
        </is>
      </c>
    </row>
    <row r="97">
      <c r="A97" t="inlineStr">
        <is>
          <t>Revenue, Apr 2026</t>
        </is>
      </c>
      <c r="B97" s="12" t="n">
        <v>23087</v>
      </c>
    </row>
    <row r="98">
      <c r="A98" t="inlineStr">
        <is>
          <t>Revenue, Apr 2025</t>
        </is>
      </c>
      <c r="B98" s="12" t="n">
        <v>21875</v>
      </c>
    </row>
    <row r="99">
      <c r="A99" s="14" t="inlineStr">
        <is>
          <t>Growth</t>
        </is>
      </c>
      <c r="B99" s="15">
        <f>B97/B98-1</f>
        <v/>
      </c>
    </row>
    <row r="100"/>
    <row r="101"/>
    <row r="102">
      <c r="A102" s="6" t="inlineStr">
        <is>
          <t>Call-outs and repairs: year to date</t>
        </is>
      </c>
    </row>
    <row r="103">
      <c r="A103" s="11" t="inlineStr">
        <is>
          <t>Financial year to date. Not available: the data starts October 2024.</t>
        </is>
      </c>
    </row>
    <row r="104">
      <c r="A104" s="7" t="inlineStr"/>
      <c r="B104" s="8" t="inlineStr">
        <is>
          <t>Year to date</t>
        </is>
      </c>
    </row>
    <row r="105">
      <c r="A105" t="inlineStr">
        <is>
          <t>Revenue, year to date (Jul to Apr 2026)</t>
        </is>
      </c>
      <c r="B105" s="12" t="n">
        <v>243781</v>
      </c>
    </row>
    <row r="106">
      <c r="A106" t="inlineStr">
        <is>
          <t>Gross margin, year to date</t>
        </is>
      </c>
      <c r="B106" s="12" t="n">
        <v>106499</v>
      </c>
    </row>
    <row r="107">
      <c r="A107" s="14" t="inlineStr">
        <is>
          <t>Gross margin %, year to date</t>
        </is>
      </c>
      <c r="B107" s="15">
        <f>B106/B105</f>
        <v/>
      </c>
    </row>
    <row r="108"/>
    <row r="109"/>
    <row r="110">
      <c r="A110" s="6" t="inlineStr">
        <is>
          <t>Call-outs and repairs: year to date</t>
        </is>
      </c>
    </row>
    <row r="111">
      <c r="A111" s="11" t="inlineStr">
        <is>
          <t>Financial year to date. Not available: the data starts October 2024.</t>
        </is>
      </c>
    </row>
    <row r="112">
      <c r="A112" s="7" t="inlineStr"/>
      <c r="B112" s="8" t="inlineStr">
        <is>
          <t>Year to date</t>
        </is>
      </c>
    </row>
    <row r="113">
      <c r="A113" t="inlineStr">
        <is>
          <t>Revenue, year to date (Jul to Apr 2026)</t>
        </is>
      </c>
      <c r="B113" s="12" t="n">
        <v>243781</v>
      </c>
    </row>
    <row r="114">
      <c r="A114" t="inlineStr">
        <is>
          <t>Gross margin, year to date</t>
        </is>
      </c>
      <c r="B114" s="12" t="n">
        <v>106499</v>
      </c>
    </row>
    <row r="115">
      <c r="A115" s="14" t="inlineStr">
        <is>
          <t>Gross margin %, year to date</t>
        </is>
      </c>
      <c r="B115" s="15">
        <f>B114/B113</f>
        <v/>
      </c>
    </row>
    <row r="116"/>
    <row r="117"/>
    <row r="118">
      <c r="A118" s="6" t="inlineStr">
        <is>
          <t>From gross margin to profit, April 2026</t>
        </is>
      </c>
    </row>
    <row r="119">
      <c r="A119" s="11" t="inlineStr">
        <is>
          <t>Gross margin on the work − time not charged − overheads = profit before tax</t>
        </is>
      </c>
    </row>
    <row r="120">
      <c r="A120" s="7" t="inlineStr"/>
      <c r="B120" s="8" t="inlineStr">
        <is>
          <t>Apr 2026</t>
        </is>
      </c>
    </row>
    <row r="121">
      <c r="A121" t="inlineStr">
        <is>
          <t>Gross margin on client work</t>
        </is>
      </c>
      <c r="B121" s="12" t="n">
        <v>52730</v>
      </c>
    </row>
    <row r="122">
      <c r="A122" t="inlineStr">
        <is>
          <t>Consultant wages and on-costs</t>
        </is>
      </c>
      <c r="B122" s="12" t="n">
        <v>46500</v>
      </c>
    </row>
    <row r="123">
      <c r="A123" t="inlineStr">
        <is>
          <t>Consultant time charged to client work (at cost)</t>
        </is>
      </c>
      <c r="B123" s="12" t="n">
        <v>26760</v>
      </c>
    </row>
    <row r="124">
      <c r="A124" t="inlineStr">
        <is>
          <t>Consultant time not charged to client work</t>
        </is>
      </c>
      <c r="B124" s="12">
        <f>B122-B123</f>
        <v/>
      </c>
    </row>
    <row r="125">
      <c r="A125" t="inlineStr">
        <is>
          <t>Gross profit (the P&amp;L)</t>
        </is>
      </c>
      <c r="B125" s="12">
        <f>B121-B124</f>
        <v/>
      </c>
    </row>
    <row r="126">
      <c r="A126" t="inlineStr">
        <is>
          <t>Overheads (operating expenses, depreciation, interest)</t>
        </is>
      </c>
      <c r="B126" s="12" t="n">
        <v>51660</v>
      </c>
    </row>
    <row r="127">
      <c r="A127" t="inlineStr">
        <is>
          <t>Profit before tax (the P&amp;L)</t>
        </is>
      </c>
      <c r="B127" s="12">
        <f>B125-B126</f>
        <v/>
      </c>
    </row>
    <row r="128">
      <c r="A128" t="inlineStr">
        <is>
          <t>Revenue</t>
        </is>
      </c>
      <c r="B128" s="12" t="n">
        <v>80590</v>
      </c>
    </row>
    <row r="129">
      <c r="A129" t="inlineStr">
        <is>
          <t>Gross margin on client work, %</t>
        </is>
      </c>
      <c r="B129" s="13">
        <f>B121/B128</f>
        <v/>
      </c>
    </row>
    <row r="130">
      <c r="A130" t="inlineStr">
        <is>
          <t>Profit before tax, % of revenue</t>
        </is>
      </c>
      <c r="B130" s="13">
        <f>B127/B128</f>
        <v/>
      </c>
    </row>
    <row r="131">
      <c r="A131" s="14" t="inlineStr">
        <is>
          <t>Gross margin client work need just to cover overheads and time not charged</t>
        </is>
      </c>
      <c r="B131" s="15">
        <f>(B124+B126)/B128</f>
        <v/>
      </c>
    </row>
    <row r="132">
      <c r="A132" s="2" t="inlineStr">
        <is>
          <t>Ties to the April 2026 P&amp;L (locked). Wages always include all on-costs: super, payroll tax, workers' compensation insurance and leave.</t>
        </is>
      </c>
    </row>
    <row r="133"/>
    <row r="134"/>
    <row r="135">
      <c r="A135" s="6" t="inlineStr">
        <is>
          <t>All lines: April against April last year</t>
        </is>
      </c>
    </row>
    <row r="136">
      <c r="A136" s="11" t="inlineStr">
        <is>
          <t>April 2026 ÷ April 2025 − 1 (year on year)</t>
        </is>
      </c>
    </row>
    <row r="137">
      <c r="A137" s="7" t="inlineStr"/>
      <c r="B137" s="8" t="inlineStr">
        <is>
          <t>Apr</t>
        </is>
      </c>
    </row>
    <row r="138">
      <c r="A138" t="inlineStr">
        <is>
          <t>Revenue, Apr 2026</t>
        </is>
      </c>
      <c r="B138" s="12" t="n">
        <v>80590</v>
      </c>
    </row>
    <row r="139">
      <c r="A139" t="inlineStr">
        <is>
          <t>Revenue, Apr 2025</t>
        </is>
      </c>
      <c r="B139" s="12" t="n">
        <v>63970</v>
      </c>
    </row>
    <row r="140">
      <c r="A140" s="14" t="inlineStr">
        <is>
          <t>Growth</t>
        </is>
      </c>
      <c r="B140" s="15">
        <f>B138/B139-1</f>
        <v/>
      </c>
    </row>
    <row r="141"/>
    <row r="142"/>
    <row r="143">
      <c r="A143" s="6" t="inlineStr">
        <is>
          <t>All lines: year to date</t>
        </is>
      </c>
    </row>
    <row r="144">
      <c r="A144" s="11" t="inlineStr">
        <is>
          <t>Financial year to date. Not available: the data starts October 2024.</t>
        </is>
      </c>
    </row>
    <row r="145">
      <c r="A145" s="7" t="inlineStr"/>
      <c r="B145" s="8" t="inlineStr">
        <is>
          <t>Year to date</t>
        </is>
      </c>
    </row>
    <row r="146">
      <c r="A146" t="inlineStr">
        <is>
          <t>Revenue, year to date (Jul to Apr 2026)</t>
        </is>
      </c>
      <c r="B146" s="12" t="n">
        <v>814830</v>
      </c>
    </row>
    <row r="147">
      <c r="A147" t="inlineStr">
        <is>
          <t>Gross margin, year to date</t>
        </is>
      </c>
      <c r="B147" s="12" t="n">
        <v>521490</v>
      </c>
    </row>
    <row r="148">
      <c r="A148" s="14" t="inlineStr">
        <is>
          <t>Gross margin %, year to date</t>
        </is>
      </c>
      <c r="B148" s="15">
        <f>B147/B146</f>
        <v/>
      </c>
    </row>
    <row r="149"/>
    <row r="150"/>
    <row r="151">
      <c r="A151" s="6" t="inlineStr">
        <is>
          <t>All lines: year to date</t>
        </is>
      </c>
    </row>
    <row r="152">
      <c r="A152" s="11" t="inlineStr">
        <is>
          <t>Financial year to date. Not available: the data starts October 2024.</t>
        </is>
      </c>
    </row>
    <row r="153">
      <c r="A153" s="7" t="inlineStr"/>
      <c r="B153" s="8" t="inlineStr">
        <is>
          <t>Year to date</t>
        </is>
      </c>
    </row>
    <row r="154">
      <c r="A154" t="inlineStr">
        <is>
          <t>Revenue, year to date (Jul to Apr 2026)</t>
        </is>
      </c>
      <c r="B154" s="12" t="n">
        <v>814830</v>
      </c>
    </row>
    <row r="155">
      <c r="A155" t="inlineStr">
        <is>
          <t>Gross margin, year to date</t>
        </is>
      </c>
      <c r="B155" s="12" t="n">
        <v>521490</v>
      </c>
    </row>
    <row r="156">
      <c r="A156" s="14" t="inlineStr">
        <is>
          <t>Gross margin %, year to date</t>
        </is>
      </c>
      <c r="B156" s="15">
        <f>B155/B154</f>
        <v/>
      </c>
    </row>
    <row r="157"/>
    <row r="158"/>
    <row r="159">
      <c r="A159" s="6" t="inlineStr">
        <is>
          <t>Projects: April against April last year</t>
        </is>
      </c>
    </row>
    <row r="160">
      <c r="A160" s="11" t="inlineStr">
        <is>
          <t>April 2026 ÷ April 2025 − 1 (year on year)</t>
        </is>
      </c>
    </row>
    <row r="161">
      <c r="A161" s="7" t="inlineStr"/>
      <c r="B161" s="8" t="inlineStr">
        <is>
          <t>Apr</t>
        </is>
      </c>
    </row>
    <row r="162">
      <c r="A162" t="inlineStr">
        <is>
          <t>Revenue, Apr 2026</t>
        </is>
      </c>
      <c r="B162" s="12" t="n">
        <v>47090</v>
      </c>
    </row>
    <row r="163">
      <c r="A163" t="inlineStr">
        <is>
          <t>Revenue, Apr 2025</t>
        </is>
      </c>
      <c r="B163" s="12" t="n">
        <v>37570</v>
      </c>
    </row>
    <row r="164">
      <c r="A164" s="14" t="inlineStr">
        <is>
          <t>Growth</t>
        </is>
      </c>
      <c r="B164" s="15">
        <f>B162/B163-1</f>
        <v/>
      </c>
    </row>
    <row r="165"/>
    <row r="166"/>
    <row r="167">
      <c r="A167" s="6" t="inlineStr">
        <is>
          <t>Projects: year to date</t>
        </is>
      </c>
    </row>
    <row r="168">
      <c r="A168" s="11" t="inlineStr">
        <is>
          <t>Financial year to date. Not available: the data starts October 2024.</t>
        </is>
      </c>
    </row>
    <row r="169">
      <c r="A169" s="7" t="inlineStr"/>
      <c r="B169" s="8" t="inlineStr">
        <is>
          <t>Year to date</t>
        </is>
      </c>
    </row>
    <row r="170">
      <c r="A170" t="inlineStr">
        <is>
          <t>Revenue, year to date (Jul to Apr 2026)</t>
        </is>
      </c>
      <c r="B170" s="12" t="n">
        <v>509230</v>
      </c>
    </row>
    <row r="171">
      <c r="A171" t="inlineStr">
        <is>
          <t>Gross margin, year to date</t>
        </is>
      </c>
      <c r="B171" s="12" t="n">
        <v>313630</v>
      </c>
    </row>
    <row r="172">
      <c r="A172" s="14" t="inlineStr">
        <is>
          <t>Gross margin %, year to date</t>
        </is>
      </c>
      <c r="B172" s="15">
        <f>B171/B170</f>
        <v/>
      </c>
    </row>
    <row r="173"/>
    <row r="174"/>
    <row r="175">
      <c r="A175" s="6" t="inlineStr">
        <is>
          <t>Projects: year to date</t>
        </is>
      </c>
    </row>
    <row r="176">
      <c r="A176" s="11" t="inlineStr">
        <is>
          <t>Financial year to date. Not available: the data starts October 2024.</t>
        </is>
      </c>
    </row>
    <row r="177">
      <c r="A177" s="7" t="inlineStr"/>
      <c r="B177" s="8" t="inlineStr">
        <is>
          <t>Year to date</t>
        </is>
      </c>
    </row>
    <row r="178">
      <c r="A178" t="inlineStr">
        <is>
          <t>Revenue, year to date (Jul to Apr 2026)</t>
        </is>
      </c>
      <c r="B178" s="12" t="n">
        <v>509230</v>
      </c>
    </row>
    <row r="179">
      <c r="A179" t="inlineStr">
        <is>
          <t>Gross margin, year to date</t>
        </is>
      </c>
      <c r="B179" s="12" t="n">
        <v>313630</v>
      </c>
    </row>
    <row r="180">
      <c r="A180" s="14" t="inlineStr">
        <is>
          <t>Gross margin %, year to date</t>
        </is>
      </c>
      <c r="B180" s="15">
        <f>B179/B178</f>
        <v/>
      </c>
    </row>
    <row r="181"/>
    <row r="182"/>
    <row r="183">
      <c r="A183" s="6" t="inlineStr">
        <is>
          <t>Retainers: April against April last year</t>
        </is>
      </c>
    </row>
    <row r="184">
      <c r="A184" s="11" t="inlineStr">
        <is>
          <t>April 2026 ÷ April 2025 − 1 (year on year)</t>
        </is>
      </c>
    </row>
    <row r="185">
      <c r="A185" s="7" t="inlineStr"/>
      <c r="B185" s="8" t="inlineStr">
        <is>
          <t>Apr</t>
        </is>
      </c>
    </row>
    <row r="186">
      <c r="A186" t="inlineStr">
        <is>
          <t>Revenue, Apr 2026</t>
        </is>
      </c>
      <c r="B186" s="12" t="n">
        <v>28300</v>
      </c>
    </row>
    <row r="187">
      <c r="A187" t="inlineStr">
        <is>
          <t>Revenue, Apr 2025</t>
        </is>
      </c>
      <c r="B187" s="12" t="n">
        <v>21800</v>
      </c>
    </row>
    <row r="188">
      <c r="A188" s="14" t="inlineStr">
        <is>
          <t>Growth</t>
        </is>
      </c>
      <c r="B188" s="15">
        <f>B186/B187-1</f>
        <v/>
      </c>
    </row>
    <row r="189"/>
    <row r="190"/>
    <row r="191">
      <c r="A191" s="6" t="inlineStr">
        <is>
          <t>Retainers: year to date</t>
        </is>
      </c>
    </row>
    <row r="192">
      <c r="A192" s="11" t="inlineStr">
        <is>
          <t>Financial year to date. Not available: the data starts October 2024.</t>
        </is>
      </c>
    </row>
    <row r="193">
      <c r="A193" s="7" t="inlineStr"/>
      <c r="B193" s="8" t="inlineStr">
        <is>
          <t>Year to date</t>
        </is>
      </c>
    </row>
    <row r="194">
      <c r="A194" t="inlineStr">
        <is>
          <t>Revenue, year to date (Jul to Apr 2026)</t>
        </is>
      </c>
      <c r="B194" s="12" t="n">
        <v>235000</v>
      </c>
    </row>
    <row r="195">
      <c r="A195" t="inlineStr">
        <is>
          <t>Gross margin, year to date</t>
        </is>
      </c>
      <c r="B195" s="12" t="n">
        <v>155200</v>
      </c>
    </row>
    <row r="196">
      <c r="A196" s="14" t="inlineStr">
        <is>
          <t>Gross margin %, year to date</t>
        </is>
      </c>
      <c r="B196" s="15">
        <f>B195/B194</f>
        <v/>
      </c>
    </row>
    <row r="197"/>
    <row r="198"/>
    <row r="199">
      <c r="A199" s="6" t="inlineStr">
        <is>
          <t>Retainers: year to date</t>
        </is>
      </c>
    </row>
    <row r="200">
      <c r="A200" s="11" t="inlineStr">
        <is>
          <t>Financial year to date. Not available: the data starts October 2024.</t>
        </is>
      </c>
    </row>
    <row r="201">
      <c r="A201" s="7" t="inlineStr"/>
      <c r="B201" s="8" t="inlineStr">
        <is>
          <t>Year to date</t>
        </is>
      </c>
    </row>
    <row r="202">
      <c r="A202" t="inlineStr">
        <is>
          <t>Revenue, year to date (Jul to Apr 2026)</t>
        </is>
      </c>
      <c r="B202" s="12" t="n">
        <v>235000</v>
      </c>
    </row>
    <row r="203">
      <c r="A203" t="inlineStr">
        <is>
          <t>Gross margin, year to date</t>
        </is>
      </c>
      <c r="B203" s="12" t="n">
        <v>155200</v>
      </c>
    </row>
    <row r="204">
      <c r="A204" s="14" t="inlineStr">
        <is>
          <t>Gross margin %, year to date</t>
        </is>
      </c>
      <c r="B204" s="15">
        <f>B203/B202</f>
        <v/>
      </c>
    </row>
    <row r="205"/>
    <row r="206"/>
    <row r="207">
      <c r="A207" s="6" t="inlineStr">
        <is>
          <t>Training: April against April last year</t>
        </is>
      </c>
    </row>
    <row r="208">
      <c r="A208" s="11" t="inlineStr">
        <is>
          <t>April 2026 ÷ April 2025 − 1 (year on year)</t>
        </is>
      </c>
    </row>
    <row r="209">
      <c r="A209" s="7" t="inlineStr"/>
      <c r="B209" s="8" t="inlineStr">
        <is>
          <t>Apr</t>
        </is>
      </c>
    </row>
    <row r="210">
      <c r="A210" t="inlineStr">
        <is>
          <t>Revenue, Apr 2026</t>
        </is>
      </c>
      <c r="B210" s="12" t="n">
        <v>5200</v>
      </c>
    </row>
    <row r="211">
      <c r="A211" t="inlineStr">
        <is>
          <t>Revenue, Apr 2025</t>
        </is>
      </c>
      <c r="B211" s="12" t="n">
        <v>4600</v>
      </c>
    </row>
    <row r="212">
      <c r="A212" s="14" t="inlineStr">
        <is>
          <t>Growth</t>
        </is>
      </c>
      <c r="B212" s="15">
        <f>B210/B211-1</f>
        <v/>
      </c>
    </row>
    <row r="213"/>
    <row r="214"/>
    <row r="215">
      <c r="A215" s="6" t="inlineStr">
        <is>
          <t>Training: year to date</t>
        </is>
      </c>
    </row>
    <row r="216">
      <c r="A216" s="11" t="inlineStr">
        <is>
          <t>Financial year to date. Not available: the data starts October 2024.</t>
        </is>
      </c>
    </row>
    <row r="217">
      <c r="A217" s="7" t="inlineStr"/>
      <c r="B217" s="8" t="inlineStr">
        <is>
          <t>Year to date</t>
        </is>
      </c>
    </row>
    <row r="218">
      <c r="A218" t="inlineStr">
        <is>
          <t>Revenue, year to date (Jul to Apr 2026)</t>
        </is>
      </c>
      <c r="B218" s="12" t="n">
        <v>70600</v>
      </c>
    </row>
    <row r="219">
      <c r="A219" t="inlineStr">
        <is>
          <t>Gross margin, year to date</t>
        </is>
      </c>
      <c r="B219" s="12" t="n">
        <v>52660</v>
      </c>
    </row>
    <row r="220">
      <c r="A220" s="14" t="inlineStr">
        <is>
          <t>Gross margin %, year to date</t>
        </is>
      </c>
      <c r="B220" s="15">
        <f>B219/B218</f>
        <v/>
      </c>
    </row>
    <row r="221"/>
    <row r="222"/>
    <row r="223">
      <c r="A223" s="6" t="inlineStr">
        <is>
          <t>Training: year to date</t>
        </is>
      </c>
    </row>
    <row r="224">
      <c r="A224" s="11" t="inlineStr">
        <is>
          <t>Financial year to date. Not available: the data starts October 2024.</t>
        </is>
      </c>
    </row>
    <row r="225">
      <c r="A225" s="7" t="inlineStr"/>
      <c r="B225" s="8" t="inlineStr">
        <is>
          <t>Year to date</t>
        </is>
      </c>
    </row>
    <row r="226">
      <c r="A226" t="inlineStr">
        <is>
          <t>Revenue, year to date (Jul to Apr 2026)</t>
        </is>
      </c>
      <c r="B226" s="12" t="n">
        <v>70600</v>
      </c>
    </row>
    <row r="227">
      <c r="A227" t="inlineStr">
        <is>
          <t>Gross margin, year to date</t>
        </is>
      </c>
      <c r="B227" s="12" t="n">
        <v>52660</v>
      </c>
    </row>
    <row r="228">
      <c r="A228" s="14" t="inlineStr">
        <is>
          <t>Gross margin %, year to date</t>
        </is>
      </c>
      <c r="B228" s="15">
        <f>B227/B226</f>
        <v/>
      </c>
    </row>
    <row r="229"/>
    <row r="230"/>
    <row r="231"/>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7" manualBreakCount="7">
    <brk id="29" min="0" max="16383" man="1"/>
    <brk id="61" min="0" max="16383" man="1"/>
    <brk id="93" min="0" max="16383" man="1"/>
    <brk id="117" min="0" max="16383" man="1"/>
    <brk id="142" min="0" max="16383" man="1"/>
    <brk id="174" min="0" max="16383" man="1"/>
    <brk id="206" min="0" max="16383" man="1"/>
  </rowBreaks>
</worksheet>
</file>

<file path=xl/worksheets/sheet3.xml><?xml version="1.0" encoding="utf-8"?>
<worksheet xmlns="http://schemas.openxmlformats.org/spreadsheetml/2006/main">
  <sheetPr>
    <outlinePr summaryBelow="1" summaryRight="1"/>
    <pageSetUpPr fitToPage="1"/>
  </sheetPr>
  <dimension ref="A1:G8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SME sample businesses · SAMPLE DATA (invented) · The Fourth Sheet</t>
        </is>
      </c>
    </row>
    <row r="3">
      <c r="A3" s="2" t="inlineStr">
        <is>
          <t>Period: April 2026 · Data status: Mar 2026 locked · Apr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171009</v>
      </c>
      <c r="E6" s="12" t="n">
        <v>114334</v>
      </c>
      <c r="F6" s="12">
        <f>D6-E6</f>
        <v/>
      </c>
      <c r="G6" s="13">
        <f>IF(D6=0,"",F6/D6)</f>
        <v/>
      </c>
    </row>
    <row r="7">
      <c r="A7" s="16" t="inlineStr">
        <is>
          <t>All</t>
        </is>
      </c>
      <c r="B7" s="16" t="inlineStr">
        <is>
          <t>Nov 24</t>
        </is>
      </c>
      <c r="C7" s="16" t="inlineStr">
        <is>
          <t>Locked</t>
        </is>
      </c>
      <c r="D7" s="12" t="n">
        <v>179474</v>
      </c>
      <c r="E7" s="12" t="n">
        <v>113016</v>
      </c>
      <c r="F7" s="12">
        <f>D7-E7</f>
        <v/>
      </c>
      <c r="G7" s="13">
        <f>IF(D7=0,"",F7/D7)</f>
        <v/>
      </c>
    </row>
    <row r="8">
      <c r="A8" s="16" t="inlineStr">
        <is>
          <t>All</t>
        </is>
      </c>
      <c r="B8" s="16" t="inlineStr">
        <is>
          <t>Dec 24</t>
        </is>
      </c>
      <c r="C8" s="16" t="inlineStr">
        <is>
          <t>Locked</t>
        </is>
      </c>
      <c r="D8" s="12" t="n">
        <v>143156</v>
      </c>
      <c r="E8" s="12" t="n">
        <v>85316</v>
      </c>
      <c r="F8" s="12">
        <f>D8-E8</f>
        <v/>
      </c>
      <c r="G8" s="13">
        <f>IF(D8=0,"",F8/D8)</f>
        <v/>
      </c>
    </row>
    <row r="9">
      <c r="A9" s="16" t="inlineStr">
        <is>
          <t>All</t>
        </is>
      </c>
      <c r="B9" s="16" t="inlineStr">
        <is>
          <t>Jan 25</t>
        </is>
      </c>
      <c r="C9" s="16" t="inlineStr">
        <is>
          <t>Locked</t>
        </is>
      </c>
      <c r="D9" s="12" t="n">
        <v>140909</v>
      </c>
      <c r="E9" s="12" t="n">
        <v>80742</v>
      </c>
      <c r="F9" s="12">
        <f>D9-E9</f>
        <v/>
      </c>
      <c r="G9" s="13">
        <f>IF(D9=0,"",F9/D9)</f>
        <v/>
      </c>
    </row>
    <row r="10">
      <c r="A10" s="16" t="inlineStr">
        <is>
          <t>All</t>
        </is>
      </c>
      <c r="B10" s="16" t="inlineStr">
        <is>
          <t>Feb 25</t>
        </is>
      </c>
      <c r="C10" s="16" t="inlineStr">
        <is>
          <t>Locked</t>
        </is>
      </c>
      <c r="D10" s="12" t="n">
        <v>160943</v>
      </c>
      <c r="E10" s="12" t="n">
        <v>102348</v>
      </c>
      <c r="F10" s="12">
        <f>D10-E10</f>
        <v/>
      </c>
      <c r="G10" s="13">
        <f>IF(D10=0,"",F10/D10)</f>
        <v/>
      </c>
    </row>
    <row r="11">
      <c r="A11" s="16" t="inlineStr">
        <is>
          <t>All</t>
        </is>
      </c>
      <c r="B11" s="16" t="inlineStr">
        <is>
          <t>Mar 25</t>
        </is>
      </c>
      <c r="C11" s="16" t="inlineStr">
        <is>
          <t>Locked</t>
        </is>
      </c>
      <c r="D11" s="12" t="n">
        <v>135082</v>
      </c>
      <c r="E11" s="12" t="n">
        <v>85752</v>
      </c>
      <c r="F11" s="12">
        <f>D11-E11</f>
        <v/>
      </c>
      <c r="G11" s="13">
        <f>IF(D11=0,"",F11/D11)</f>
        <v/>
      </c>
    </row>
    <row r="12">
      <c r="A12" s="16" t="inlineStr">
        <is>
          <t>All</t>
        </is>
      </c>
      <c r="B12" s="16" t="inlineStr">
        <is>
          <t>Apr 25</t>
        </is>
      </c>
      <c r="C12" s="16" t="inlineStr">
        <is>
          <t>Locked</t>
        </is>
      </c>
      <c r="D12" s="12" t="n">
        <v>124705</v>
      </c>
      <c r="E12" s="12" t="n">
        <v>76808</v>
      </c>
      <c r="F12" s="12">
        <f>D12-E12</f>
        <v/>
      </c>
      <c r="G12" s="13">
        <f>IF(D12=0,"",F12/D12)</f>
        <v/>
      </c>
    </row>
    <row r="13">
      <c r="A13" s="16" t="inlineStr">
        <is>
          <t>All</t>
        </is>
      </c>
      <c r="B13" s="16" t="inlineStr">
        <is>
          <t>May 25</t>
        </is>
      </c>
      <c r="C13" s="16" t="inlineStr">
        <is>
          <t>Locked</t>
        </is>
      </c>
      <c r="D13" s="12" t="n">
        <v>129816</v>
      </c>
      <c r="E13" s="12" t="n">
        <v>83700</v>
      </c>
      <c r="F13" s="12">
        <f>D13-E13</f>
        <v/>
      </c>
      <c r="G13" s="13">
        <f>IF(D13=0,"",F13/D13)</f>
        <v/>
      </c>
    </row>
    <row r="14">
      <c r="A14" s="16" t="inlineStr">
        <is>
          <t>All</t>
        </is>
      </c>
      <c r="B14" s="16" t="inlineStr">
        <is>
          <t>Jun 25</t>
        </is>
      </c>
      <c r="C14" s="16" t="inlineStr">
        <is>
          <t>Locked</t>
        </is>
      </c>
      <c r="D14" s="12" t="n">
        <v>164113</v>
      </c>
      <c r="E14" s="12" t="n">
        <v>97584</v>
      </c>
      <c r="F14" s="12">
        <f>D14-E14</f>
        <v/>
      </c>
      <c r="G14" s="13">
        <f>IF(D14=0,"",F14/D14)</f>
        <v/>
      </c>
    </row>
    <row r="15">
      <c r="A15" s="16" t="inlineStr">
        <is>
          <t>All</t>
        </is>
      </c>
      <c r="B15" s="16" t="inlineStr">
        <is>
          <t>Jul 25</t>
        </is>
      </c>
      <c r="C15" s="16" t="inlineStr">
        <is>
          <t>Locked</t>
        </is>
      </c>
      <c r="D15" s="12" t="n">
        <v>186760</v>
      </c>
      <c r="E15" s="12" t="n">
        <v>120326</v>
      </c>
      <c r="F15" s="12">
        <f>D15-E15</f>
        <v/>
      </c>
      <c r="G15" s="13">
        <f>IF(D15=0,"",F15/D15)</f>
        <v/>
      </c>
    </row>
    <row r="16">
      <c r="A16" s="16" t="inlineStr">
        <is>
          <t>All</t>
        </is>
      </c>
      <c r="B16" s="16" t="inlineStr">
        <is>
          <t>Aug 25</t>
        </is>
      </c>
      <c r="C16" s="16" t="inlineStr">
        <is>
          <t>Locked</t>
        </is>
      </c>
      <c r="D16" s="12" t="n">
        <v>139164</v>
      </c>
      <c r="E16" s="12" t="n">
        <v>78258</v>
      </c>
      <c r="F16" s="12">
        <f>D16-E16</f>
        <v/>
      </c>
      <c r="G16" s="13">
        <f>IF(D16=0,"",F16/D16)</f>
        <v/>
      </c>
    </row>
    <row r="17">
      <c r="A17" s="16" t="inlineStr">
        <is>
          <t>All</t>
        </is>
      </c>
      <c r="B17" s="16" t="inlineStr">
        <is>
          <t>Sep 25</t>
        </is>
      </c>
      <c r="C17" s="16" t="inlineStr">
        <is>
          <t>Locked</t>
        </is>
      </c>
      <c r="D17" s="12" t="n">
        <v>128255</v>
      </c>
      <c r="E17" s="12" t="n">
        <v>80054</v>
      </c>
      <c r="F17" s="12">
        <f>D17-E17</f>
        <v/>
      </c>
      <c r="G17" s="13">
        <f>IF(D17=0,"",F17/D17)</f>
        <v/>
      </c>
    </row>
    <row r="18">
      <c r="A18" s="16" t="inlineStr">
        <is>
          <t>All</t>
        </is>
      </c>
      <c r="B18" s="16" t="inlineStr">
        <is>
          <t>Oct 25</t>
        </is>
      </c>
      <c r="C18" s="16" t="inlineStr">
        <is>
          <t>Locked</t>
        </is>
      </c>
      <c r="D18" s="12" t="n">
        <v>128898</v>
      </c>
      <c r="E18" s="12" t="n">
        <v>79452</v>
      </c>
      <c r="F18" s="12">
        <f>D18-E18</f>
        <v/>
      </c>
      <c r="G18" s="13">
        <f>IF(D18=0,"",F18/D18)</f>
        <v/>
      </c>
    </row>
    <row r="19">
      <c r="A19" s="16" t="inlineStr">
        <is>
          <t>All</t>
        </is>
      </c>
      <c r="B19" s="16" t="inlineStr">
        <is>
          <t>Nov 25</t>
        </is>
      </c>
      <c r="C19" s="16" t="inlineStr">
        <is>
          <t>Locked</t>
        </is>
      </c>
      <c r="D19" s="12" t="n">
        <v>174786</v>
      </c>
      <c r="E19" s="12" t="n">
        <v>115942</v>
      </c>
      <c r="F19" s="12">
        <f>D19-E19</f>
        <v/>
      </c>
      <c r="G19" s="13">
        <f>IF(D19=0,"",F19/D19)</f>
        <v/>
      </c>
    </row>
    <row r="20">
      <c r="A20" s="16" t="inlineStr">
        <is>
          <t>All</t>
        </is>
      </c>
      <c r="B20" s="16" t="inlineStr">
        <is>
          <t>Dec 25</t>
        </is>
      </c>
      <c r="C20" s="16" t="inlineStr">
        <is>
          <t>Locked</t>
        </is>
      </c>
      <c r="D20" s="12" t="n">
        <v>135079</v>
      </c>
      <c r="E20" s="12" t="n">
        <v>84626</v>
      </c>
      <c r="F20" s="12">
        <f>D20-E20</f>
        <v/>
      </c>
      <c r="G20" s="13">
        <f>IF(D20=0,"",F20/D20)</f>
        <v/>
      </c>
    </row>
    <row r="21">
      <c r="A21" s="16" t="inlineStr">
        <is>
          <t>All</t>
        </is>
      </c>
      <c r="B21" s="16" t="inlineStr">
        <is>
          <t>Jan 26</t>
        </is>
      </c>
      <c r="C21" s="16" t="inlineStr">
        <is>
          <t>Locked</t>
        </is>
      </c>
      <c r="D21" s="12" t="n">
        <v>164780</v>
      </c>
      <c r="E21" s="12" t="n">
        <v>106590</v>
      </c>
      <c r="F21" s="12">
        <f>D21-E21</f>
        <v/>
      </c>
      <c r="G21" s="13">
        <f>IF(D21=0,"",F21/D21)</f>
        <v/>
      </c>
    </row>
    <row r="22">
      <c r="A22" s="16" t="inlineStr">
        <is>
          <t>All</t>
        </is>
      </c>
      <c r="B22" s="16" t="inlineStr">
        <is>
          <t>Feb 26</t>
        </is>
      </c>
      <c r="C22" s="16" t="inlineStr">
        <is>
          <t>Locked</t>
        </is>
      </c>
      <c r="D22" s="12" t="n">
        <v>196372</v>
      </c>
      <c r="E22" s="12" t="n">
        <v>120662</v>
      </c>
      <c r="F22" s="12">
        <f>D22-E22</f>
        <v/>
      </c>
      <c r="G22" s="13">
        <f>IF(D22=0,"",F22/D22)</f>
        <v/>
      </c>
    </row>
    <row r="23">
      <c r="A23" s="16" t="inlineStr">
        <is>
          <t>All</t>
        </is>
      </c>
      <c r="B23" s="16" t="inlineStr">
        <is>
          <t>Mar 26</t>
        </is>
      </c>
      <c r="C23" s="16" t="inlineStr">
        <is>
          <t>Locked</t>
        </is>
      </c>
      <c r="D23" s="12" t="n">
        <v>191500</v>
      </c>
      <c r="E23" s="12" t="n">
        <v>123342</v>
      </c>
      <c r="F23" s="12">
        <f>D23-E23</f>
        <v/>
      </c>
      <c r="G23" s="13">
        <f>IF(D23=0,"",F23/D23)</f>
        <v/>
      </c>
    </row>
    <row r="24">
      <c r="A24" s="16" t="inlineStr">
        <is>
          <t>All</t>
        </is>
      </c>
      <c r="B24" s="16" t="inlineStr">
        <is>
          <t>Apr 26</t>
        </is>
      </c>
      <c r="C24" s="16" t="inlineStr">
        <is>
          <t>Locked</t>
        </is>
      </c>
      <c r="D24" s="12" t="n">
        <v>164987</v>
      </c>
      <c r="E24" s="12" t="n">
        <v>96144</v>
      </c>
      <c r="F24" s="12">
        <f>D24-E24</f>
        <v/>
      </c>
      <c r="G24" s="13">
        <f>IF(D24=0,"",F24/D24)</f>
        <v/>
      </c>
    </row>
    <row r="25">
      <c r="A25" s="16" t="inlineStr">
        <is>
          <t>Maintenance contracts</t>
        </is>
      </c>
      <c r="B25" s="16" t="inlineStr">
        <is>
          <t>Oct 24</t>
        </is>
      </c>
      <c r="C25" s="16" t="inlineStr">
        <is>
          <t>Locked</t>
        </is>
      </c>
      <c r="D25" s="12" t="n">
        <v>24670</v>
      </c>
      <c r="E25" s="12" t="n">
        <v>10420</v>
      </c>
      <c r="F25" s="12">
        <f>D25-E25</f>
        <v/>
      </c>
      <c r="G25" s="13">
        <f>IF(D25=0,"",F25/D25)</f>
        <v/>
      </c>
    </row>
    <row r="26">
      <c r="A26" s="16" t="inlineStr">
        <is>
          <t>Maintenance contracts</t>
        </is>
      </c>
      <c r="B26" s="16" t="inlineStr">
        <is>
          <t>Nov 24</t>
        </is>
      </c>
      <c r="C26" s="16" t="inlineStr">
        <is>
          <t>Locked</t>
        </is>
      </c>
      <c r="D26" s="12" t="n">
        <v>24670</v>
      </c>
      <c r="E26" s="12" t="n">
        <v>10420</v>
      </c>
      <c r="F26" s="12">
        <f>D26-E26</f>
        <v/>
      </c>
      <c r="G26" s="13">
        <f>IF(D26=0,"",F26/D26)</f>
        <v/>
      </c>
    </row>
    <row r="27">
      <c r="A27" s="16" t="inlineStr">
        <is>
          <t>Maintenance contracts</t>
        </is>
      </c>
      <c r="B27" s="16" t="inlineStr">
        <is>
          <t>Dec 24</t>
        </is>
      </c>
      <c r="C27" s="16" t="inlineStr">
        <is>
          <t>Locked</t>
        </is>
      </c>
      <c r="D27" s="12" t="n">
        <v>24670</v>
      </c>
      <c r="E27" s="12" t="n">
        <v>10420</v>
      </c>
      <c r="F27" s="12">
        <f>D27-E27</f>
        <v/>
      </c>
      <c r="G27" s="13">
        <f>IF(D27=0,"",F27/D27)</f>
        <v/>
      </c>
    </row>
    <row r="28">
      <c r="A28" s="16" t="inlineStr">
        <is>
          <t>Maintenance contracts</t>
        </is>
      </c>
      <c r="B28" s="16" t="inlineStr">
        <is>
          <t>Jan 25</t>
        </is>
      </c>
      <c r="C28" s="16" t="inlineStr">
        <is>
          <t>Locked</t>
        </is>
      </c>
      <c r="D28" s="12" t="n">
        <v>24670</v>
      </c>
      <c r="E28" s="12" t="n">
        <v>10420</v>
      </c>
      <c r="F28" s="12">
        <f>D28-E28</f>
        <v/>
      </c>
      <c r="G28" s="13">
        <f>IF(D28=0,"",F28/D28)</f>
        <v/>
      </c>
    </row>
    <row r="29">
      <c r="A29" s="16" t="inlineStr">
        <is>
          <t>Maintenance contracts</t>
        </is>
      </c>
      <c r="B29" s="16" t="inlineStr">
        <is>
          <t>Feb 25</t>
        </is>
      </c>
      <c r="C29" s="16" t="inlineStr">
        <is>
          <t>Locked</t>
        </is>
      </c>
      <c r="D29" s="12" t="n">
        <v>27930</v>
      </c>
      <c r="E29" s="12" t="n">
        <v>11782</v>
      </c>
      <c r="F29" s="12">
        <f>D29-E29</f>
        <v/>
      </c>
      <c r="G29" s="13">
        <f>IF(D29=0,"",F29/D29)</f>
        <v/>
      </c>
    </row>
    <row r="30">
      <c r="A30" s="16" t="inlineStr">
        <is>
          <t>Maintenance contracts</t>
        </is>
      </c>
      <c r="B30" s="16" t="inlineStr">
        <is>
          <t>Mar 25</t>
        </is>
      </c>
      <c r="C30" s="16" t="inlineStr">
        <is>
          <t>Locked</t>
        </is>
      </c>
      <c r="D30" s="12" t="n">
        <v>27930</v>
      </c>
      <c r="E30" s="12" t="n">
        <v>11782</v>
      </c>
      <c r="F30" s="12">
        <f>D30-E30</f>
        <v/>
      </c>
      <c r="G30" s="13">
        <f>IF(D30=0,"",F30/D30)</f>
        <v/>
      </c>
    </row>
    <row r="31">
      <c r="A31" s="16" t="inlineStr">
        <is>
          <t>Maintenance contracts</t>
        </is>
      </c>
      <c r="B31" s="16" t="inlineStr">
        <is>
          <t>Apr 25</t>
        </is>
      </c>
      <c r="C31" s="16" t="inlineStr">
        <is>
          <t>Locked</t>
        </is>
      </c>
      <c r="D31" s="12" t="n">
        <v>27930</v>
      </c>
      <c r="E31" s="12" t="n">
        <v>11782</v>
      </c>
      <c r="F31" s="12">
        <f>D31-E31</f>
        <v/>
      </c>
      <c r="G31" s="13">
        <f>IF(D31=0,"",F31/D31)</f>
        <v/>
      </c>
    </row>
    <row r="32">
      <c r="A32" s="16" t="inlineStr">
        <is>
          <t>Maintenance contracts</t>
        </is>
      </c>
      <c r="B32" s="16" t="inlineStr">
        <is>
          <t>May 25</t>
        </is>
      </c>
      <c r="C32" s="16" t="inlineStr">
        <is>
          <t>Locked</t>
        </is>
      </c>
      <c r="D32" s="12" t="n">
        <v>27930</v>
      </c>
      <c r="E32" s="12" t="n">
        <v>11782</v>
      </c>
      <c r="F32" s="12">
        <f>D32-E32</f>
        <v/>
      </c>
      <c r="G32" s="13">
        <f>IF(D32=0,"",F32/D32)</f>
        <v/>
      </c>
    </row>
    <row r="33">
      <c r="A33" s="16" t="inlineStr">
        <is>
          <t>Maintenance contracts</t>
        </is>
      </c>
      <c r="B33" s="16" t="inlineStr">
        <is>
          <t>Jun 25</t>
        </is>
      </c>
      <c r="C33" s="16" t="inlineStr">
        <is>
          <t>Locked</t>
        </is>
      </c>
      <c r="D33" s="12" t="n">
        <v>31870</v>
      </c>
      <c r="E33" s="12" t="n">
        <v>13446</v>
      </c>
      <c r="F33" s="12">
        <f>D33-E33</f>
        <v/>
      </c>
      <c r="G33" s="13">
        <f>IF(D33=0,"",F33/D33)</f>
        <v/>
      </c>
    </row>
    <row r="34">
      <c r="A34" s="16" t="inlineStr">
        <is>
          <t>Maintenance contracts</t>
        </is>
      </c>
      <c r="B34" s="16" t="inlineStr">
        <is>
          <t>Jul 25</t>
        </is>
      </c>
      <c r="C34" s="16" t="inlineStr">
        <is>
          <t>Locked</t>
        </is>
      </c>
      <c r="D34" s="12" t="n">
        <v>33200</v>
      </c>
      <c r="E34" s="12" t="n">
        <v>13446</v>
      </c>
      <c r="F34" s="12">
        <f>D34-E34</f>
        <v/>
      </c>
      <c r="G34" s="13">
        <f>IF(D34=0,"",F34/D34)</f>
        <v/>
      </c>
    </row>
    <row r="35">
      <c r="A35" s="16" t="inlineStr">
        <is>
          <t>Maintenance contracts</t>
        </is>
      </c>
      <c r="B35" s="16" t="inlineStr">
        <is>
          <t>Aug 25</t>
        </is>
      </c>
      <c r="C35" s="16" t="inlineStr">
        <is>
          <t>Locked</t>
        </is>
      </c>
      <c r="D35" s="12" t="n">
        <v>33200</v>
      </c>
      <c r="E35" s="12" t="n">
        <v>13446</v>
      </c>
      <c r="F35" s="12">
        <f>D35-E35</f>
        <v/>
      </c>
      <c r="G35" s="13">
        <f>IF(D35=0,"",F35/D35)</f>
        <v/>
      </c>
    </row>
    <row r="36">
      <c r="A36" s="16" t="inlineStr">
        <is>
          <t>Maintenance contracts</t>
        </is>
      </c>
      <c r="B36" s="16" t="inlineStr">
        <is>
          <t>Sep 25</t>
        </is>
      </c>
      <c r="C36" s="16" t="inlineStr">
        <is>
          <t>Locked</t>
        </is>
      </c>
      <c r="D36" s="12" t="n">
        <v>33200</v>
      </c>
      <c r="E36" s="12" t="n">
        <v>13446</v>
      </c>
      <c r="F36" s="12">
        <f>D36-E36</f>
        <v/>
      </c>
      <c r="G36" s="13">
        <f>IF(D36=0,"",F36/D36)</f>
        <v/>
      </c>
    </row>
    <row r="37">
      <c r="A37" s="16" t="inlineStr">
        <is>
          <t>Maintenance contracts</t>
        </is>
      </c>
      <c r="B37" s="16" t="inlineStr">
        <is>
          <t>Oct 25</t>
        </is>
      </c>
      <c r="C37" s="16" t="inlineStr">
        <is>
          <t>Locked</t>
        </is>
      </c>
      <c r="D37" s="12" t="n">
        <v>35800</v>
      </c>
      <c r="E37" s="12" t="n">
        <v>14516</v>
      </c>
      <c r="F37" s="12">
        <f>D37-E37</f>
        <v/>
      </c>
      <c r="G37" s="13">
        <f>IF(D37=0,"",F37/D37)</f>
        <v/>
      </c>
    </row>
    <row r="38">
      <c r="A38" s="16" t="inlineStr">
        <is>
          <t>Maintenance contracts</t>
        </is>
      </c>
      <c r="B38" s="16" t="inlineStr">
        <is>
          <t>Nov 25</t>
        </is>
      </c>
      <c r="C38" s="16" t="inlineStr">
        <is>
          <t>Locked</t>
        </is>
      </c>
      <c r="D38" s="12" t="n">
        <v>35800</v>
      </c>
      <c r="E38" s="12" t="n">
        <v>14516</v>
      </c>
      <c r="F38" s="12">
        <f>D38-E38</f>
        <v/>
      </c>
      <c r="G38" s="13">
        <f>IF(D38=0,"",F38/D38)</f>
        <v/>
      </c>
    </row>
    <row r="39">
      <c r="A39" s="16" t="inlineStr">
        <is>
          <t>Maintenance contracts</t>
        </is>
      </c>
      <c r="B39" s="16" t="inlineStr">
        <is>
          <t>Dec 25</t>
        </is>
      </c>
      <c r="C39" s="16" t="inlineStr">
        <is>
          <t>Locked</t>
        </is>
      </c>
      <c r="D39" s="12" t="n">
        <v>35800</v>
      </c>
      <c r="E39" s="12" t="n">
        <v>14516</v>
      </c>
      <c r="F39" s="12">
        <f>D39-E39</f>
        <v/>
      </c>
      <c r="G39" s="13">
        <f>IF(D39=0,"",F39/D39)</f>
        <v/>
      </c>
    </row>
    <row r="40">
      <c r="A40" s="16" t="inlineStr">
        <is>
          <t>Maintenance contracts</t>
        </is>
      </c>
      <c r="B40" s="16" t="inlineStr">
        <is>
          <t>Jan 26</t>
        </is>
      </c>
      <c r="C40" s="16" t="inlineStr">
        <is>
          <t>Locked</t>
        </is>
      </c>
      <c r="D40" s="12" t="n">
        <v>35800</v>
      </c>
      <c r="E40" s="12" t="n">
        <v>14516</v>
      </c>
      <c r="F40" s="12">
        <f>D40-E40</f>
        <v/>
      </c>
      <c r="G40" s="13">
        <f>IF(D40=0,"",F40/D40)</f>
        <v/>
      </c>
    </row>
    <row r="41">
      <c r="A41" s="16" t="inlineStr">
        <is>
          <t>Maintenance contracts</t>
        </is>
      </c>
      <c r="B41" s="16" t="inlineStr">
        <is>
          <t>Feb 26</t>
        </is>
      </c>
      <c r="C41" s="16" t="inlineStr">
        <is>
          <t>Locked</t>
        </is>
      </c>
      <c r="D41" s="12" t="n">
        <v>37500</v>
      </c>
      <c r="E41" s="12" t="n">
        <v>15158</v>
      </c>
      <c r="F41" s="12">
        <f>D41-E41</f>
        <v/>
      </c>
      <c r="G41" s="13">
        <f>IF(D41=0,"",F41/D41)</f>
        <v/>
      </c>
    </row>
    <row r="42">
      <c r="A42" s="16" t="inlineStr">
        <is>
          <t>Maintenance contracts</t>
        </is>
      </c>
      <c r="B42" s="16" t="inlineStr">
        <is>
          <t>Mar 26</t>
        </is>
      </c>
      <c r="C42" s="16" t="inlineStr">
        <is>
          <t>Locked</t>
        </is>
      </c>
      <c r="D42" s="12" t="n">
        <v>37500</v>
      </c>
      <c r="E42" s="12" t="n">
        <v>15158</v>
      </c>
      <c r="F42" s="12">
        <f>D42-E42</f>
        <v/>
      </c>
      <c r="G42" s="13">
        <f>IF(D42=0,"",F42/D42)</f>
        <v/>
      </c>
    </row>
    <row r="43">
      <c r="A43" s="16" t="inlineStr">
        <is>
          <t>Maintenance contracts</t>
        </is>
      </c>
      <c r="B43" s="16" t="inlineStr">
        <is>
          <t>Apr 26</t>
        </is>
      </c>
      <c r="C43" s="16" t="inlineStr">
        <is>
          <t>Locked</t>
        </is>
      </c>
      <c r="D43" s="12" t="n">
        <v>37500</v>
      </c>
      <c r="E43" s="12" t="n">
        <v>15158</v>
      </c>
      <c r="F43" s="12">
        <f>D43-E43</f>
        <v/>
      </c>
      <c r="G43" s="13">
        <f>IF(D43=0,"",F43/D43)</f>
        <v/>
      </c>
    </row>
    <row r="44">
      <c r="A44" s="16" t="inlineStr">
        <is>
          <t>Installations</t>
        </is>
      </c>
      <c r="B44" s="16" t="inlineStr">
        <is>
          <t>Oct 24</t>
        </is>
      </c>
      <c r="C44" s="16" t="inlineStr">
        <is>
          <t>Locked</t>
        </is>
      </c>
      <c r="D44" s="12" t="n">
        <v>126300</v>
      </c>
      <c r="E44" s="12" t="n">
        <v>92430</v>
      </c>
      <c r="F44" s="12">
        <f>D44-E44</f>
        <v/>
      </c>
      <c r="G44" s="13">
        <f>IF(D44=0,"",F44/D44)</f>
        <v/>
      </c>
    </row>
    <row r="45">
      <c r="A45" s="16" t="inlineStr">
        <is>
          <t>Installations</t>
        </is>
      </c>
      <c r="B45" s="16" t="inlineStr">
        <is>
          <t>Nov 24</t>
        </is>
      </c>
      <c r="C45" s="16" t="inlineStr">
        <is>
          <t>Locked</t>
        </is>
      </c>
      <c r="D45" s="12" t="n">
        <v>131400</v>
      </c>
      <c r="E45" s="12" t="n">
        <v>89070</v>
      </c>
      <c r="F45" s="12">
        <f>D45-E45</f>
        <v/>
      </c>
      <c r="G45" s="13">
        <f>IF(D45=0,"",F45/D45)</f>
        <v/>
      </c>
    </row>
    <row r="46">
      <c r="A46" s="16" t="inlineStr">
        <is>
          <t>Installations</t>
        </is>
      </c>
      <c r="B46" s="16" t="inlineStr">
        <is>
          <t>Dec 24</t>
        </is>
      </c>
      <c r="C46" s="16" t="inlineStr">
        <is>
          <t>Locked</t>
        </is>
      </c>
      <c r="D46" s="12" t="n">
        <v>92600</v>
      </c>
      <c r="E46" s="12" t="n">
        <v>59908</v>
      </c>
      <c r="F46" s="12">
        <f>D46-E46</f>
        <v/>
      </c>
      <c r="G46" s="13">
        <f>IF(D46=0,"",F46/D46)</f>
        <v/>
      </c>
    </row>
    <row r="47">
      <c r="A47" s="16" t="inlineStr">
        <is>
          <t>Installations</t>
        </is>
      </c>
      <c r="B47" s="16" t="inlineStr">
        <is>
          <t>Jan 25</t>
        </is>
      </c>
      <c r="C47" s="16" t="inlineStr">
        <is>
          <t>Locked</t>
        </is>
      </c>
      <c r="D47" s="12" t="n">
        <v>89400</v>
      </c>
      <c r="E47" s="12" t="n">
        <v>54678</v>
      </c>
      <c r="F47" s="12">
        <f>D47-E47</f>
        <v/>
      </c>
      <c r="G47" s="13">
        <f>IF(D47=0,"",F47/D47)</f>
        <v/>
      </c>
    </row>
    <row r="48">
      <c r="A48" s="16" t="inlineStr">
        <is>
          <t>Installations</t>
        </is>
      </c>
      <c r="B48" s="16" t="inlineStr">
        <is>
          <t>Feb 25</t>
        </is>
      </c>
      <c r="C48" s="16" t="inlineStr">
        <is>
          <t>Locked</t>
        </is>
      </c>
      <c r="D48" s="12" t="n">
        <v>106000</v>
      </c>
      <c r="E48" s="12" t="n">
        <v>74966</v>
      </c>
      <c r="F48" s="12">
        <f>D48-E48</f>
        <v/>
      </c>
      <c r="G48" s="13">
        <f>IF(D48=0,"",F48/D48)</f>
        <v/>
      </c>
    </row>
    <row r="49">
      <c r="A49" s="16" t="inlineStr">
        <is>
          <t>Installations</t>
        </is>
      </c>
      <c r="B49" s="16" t="inlineStr">
        <is>
          <t>Mar 25</t>
        </is>
      </c>
      <c r="C49" s="16" t="inlineStr">
        <is>
          <t>Locked</t>
        </is>
      </c>
      <c r="D49" s="12" t="n">
        <v>86100</v>
      </c>
      <c r="E49" s="12" t="n">
        <v>61664</v>
      </c>
      <c r="F49" s="12">
        <f>D49-E49</f>
        <v/>
      </c>
      <c r="G49" s="13">
        <f>IF(D49=0,"",F49/D49)</f>
        <v/>
      </c>
    </row>
    <row r="50">
      <c r="A50" s="16" t="inlineStr">
        <is>
          <t>Installations</t>
        </is>
      </c>
      <c r="B50" s="16" t="inlineStr">
        <is>
          <t>Apr 25</t>
        </is>
      </c>
      <c r="C50" s="16" t="inlineStr">
        <is>
          <t>Locked</t>
        </is>
      </c>
      <c r="D50" s="12" t="n">
        <v>74900</v>
      </c>
      <c r="E50" s="12" t="n">
        <v>52264</v>
      </c>
      <c r="F50" s="12">
        <f>D50-E50</f>
        <v/>
      </c>
      <c r="G50" s="13">
        <f>IF(D50=0,"",F50/D50)</f>
        <v/>
      </c>
    </row>
    <row r="51">
      <c r="A51" s="16" t="inlineStr">
        <is>
          <t>Installations</t>
        </is>
      </c>
      <c r="B51" s="16" t="inlineStr">
        <is>
          <t>May 25</t>
        </is>
      </c>
      <c r="C51" s="16" t="inlineStr">
        <is>
          <t>Locked</t>
        </is>
      </c>
      <c r="D51" s="12" t="n">
        <v>80300</v>
      </c>
      <c r="E51" s="12" t="n">
        <v>59534</v>
      </c>
      <c r="F51" s="12">
        <f>D51-E51</f>
        <v/>
      </c>
      <c r="G51" s="13">
        <f>IF(D51=0,"",F51/D51)</f>
        <v/>
      </c>
    </row>
    <row r="52">
      <c r="A52" s="16" t="inlineStr">
        <is>
          <t>Installations</t>
        </is>
      </c>
      <c r="B52" s="16" t="inlineStr">
        <is>
          <t>Jun 25</t>
        </is>
      </c>
      <c r="C52" s="16" t="inlineStr">
        <is>
          <t>Locked</t>
        </is>
      </c>
      <c r="D52" s="12" t="n">
        <v>112700</v>
      </c>
      <c r="E52" s="12" t="n">
        <v>72976</v>
      </c>
      <c r="F52" s="12">
        <f>D52-E52</f>
        <v/>
      </c>
      <c r="G52" s="13">
        <f>IF(D52=0,"",F52/D52)</f>
        <v/>
      </c>
    </row>
    <row r="53">
      <c r="A53" s="16" t="inlineStr">
        <is>
          <t>Installations</t>
        </is>
      </c>
      <c r="B53" s="16" t="inlineStr">
        <is>
          <t>Jul 25</t>
        </is>
      </c>
      <c r="C53" s="16" t="inlineStr">
        <is>
          <t>Locked</t>
        </is>
      </c>
      <c r="D53" s="12" t="n">
        <v>135800</v>
      </c>
      <c r="E53" s="12" t="n">
        <v>96920</v>
      </c>
      <c r="F53" s="12">
        <f>D53-E53</f>
        <v/>
      </c>
      <c r="G53" s="13">
        <f>IF(D53=0,"",F53/D53)</f>
        <v/>
      </c>
    </row>
    <row r="54">
      <c r="A54" s="16" t="inlineStr">
        <is>
          <t>Installations</t>
        </is>
      </c>
      <c r="B54" s="16" t="inlineStr">
        <is>
          <t>Aug 25</t>
        </is>
      </c>
      <c r="C54" s="16" t="inlineStr">
        <is>
          <t>Locked</t>
        </is>
      </c>
      <c r="D54" s="12" t="n">
        <v>86200</v>
      </c>
      <c r="E54" s="12" t="n">
        <v>53590</v>
      </c>
      <c r="F54" s="12">
        <f>D54-E54</f>
        <v/>
      </c>
      <c r="G54" s="13">
        <f>IF(D54=0,"",F54/D54)</f>
        <v/>
      </c>
    </row>
    <row r="55">
      <c r="A55" s="16" t="inlineStr">
        <is>
          <t>Installations</t>
        </is>
      </c>
      <c r="B55" s="16" t="inlineStr">
        <is>
          <t>Sep 25</t>
        </is>
      </c>
      <c r="C55" s="16" t="inlineStr">
        <is>
          <t>Locked</t>
        </is>
      </c>
      <c r="D55" s="12" t="n">
        <v>75100</v>
      </c>
      <c r="E55" s="12" t="n">
        <v>55440</v>
      </c>
      <c r="F55" s="12">
        <f>D55-E55</f>
        <v/>
      </c>
      <c r="G55" s="13">
        <f>IF(D55=0,"",F55/D55)</f>
        <v/>
      </c>
    </row>
    <row r="56">
      <c r="A56" s="16" t="inlineStr">
        <is>
          <t>Installations</t>
        </is>
      </c>
      <c r="B56" s="16" t="inlineStr">
        <is>
          <t>Oct 25</t>
        </is>
      </c>
      <c r="C56" s="16" t="inlineStr">
        <is>
          <t>Locked</t>
        </is>
      </c>
      <c r="D56" s="12" t="n">
        <v>70800</v>
      </c>
      <c r="E56" s="12" t="n">
        <v>52288</v>
      </c>
      <c r="F56" s="12">
        <f>D56-E56</f>
        <v/>
      </c>
      <c r="G56" s="13">
        <f>IF(D56=0,"",F56/D56)</f>
        <v/>
      </c>
    </row>
    <row r="57">
      <c r="A57" s="16" t="inlineStr">
        <is>
          <t>Installations</t>
        </is>
      </c>
      <c r="B57" s="16" t="inlineStr">
        <is>
          <t>Nov 25</t>
        </is>
      </c>
      <c r="C57" s="16" t="inlineStr">
        <is>
          <t>Locked</t>
        </is>
      </c>
      <c r="D57" s="12" t="n">
        <v>113300</v>
      </c>
      <c r="E57" s="12" t="n">
        <v>87174</v>
      </c>
      <c r="F57" s="12">
        <f>D57-E57</f>
        <v/>
      </c>
      <c r="G57" s="13">
        <f>IF(D57=0,"",F57/D57)</f>
        <v/>
      </c>
    </row>
    <row r="58">
      <c r="A58" s="16" t="inlineStr">
        <is>
          <t>Installations</t>
        </is>
      </c>
      <c r="B58" s="16" t="inlineStr">
        <is>
          <t>Dec 25</t>
        </is>
      </c>
      <c r="C58" s="16" t="inlineStr">
        <is>
          <t>Locked</t>
        </is>
      </c>
      <c r="D58" s="12" t="n">
        <v>69700</v>
      </c>
      <c r="E58" s="12" t="n">
        <v>53408</v>
      </c>
      <c r="F58" s="12">
        <f>D58-E58</f>
        <v/>
      </c>
      <c r="G58" s="13">
        <f>IF(D58=0,"",F58/D58)</f>
        <v/>
      </c>
    </row>
    <row r="59">
      <c r="A59" s="16" t="inlineStr">
        <is>
          <t>Installations</t>
        </is>
      </c>
      <c r="B59" s="16" t="inlineStr">
        <is>
          <t>Jan 26</t>
        </is>
      </c>
      <c r="C59" s="16" t="inlineStr">
        <is>
          <t>Locked</t>
        </is>
      </c>
      <c r="D59" s="12" t="n">
        <v>97500</v>
      </c>
      <c r="E59" s="12" t="n">
        <v>74216</v>
      </c>
      <c r="F59" s="12">
        <f>D59-E59</f>
        <v/>
      </c>
      <c r="G59" s="13">
        <f>IF(D59=0,"",F59/D59)</f>
        <v/>
      </c>
    </row>
    <row r="60">
      <c r="A60" s="16" t="inlineStr">
        <is>
          <t>Installations</t>
        </is>
      </c>
      <c r="B60" s="16" t="inlineStr">
        <is>
          <t>Feb 26</t>
        </is>
      </c>
      <c r="C60" s="16" t="inlineStr">
        <is>
          <t>Locked</t>
        </is>
      </c>
      <c r="D60" s="12" t="n">
        <v>129300</v>
      </c>
      <c r="E60" s="12" t="n">
        <v>88896</v>
      </c>
      <c r="F60" s="12">
        <f>D60-E60</f>
        <v/>
      </c>
      <c r="G60" s="13">
        <f>IF(D60=0,"",F60/D60)</f>
        <v/>
      </c>
    </row>
    <row r="61">
      <c r="A61" s="16" t="inlineStr">
        <is>
          <t>Installations</t>
        </is>
      </c>
      <c r="B61" s="16" t="inlineStr">
        <is>
          <t>Mar 26</t>
        </is>
      </c>
      <c r="C61" s="16" t="inlineStr">
        <is>
          <t>Locked</t>
        </is>
      </c>
      <c r="D61" s="12" t="n">
        <v>129400</v>
      </c>
      <c r="E61" s="12" t="n">
        <v>94290</v>
      </c>
      <c r="F61" s="12">
        <f>D61-E61</f>
        <v/>
      </c>
      <c r="G61" s="13">
        <f>IF(D61=0,"",F61/D61)</f>
        <v/>
      </c>
    </row>
    <row r="62">
      <c r="A62" s="16" t="inlineStr">
        <is>
          <t>Installations</t>
        </is>
      </c>
      <c r="B62" s="16" t="inlineStr">
        <is>
          <t>Apr 26</t>
        </is>
      </c>
      <c r="C62" s="16" t="inlineStr">
        <is>
          <t>Locked</t>
        </is>
      </c>
      <c r="D62" s="12" t="n">
        <v>104400</v>
      </c>
      <c r="E62" s="12" t="n">
        <v>68016</v>
      </c>
      <c r="F62" s="12">
        <f>D62-E62</f>
        <v/>
      </c>
      <c r="G62" s="13">
        <f>IF(D62=0,"",F62/D62)</f>
        <v/>
      </c>
    </row>
    <row r="63">
      <c r="A63" s="16" t="inlineStr">
        <is>
          <t>Call-outs and repairs</t>
        </is>
      </c>
      <c r="B63" s="16" t="inlineStr">
        <is>
          <t>Oct 24</t>
        </is>
      </c>
      <c r="C63" s="16" t="inlineStr">
        <is>
          <t>Locked</t>
        </is>
      </c>
      <c r="D63" s="12" t="n">
        <v>20039</v>
      </c>
      <c r="E63" s="12" t="n">
        <v>11484</v>
      </c>
      <c r="F63" s="12">
        <f>D63-E63</f>
        <v/>
      </c>
      <c r="G63" s="13">
        <f>IF(D63=0,"",F63/D63)</f>
        <v/>
      </c>
    </row>
    <row r="64">
      <c r="A64" s="16" t="inlineStr">
        <is>
          <t>Call-outs and repairs</t>
        </is>
      </c>
      <c r="B64" s="16" t="inlineStr">
        <is>
          <t>Nov 24</t>
        </is>
      </c>
      <c r="C64" s="16" t="inlineStr">
        <is>
          <t>Locked</t>
        </is>
      </c>
      <c r="D64" s="12" t="n">
        <v>23404</v>
      </c>
      <c r="E64" s="12" t="n">
        <v>13526</v>
      </c>
      <c r="F64" s="12">
        <f>D64-E64</f>
        <v/>
      </c>
      <c r="G64" s="13">
        <f>IF(D64=0,"",F64/D64)</f>
        <v/>
      </c>
    </row>
    <row r="65">
      <c r="A65" s="16" t="inlineStr">
        <is>
          <t>Call-outs and repairs</t>
        </is>
      </c>
      <c r="B65" s="16" t="inlineStr">
        <is>
          <t>Dec 24</t>
        </is>
      </c>
      <c r="C65" s="16" t="inlineStr">
        <is>
          <t>Locked</t>
        </is>
      </c>
      <c r="D65" s="12" t="n">
        <v>25886</v>
      </c>
      <c r="E65" s="12" t="n">
        <v>14988</v>
      </c>
      <c r="F65" s="12">
        <f>D65-E65</f>
        <v/>
      </c>
      <c r="G65" s="13">
        <f>IF(D65=0,"",F65/D65)</f>
        <v/>
      </c>
    </row>
    <row r="66">
      <c r="A66" s="16" t="inlineStr">
        <is>
          <t>Call-outs and repairs</t>
        </is>
      </c>
      <c r="B66" s="16" t="inlineStr">
        <is>
          <t>Jan 25</t>
        </is>
      </c>
      <c r="C66" s="16" t="inlineStr">
        <is>
          <t>Locked</t>
        </is>
      </c>
      <c r="D66" s="12" t="n">
        <v>26839</v>
      </c>
      <c r="E66" s="12" t="n">
        <v>15644</v>
      </c>
      <c r="F66" s="12">
        <f>D66-E66</f>
        <v/>
      </c>
      <c r="G66" s="13">
        <f>IF(D66=0,"",F66/D66)</f>
        <v/>
      </c>
    </row>
    <row r="67">
      <c r="A67" s="16" t="inlineStr">
        <is>
          <t>Call-outs and repairs</t>
        </is>
      </c>
      <c r="B67" s="16" t="inlineStr">
        <is>
          <t>Feb 25</t>
        </is>
      </c>
      <c r="C67" s="16" t="inlineStr">
        <is>
          <t>Locked</t>
        </is>
      </c>
      <c r="D67" s="12" t="n">
        <v>27013</v>
      </c>
      <c r="E67" s="12" t="n">
        <v>15600</v>
      </c>
      <c r="F67" s="12">
        <f>D67-E67</f>
        <v/>
      </c>
      <c r="G67" s="13">
        <f>IF(D67=0,"",F67/D67)</f>
        <v/>
      </c>
    </row>
    <row r="68">
      <c r="A68" s="16" t="inlineStr">
        <is>
          <t>Call-outs and repairs</t>
        </is>
      </c>
      <c r="B68" s="16" t="inlineStr">
        <is>
          <t>Mar 25</t>
        </is>
      </c>
      <c r="C68" s="16" t="inlineStr">
        <is>
          <t>Locked</t>
        </is>
      </c>
      <c r="D68" s="12" t="n">
        <v>21052</v>
      </c>
      <c r="E68" s="12" t="n">
        <v>12306</v>
      </c>
      <c r="F68" s="12">
        <f>D68-E68</f>
        <v/>
      </c>
      <c r="G68" s="13">
        <f>IF(D68=0,"",F68/D68)</f>
        <v/>
      </c>
    </row>
    <row r="69">
      <c r="A69" s="16" t="inlineStr">
        <is>
          <t>Call-outs and repairs</t>
        </is>
      </c>
      <c r="B69" s="16" t="inlineStr">
        <is>
          <t>Apr 25</t>
        </is>
      </c>
      <c r="C69" s="16" t="inlineStr">
        <is>
          <t>Locked</t>
        </is>
      </c>
      <c r="D69" s="12" t="n">
        <v>21875</v>
      </c>
      <c r="E69" s="12" t="n">
        <v>12762</v>
      </c>
      <c r="F69" s="12">
        <f>D69-E69</f>
        <v/>
      </c>
      <c r="G69" s="13">
        <f>IF(D69=0,"",F69/D69)</f>
        <v/>
      </c>
    </row>
    <row r="70">
      <c r="A70" s="16" t="inlineStr">
        <is>
          <t>Call-outs and repairs</t>
        </is>
      </c>
      <c r="B70" s="16" t="inlineStr">
        <is>
          <t>May 25</t>
        </is>
      </c>
      <c r="C70" s="16" t="inlineStr">
        <is>
          <t>Locked</t>
        </is>
      </c>
      <c r="D70" s="12" t="n">
        <v>21586</v>
      </c>
      <c r="E70" s="12" t="n">
        <v>12384</v>
      </c>
      <c r="F70" s="12">
        <f>D70-E70</f>
        <v/>
      </c>
      <c r="G70" s="13">
        <f>IF(D70=0,"",F70/D70)</f>
        <v/>
      </c>
    </row>
    <row r="71">
      <c r="A71" s="16" t="inlineStr">
        <is>
          <t>Call-outs and repairs</t>
        </is>
      </c>
      <c r="B71" s="16" t="inlineStr">
        <is>
          <t>Jun 25</t>
        </is>
      </c>
      <c r="C71" s="16" t="inlineStr">
        <is>
          <t>Locked</t>
        </is>
      </c>
      <c r="D71" s="12" t="n">
        <v>19543</v>
      </c>
      <c r="E71" s="12" t="n">
        <v>11162</v>
      </c>
      <c r="F71" s="12">
        <f>D71-E71</f>
        <v/>
      </c>
      <c r="G71" s="13">
        <f>IF(D71=0,"",F71/D71)</f>
        <v/>
      </c>
    </row>
    <row r="72">
      <c r="A72" s="16" t="inlineStr">
        <is>
          <t>Call-outs and repairs</t>
        </is>
      </c>
      <c r="B72" s="16" t="inlineStr">
        <is>
          <t>Jul 25</t>
        </is>
      </c>
      <c r="C72" s="16" t="inlineStr">
        <is>
          <t>Locked</t>
        </is>
      </c>
      <c r="D72" s="12" t="n">
        <v>17760</v>
      </c>
      <c r="E72" s="12" t="n">
        <v>9960</v>
      </c>
      <c r="F72" s="12">
        <f>D72-E72</f>
        <v/>
      </c>
      <c r="G72" s="13">
        <f>IF(D72=0,"",F72/D72)</f>
        <v/>
      </c>
    </row>
    <row r="73">
      <c r="A73" s="16" t="inlineStr">
        <is>
          <t>Call-outs and repairs</t>
        </is>
      </c>
      <c r="B73" s="16" t="inlineStr">
        <is>
          <t>Aug 25</t>
        </is>
      </c>
      <c r="C73" s="16" t="inlineStr">
        <is>
          <t>Locked</t>
        </is>
      </c>
      <c r="D73" s="12" t="n">
        <v>19764</v>
      </c>
      <c r="E73" s="12" t="n">
        <v>11222</v>
      </c>
      <c r="F73" s="12">
        <f>D73-E73</f>
        <v/>
      </c>
      <c r="G73" s="13">
        <f>IF(D73=0,"",F73/D73)</f>
        <v/>
      </c>
    </row>
    <row r="74">
      <c r="A74" s="16" t="inlineStr">
        <is>
          <t>Call-outs and repairs</t>
        </is>
      </c>
      <c r="B74" s="16" t="inlineStr">
        <is>
          <t>Sep 25</t>
        </is>
      </c>
      <c r="C74" s="16" t="inlineStr">
        <is>
          <t>Locked</t>
        </is>
      </c>
      <c r="D74" s="12" t="n">
        <v>19955</v>
      </c>
      <c r="E74" s="12" t="n">
        <v>11168</v>
      </c>
      <c r="F74" s="12">
        <f>D74-E74</f>
        <v/>
      </c>
      <c r="G74" s="13">
        <f>IF(D74=0,"",F74/D74)</f>
        <v/>
      </c>
    </row>
    <row r="75">
      <c r="A75" s="16" t="inlineStr">
        <is>
          <t>Call-outs and repairs</t>
        </is>
      </c>
      <c r="B75" s="16" t="inlineStr">
        <is>
          <t>Oct 25</t>
        </is>
      </c>
      <c r="C75" s="16" t="inlineStr">
        <is>
          <t>Locked</t>
        </is>
      </c>
      <c r="D75" s="12" t="n">
        <v>22298</v>
      </c>
      <c r="E75" s="12" t="n">
        <v>12648</v>
      </c>
      <c r="F75" s="12">
        <f>D75-E75</f>
        <v/>
      </c>
      <c r="G75" s="13">
        <f>IF(D75=0,"",F75/D75)</f>
        <v/>
      </c>
    </row>
    <row r="76">
      <c r="A76" s="16" t="inlineStr">
        <is>
          <t>Call-outs and repairs</t>
        </is>
      </c>
      <c r="B76" s="16" t="inlineStr">
        <is>
          <t>Nov 25</t>
        </is>
      </c>
      <c r="C76" s="16" t="inlineStr">
        <is>
          <t>Locked</t>
        </is>
      </c>
      <c r="D76" s="12" t="n">
        <v>25686</v>
      </c>
      <c r="E76" s="12" t="n">
        <v>14252</v>
      </c>
      <c r="F76" s="12">
        <f>D76-E76</f>
        <v/>
      </c>
      <c r="G76" s="13">
        <f>IF(D76=0,"",F76/D76)</f>
        <v/>
      </c>
    </row>
    <row r="77">
      <c r="A77" s="16" t="inlineStr">
        <is>
          <t>Call-outs and repairs</t>
        </is>
      </c>
      <c r="B77" s="16" t="inlineStr">
        <is>
          <t>Dec 25</t>
        </is>
      </c>
      <c r="C77" s="16" t="inlineStr">
        <is>
          <t>Locked</t>
        </is>
      </c>
      <c r="D77" s="12" t="n">
        <v>29579</v>
      </c>
      <c r="E77" s="12" t="n">
        <v>16702</v>
      </c>
      <c r="F77" s="12">
        <f>D77-E77</f>
        <v/>
      </c>
      <c r="G77" s="13">
        <f>IF(D77=0,"",F77/D77)</f>
        <v/>
      </c>
    </row>
    <row r="78">
      <c r="A78" s="16" t="inlineStr">
        <is>
          <t>Call-outs and repairs</t>
        </is>
      </c>
      <c r="B78" s="16" t="inlineStr">
        <is>
          <t>Jan 26</t>
        </is>
      </c>
      <c r="C78" s="16" t="inlineStr">
        <is>
          <t>Locked</t>
        </is>
      </c>
      <c r="D78" s="12" t="n">
        <v>31480</v>
      </c>
      <c r="E78" s="12" t="n">
        <v>17858</v>
      </c>
      <c r="F78" s="12">
        <f>D78-E78</f>
        <v/>
      </c>
      <c r="G78" s="13">
        <f>IF(D78=0,"",F78/D78)</f>
        <v/>
      </c>
    </row>
    <row r="79">
      <c r="A79" s="16" t="inlineStr">
        <is>
          <t>Call-outs and repairs</t>
        </is>
      </c>
      <c r="B79" s="16" t="inlineStr">
        <is>
          <t>Feb 26</t>
        </is>
      </c>
      <c r="C79" s="16" t="inlineStr">
        <is>
          <t>Locked</t>
        </is>
      </c>
      <c r="D79" s="12" t="n">
        <v>29572</v>
      </c>
      <c r="E79" s="12" t="n">
        <v>16608</v>
      </c>
      <c r="F79" s="12">
        <f>D79-E79</f>
        <v/>
      </c>
      <c r="G79" s="13">
        <f>IF(D79=0,"",F79/D79)</f>
        <v/>
      </c>
    </row>
    <row r="80">
      <c r="A80" s="16" t="inlineStr">
        <is>
          <t>Call-outs and repairs</t>
        </is>
      </c>
      <c r="B80" s="16" t="inlineStr">
        <is>
          <t>Mar 26</t>
        </is>
      </c>
      <c r="C80" s="16" t="inlineStr">
        <is>
          <t>Locked</t>
        </is>
      </c>
      <c r="D80" s="12" t="n">
        <v>24600</v>
      </c>
      <c r="E80" s="12" t="n">
        <v>13894</v>
      </c>
      <c r="F80" s="12">
        <f>D80-E80</f>
        <v/>
      </c>
      <c r="G80" s="13">
        <f>IF(D80=0,"",F80/D80)</f>
        <v/>
      </c>
    </row>
    <row r="81">
      <c r="A81" s="16" t="inlineStr">
        <is>
          <t>Call-outs and repairs</t>
        </is>
      </c>
      <c r="B81" s="16" t="inlineStr">
        <is>
          <t>Apr 26</t>
        </is>
      </c>
      <c r="C81" s="16" t="inlineStr">
        <is>
          <t>Locked</t>
        </is>
      </c>
      <c r="D81" s="12" t="n">
        <v>23087</v>
      </c>
      <c r="E81" s="12" t="n">
        <v>12970</v>
      </c>
      <c r="F81" s="12">
        <f>D81-E81</f>
        <v/>
      </c>
      <c r="G81" s="13">
        <f>IF(D81=0,"",F81/D81)</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3" manualBreakCount="3">
    <brk id="24" min="0" max="16383" man="1"/>
    <brk id="43" min="0" max="16383" man="1"/>
    <brk id="62" min="0" max="16383" man="1"/>
  </rowBreak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SME sample businesses · SAMPLE DATA (invented) · The Fourth Sheet</t>
        </is>
      </c>
    </row>
    <row r="3">
      <c r="A3" s="2" t="inlineStr">
        <is>
          <t>Period: April 2026 · Data status: Mar 2026 locked · Apr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355300</v>
      </c>
      <c r="C6" s="12" t="n"/>
      <c r="D6" s="13">
        <f>IF(C6=0,"",B6/C6-1)</f>
        <v/>
      </c>
      <c r="E6" s="12" t="n">
        <v>211424</v>
      </c>
      <c r="F6" s="13">
        <f>IF(B6=0,"",E6/B6)</f>
        <v/>
      </c>
    </row>
    <row r="7">
      <c r="A7" s="16" t="inlineStr">
        <is>
          <t>Installations</t>
        </is>
      </c>
      <c r="B7" s="12" t="n">
        <v>1011500</v>
      </c>
      <c r="C7" s="12" t="n"/>
      <c r="D7" s="13">
        <f>IF(C7=0,"",B7/C7-1)</f>
        <v/>
      </c>
      <c r="E7" s="12" t="n">
        <v>287262</v>
      </c>
      <c r="F7" s="13">
        <f>IF(B7=0,"",E7/B7)</f>
        <v/>
      </c>
    </row>
    <row r="8">
      <c r="A8" s="16" t="inlineStr">
        <is>
          <t>Call-outs and repairs</t>
        </is>
      </c>
      <c r="B8" s="12" t="n">
        <v>243781</v>
      </c>
      <c r="C8" s="12" t="n"/>
      <c r="D8" s="13">
        <f>IF(C8=0,"",B8/C8-1)</f>
        <v/>
      </c>
      <c r="E8" s="12" t="n">
        <v>106499</v>
      </c>
      <c r="F8" s="13">
        <f>IF(B8=0,"",E8/B8)</f>
        <v/>
      </c>
    </row>
    <row r="9">
      <c r="A9" s="16" t="inlineStr">
        <is>
          <t>Total</t>
        </is>
      </c>
      <c r="B9" s="12" t="n">
        <v>1610581</v>
      </c>
      <c r="C9" s="12" t="n"/>
      <c r="D9" s="13">
        <f>IF(C9=0,"",B9/C9-1)</f>
        <v/>
      </c>
      <c r="E9" s="12" t="n">
        <v>605185</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8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Services</t>
        </is>
      </c>
    </row>
    <row r="2">
      <c r="A2" s="2" t="inlineStr">
        <is>
          <t>SME sample businesses · SAMPLE DATA (invented) · The Fourth Sheet</t>
        </is>
      </c>
    </row>
    <row r="3">
      <c r="A3" s="2" t="inlineStr">
        <is>
          <t>Period: April 2026 · Data status: Mar 2026 locked · Apr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94520</v>
      </c>
      <c r="E6" s="12" t="n">
        <v>35320</v>
      </c>
      <c r="F6" s="12">
        <f>D6-E6</f>
        <v/>
      </c>
      <c r="G6" s="13">
        <f>IF(D6=0,"",F6/D6)</f>
        <v/>
      </c>
    </row>
    <row r="7">
      <c r="A7" s="16" t="inlineStr">
        <is>
          <t>All</t>
        </is>
      </c>
      <c r="B7" s="16" t="inlineStr">
        <is>
          <t>Nov 24</t>
        </is>
      </c>
      <c r="C7" s="16" t="inlineStr">
        <is>
          <t>Locked</t>
        </is>
      </c>
      <c r="D7" s="12" t="n">
        <v>108140</v>
      </c>
      <c r="E7" s="12" t="n">
        <v>40040</v>
      </c>
      <c r="F7" s="12">
        <f>D7-E7</f>
        <v/>
      </c>
      <c r="G7" s="13">
        <f>IF(D7=0,"",F7/D7)</f>
        <v/>
      </c>
    </row>
    <row r="8">
      <c r="A8" s="16" t="inlineStr">
        <is>
          <t>All</t>
        </is>
      </c>
      <c r="B8" s="16" t="inlineStr">
        <is>
          <t>Dec 24</t>
        </is>
      </c>
      <c r="C8" s="16" t="inlineStr">
        <is>
          <t>Locked</t>
        </is>
      </c>
      <c r="D8" s="12" t="n">
        <v>114895</v>
      </c>
      <c r="E8" s="12" t="n">
        <v>42940</v>
      </c>
      <c r="F8" s="12">
        <f>D8-E8</f>
        <v/>
      </c>
      <c r="G8" s="13">
        <f>IF(D8=0,"",F8/D8)</f>
        <v/>
      </c>
    </row>
    <row r="9">
      <c r="A9" s="16" t="inlineStr">
        <is>
          <t>All</t>
        </is>
      </c>
      <c r="B9" s="16" t="inlineStr">
        <is>
          <t>Jan 25</t>
        </is>
      </c>
      <c r="C9" s="16" t="inlineStr">
        <is>
          <t>Locked</t>
        </is>
      </c>
      <c r="D9" s="12" t="n">
        <v>88250</v>
      </c>
      <c r="E9" s="12" t="n">
        <v>33260</v>
      </c>
      <c r="F9" s="12">
        <f>D9-E9</f>
        <v/>
      </c>
      <c r="G9" s="13">
        <f>IF(D9=0,"",F9/D9)</f>
        <v/>
      </c>
    </row>
    <row r="10">
      <c r="A10" s="16" t="inlineStr">
        <is>
          <t>All</t>
        </is>
      </c>
      <c r="B10" s="16" t="inlineStr">
        <is>
          <t>Feb 25</t>
        </is>
      </c>
      <c r="C10" s="16" t="inlineStr">
        <is>
          <t>Locked</t>
        </is>
      </c>
      <c r="D10" s="12" t="n">
        <v>111010</v>
      </c>
      <c r="E10" s="12" t="n">
        <v>42820</v>
      </c>
      <c r="F10" s="12">
        <f>D10-E10</f>
        <v/>
      </c>
      <c r="G10" s="13">
        <f>IF(D10=0,"",F10/D10)</f>
        <v/>
      </c>
    </row>
    <row r="11">
      <c r="A11" s="16" t="inlineStr">
        <is>
          <t>All</t>
        </is>
      </c>
      <c r="B11" s="16" t="inlineStr">
        <is>
          <t>Mar 25</t>
        </is>
      </c>
      <c r="C11" s="16" t="inlineStr">
        <is>
          <t>Locked</t>
        </is>
      </c>
      <c r="D11" s="12" t="n">
        <v>77175</v>
      </c>
      <c r="E11" s="12" t="n">
        <v>31940</v>
      </c>
      <c r="F11" s="12">
        <f>D11-E11</f>
        <v/>
      </c>
      <c r="G11" s="13">
        <f>IF(D11=0,"",F11/D11)</f>
        <v/>
      </c>
    </row>
    <row r="12">
      <c r="A12" s="16" t="inlineStr">
        <is>
          <t>All</t>
        </is>
      </c>
      <c r="B12" s="16" t="inlineStr">
        <is>
          <t>Apr 25</t>
        </is>
      </c>
      <c r="C12" s="16" t="inlineStr">
        <is>
          <t>Locked</t>
        </is>
      </c>
      <c r="D12" s="12" t="n">
        <v>63970</v>
      </c>
      <c r="E12" s="12" t="n">
        <v>25520</v>
      </c>
      <c r="F12" s="12">
        <f>D12-E12</f>
        <v/>
      </c>
      <c r="G12" s="13">
        <f>IF(D12=0,"",F12/D12)</f>
        <v/>
      </c>
    </row>
    <row r="13">
      <c r="A13" s="16" t="inlineStr">
        <is>
          <t>All</t>
        </is>
      </c>
      <c r="B13" s="16" t="inlineStr">
        <is>
          <t>May 25</t>
        </is>
      </c>
      <c r="C13" s="16" t="inlineStr">
        <is>
          <t>Locked</t>
        </is>
      </c>
      <c r="D13" s="12" t="n">
        <v>95555</v>
      </c>
      <c r="E13" s="12" t="n">
        <v>36100</v>
      </c>
      <c r="F13" s="12">
        <f>D13-E13</f>
        <v/>
      </c>
      <c r="G13" s="13">
        <f>IF(D13=0,"",F13/D13)</f>
        <v/>
      </c>
    </row>
    <row r="14">
      <c r="A14" s="16" t="inlineStr">
        <is>
          <t>All</t>
        </is>
      </c>
      <c r="B14" s="16" t="inlineStr">
        <is>
          <t>Jun 25</t>
        </is>
      </c>
      <c r="C14" s="16" t="inlineStr">
        <is>
          <t>Locked</t>
        </is>
      </c>
      <c r="D14" s="12" t="n">
        <v>90220</v>
      </c>
      <c r="E14" s="12" t="n">
        <v>35380</v>
      </c>
      <c r="F14" s="12">
        <f>D14-E14</f>
        <v/>
      </c>
      <c r="G14" s="13">
        <f>IF(D14=0,"",F14/D14)</f>
        <v/>
      </c>
    </row>
    <row r="15">
      <c r="A15" s="16" t="inlineStr">
        <is>
          <t>All</t>
        </is>
      </c>
      <c r="B15" s="16" t="inlineStr">
        <is>
          <t>Jul 25</t>
        </is>
      </c>
      <c r="C15" s="16" t="inlineStr">
        <is>
          <t>Locked</t>
        </is>
      </c>
      <c r="D15" s="12" t="n">
        <v>86320</v>
      </c>
      <c r="E15" s="12" t="n">
        <v>32820</v>
      </c>
      <c r="F15" s="12">
        <f>D15-E15</f>
        <v/>
      </c>
      <c r="G15" s="13">
        <f>IF(D15=0,"",F15/D15)</f>
        <v/>
      </c>
    </row>
    <row r="16">
      <c r="A16" s="16" t="inlineStr">
        <is>
          <t>All</t>
        </is>
      </c>
      <c r="B16" s="16" t="inlineStr">
        <is>
          <t>Aug 25</t>
        </is>
      </c>
      <c r="C16" s="16" t="inlineStr">
        <is>
          <t>Locked</t>
        </is>
      </c>
      <c r="D16" s="12" t="n">
        <v>61475</v>
      </c>
      <c r="E16" s="12" t="n">
        <v>21360</v>
      </c>
      <c r="F16" s="12">
        <f>D16-E16</f>
        <v/>
      </c>
      <c r="G16" s="13">
        <f>IF(D16=0,"",F16/D16)</f>
        <v/>
      </c>
    </row>
    <row r="17">
      <c r="A17" s="16" t="inlineStr">
        <is>
          <t>All</t>
        </is>
      </c>
      <c r="B17" s="16" t="inlineStr">
        <is>
          <t>Sep 25</t>
        </is>
      </c>
      <c r="C17" s="16" t="inlineStr">
        <is>
          <t>Locked</t>
        </is>
      </c>
      <c r="D17" s="12" t="n">
        <v>59535</v>
      </c>
      <c r="E17" s="12" t="n">
        <v>20280</v>
      </c>
      <c r="F17" s="12">
        <f>D17-E17</f>
        <v/>
      </c>
      <c r="G17" s="13">
        <f>IF(D17=0,"",F17/D17)</f>
        <v/>
      </c>
    </row>
    <row r="18">
      <c r="A18" s="16" t="inlineStr">
        <is>
          <t>All</t>
        </is>
      </c>
      <c r="B18" s="16" t="inlineStr">
        <is>
          <t>Oct 25</t>
        </is>
      </c>
      <c r="C18" s="16" t="inlineStr">
        <is>
          <t>Locked</t>
        </is>
      </c>
      <c r="D18" s="12" t="n">
        <v>71260</v>
      </c>
      <c r="E18" s="12" t="n">
        <v>25540</v>
      </c>
      <c r="F18" s="12">
        <f>D18-E18</f>
        <v/>
      </c>
      <c r="G18" s="13">
        <f>IF(D18=0,"",F18/D18)</f>
        <v/>
      </c>
    </row>
    <row r="19">
      <c r="A19" s="16" t="inlineStr">
        <is>
          <t>All</t>
        </is>
      </c>
      <c r="B19" s="16" t="inlineStr">
        <is>
          <t>Nov 25</t>
        </is>
      </c>
      <c r="C19" s="16" t="inlineStr">
        <is>
          <t>Locked</t>
        </is>
      </c>
      <c r="D19" s="12" t="n">
        <v>83940</v>
      </c>
      <c r="E19" s="12" t="n">
        <v>31140</v>
      </c>
      <c r="F19" s="12">
        <f>D19-E19</f>
        <v/>
      </c>
      <c r="G19" s="13">
        <f>IF(D19=0,"",F19/D19)</f>
        <v/>
      </c>
    </row>
    <row r="20">
      <c r="A20" s="16" t="inlineStr">
        <is>
          <t>All</t>
        </is>
      </c>
      <c r="B20" s="16" t="inlineStr">
        <is>
          <t>Dec 25</t>
        </is>
      </c>
      <c r="C20" s="16" t="inlineStr">
        <is>
          <t>Locked</t>
        </is>
      </c>
      <c r="D20" s="12" t="n">
        <v>69420</v>
      </c>
      <c r="E20" s="12" t="n">
        <v>24520</v>
      </c>
      <c r="F20" s="12">
        <f>D20-E20</f>
        <v/>
      </c>
      <c r="G20" s="13">
        <f>IF(D20=0,"",F20/D20)</f>
        <v/>
      </c>
    </row>
    <row r="21">
      <c r="A21" s="16" t="inlineStr">
        <is>
          <t>All</t>
        </is>
      </c>
      <c r="B21" s="16" t="inlineStr">
        <is>
          <t>Jan 26</t>
        </is>
      </c>
      <c r="C21" s="16" t="inlineStr">
        <is>
          <t>Locked</t>
        </is>
      </c>
      <c r="D21" s="12" t="n">
        <v>92370</v>
      </c>
      <c r="E21" s="12" t="n">
        <v>32520</v>
      </c>
      <c r="F21" s="12">
        <f>D21-E21</f>
        <v/>
      </c>
      <c r="G21" s="13">
        <f>IF(D21=0,"",F21/D21)</f>
        <v/>
      </c>
    </row>
    <row r="22">
      <c r="A22" s="16" t="inlineStr">
        <is>
          <t>All</t>
        </is>
      </c>
      <c r="B22" s="16" t="inlineStr">
        <is>
          <t>Feb 26</t>
        </is>
      </c>
      <c r="C22" s="16" t="inlineStr">
        <is>
          <t>Locked</t>
        </is>
      </c>
      <c r="D22" s="12" t="n">
        <v>100055</v>
      </c>
      <c r="E22" s="12" t="n">
        <v>36580</v>
      </c>
      <c r="F22" s="12">
        <f>D22-E22</f>
        <v/>
      </c>
      <c r="G22" s="13">
        <f>IF(D22=0,"",F22/D22)</f>
        <v/>
      </c>
    </row>
    <row r="23">
      <c r="A23" s="16" t="inlineStr">
        <is>
          <t>All</t>
        </is>
      </c>
      <c r="B23" s="16" t="inlineStr">
        <is>
          <t>Mar 26</t>
        </is>
      </c>
      <c r="C23" s="16" t="inlineStr">
        <is>
          <t>Locked</t>
        </is>
      </c>
      <c r="D23" s="12" t="n">
        <v>109865</v>
      </c>
      <c r="E23" s="12" t="n">
        <v>40720</v>
      </c>
      <c r="F23" s="12">
        <f>D23-E23</f>
        <v/>
      </c>
      <c r="G23" s="13">
        <f>IF(D23=0,"",F23/D23)</f>
        <v/>
      </c>
    </row>
    <row r="24">
      <c r="A24" s="16" t="inlineStr">
        <is>
          <t>All</t>
        </is>
      </c>
      <c r="B24" s="16" t="inlineStr">
        <is>
          <t>Apr 26</t>
        </is>
      </c>
      <c r="C24" s="16" t="inlineStr">
        <is>
          <t>Locked</t>
        </is>
      </c>
      <c r="D24" s="12" t="n">
        <v>80590</v>
      </c>
      <c r="E24" s="12" t="n">
        <v>27860</v>
      </c>
      <c r="F24" s="12">
        <f>D24-E24</f>
        <v/>
      </c>
      <c r="G24" s="13">
        <f>IF(D24=0,"",F24/D24)</f>
        <v/>
      </c>
    </row>
    <row r="25">
      <c r="A25" s="16" t="inlineStr">
        <is>
          <t>Projects</t>
        </is>
      </c>
      <c r="B25" s="16" t="inlineStr">
        <is>
          <t>Oct 24</t>
        </is>
      </c>
      <c r="C25" s="16" t="inlineStr">
        <is>
          <t>Locked</t>
        </is>
      </c>
      <c r="D25" s="12" t="n">
        <v>70720</v>
      </c>
      <c r="E25" s="12" t="n">
        <v>27820</v>
      </c>
      <c r="F25" s="12">
        <f>D25-E25</f>
        <v/>
      </c>
      <c r="G25" s="13">
        <f>IF(D25=0,"",F25/D25)</f>
        <v/>
      </c>
    </row>
    <row r="26">
      <c r="A26" s="16" t="inlineStr">
        <is>
          <t>Projects</t>
        </is>
      </c>
      <c r="B26" s="16" t="inlineStr">
        <is>
          <t>Nov 24</t>
        </is>
      </c>
      <c r="C26" s="16" t="inlineStr">
        <is>
          <t>Locked</t>
        </is>
      </c>
      <c r="D26" s="12" t="n">
        <v>88540</v>
      </c>
      <c r="E26" s="12" t="n">
        <v>34400</v>
      </c>
      <c r="F26" s="12">
        <f>D26-E26</f>
        <v/>
      </c>
      <c r="G26" s="13">
        <f>IF(D26=0,"",F26/D26)</f>
        <v/>
      </c>
    </row>
    <row r="27">
      <c r="A27" s="16" t="inlineStr">
        <is>
          <t>Projects</t>
        </is>
      </c>
      <c r="B27" s="16" t="inlineStr">
        <is>
          <t>Dec 24</t>
        </is>
      </c>
      <c r="C27" s="16" t="inlineStr">
        <is>
          <t>Locked</t>
        </is>
      </c>
      <c r="D27" s="12" t="n">
        <v>94695</v>
      </c>
      <c r="E27" s="12" t="n">
        <v>36880</v>
      </c>
      <c r="F27" s="12">
        <f>D27-E27</f>
        <v/>
      </c>
      <c r="G27" s="13">
        <f>IF(D27=0,"",F27/D27)</f>
        <v/>
      </c>
    </row>
    <row r="28">
      <c r="A28" s="16" t="inlineStr">
        <is>
          <t>Projects</t>
        </is>
      </c>
      <c r="B28" s="16" t="inlineStr">
        <is>
          <t>Jan 25</t>
        </is>
      </c>
      <c r="C28" s="16" t="inlineStr">
        <is>
          <t>Locked</t>
        </is>
      </c>
      <c r="D28" s="12" t="n">
        <v>66850</v>
      </c>
      <c r="E28" s="12" t="n">
        <v>26240</v>
      </c>
      <c r="F28" s="12">
        <f>D28-E28</f>
        <v/>
      </c>
      <c r="G28" s="13">
        <f>IF(D28=0,"",F28/D28)</f>
        <v/>
      </c>
    </row>
    <row r="29">
      <c r="A29" s="16" t="inlineStr">
        <is>
          <t>Projects</t>
        </is>
      </c>
      <c r="B29" s="16" t="inlineStr">
        <is>
          <t>Feb 25</t>
        </is>
      </c>
      <c r="C29" s="16" t="inlineStr">
        <is>
          <t>Locked</t>
        </is>
      </c>
      <c r="D29" s="12" t="n">
        <v>84410</v>
      </c>
      <c r="E29" s="12" t="n">
        <v>34360</v>
      </c>
      <c r="F29" s="12">
        <f>D29-E29</f>
        <v/>
      </c>
      <c r="G29" s="13">
        <f>IF(D29=0,"",F29/D29)</f>
        <v/>
      </c>
    </row>
    <row r="30">
      <c r="A30" s="16" t="inlineStr">
        <is>
          <t>Projects</t>
        </is>
      </c>
      <c r="B30" s="16" t="inlineStr">
        <is>
          <t>Mar 25</t>
        </is>
      </c>
      <c r="C30" s="16" t="inlineStr">
        <is>
          <t>Locked</t>
        </is>
      </c>
      <c r="D30" s="12" t="n">
        <v>48975</v>
      </c>
      <c r="E30" s="12" t="n">
        <v>21860</v>
      </c>
      <c r="F30" s="12">
        <f>D30-E30</f>
        <v/>
      </c>
      <c r="G30" s="13">
        <f>IF(D30=0,"",F30/D30)</f>
        <v/>
      </c>
    </row>
    <row r="31">
      <c r="A31" s="16" t="inlineStr">
        <is>
          <t>Projects</t>
        </is>
      </c>
      <c r="B31" s="16" t="inlineStr">
        <is>
          <t>Apr 25</t>
        </is>
      </c>
      <c r="C31" s="16" t="inlineStr">
        <is>
          <t>Locked</t>
        </is>
      </c>
      <c r="D31" s="12" t="n">
        <v>37570</v>
      </c>
      <c r="E31" s="12" t="n">
        <v>17660</v>
      </c>
      <c r="F31" s="12">
        <f>D31-E31</f>
        <v/>
      </c>
      <c r="G31" s="13">
        <f>IF(D31=0,"",F31/D31)</f>
        <v/>
      </c>
    </row>
    <row r="32">
      <c r="A32" s="16" t="inlineStr">
        <is>
          <t>Projects</t>
        </is>
      </c>
      <c r="B32" s="16" t="inlineStr">
        <is>
          <t>May 25</t>
        </is>
      </c>
      <c r="C32" s="16" t="inlineStr">
        <is>
          <t>Locked</t>
        </is>
      </c>
      <c r="D32" s="12" t="n">
        <v>59755</v>
      </c>
      <c r="E32" s="12" t="n">
        <v>23980</v>
      </c>
      <c r="F32" s="12">
        <f>D32-E32</f>
        <v/>
      </c>
      <c r="G32" s="13">
        <f>IF(D32=0,"",F32/D32)</f>
        <v/>
      </c>
    </row>
    <row r="33">
      <c r="A33" s="16" t="inlineStr">
        <is>
          <t>Projects</t>
        </is>
      </c>
      <c r="B33" s="16" t="inlineStr">
        <is>
          <t>Jun 25</t>
        </is>
      </c>
      <c r="C33" s="16" t="inlineStr">
        <is>
          <t>Locked</t>
        </is>
      </c>
      <c r="D33" s="12" t="n">
        <v>64520</v>
      </c>
      <c r="E33" s="12" t="n">
        <v>26860</v>
      </c>
      <c r="F33" s="12">
        <f>D33-E33</f>
        <v/>
      </c>
      <c r="G33" s="13">
        <f>IF(D33=0,"",F33/D33)</f>
        <v/>
      </c>
    </row>
    <row r="34">
      <c r="A34" s="16" t="inlineStr">
        <is>
          <t>Projects</t>
        </is>
      </c>
      <c r="B34" s="16" t="inlineStr">
        <is>
          <t>Jul 25</t>
        </is>
      </c>
      <c r="C34" s="16" t="inlineStr">
        <is>
          <t>Locked</t>
        </is>
      </c>
      <c r="D34" s="12" t="n">
        <v>64820</v>
      </c>
      <c r="E34" s="12" t="n">
        <v>25920</v>
      </c>
      <c r="F34" s="12">
        <f>D34-E34</f>
        <v/>
      </c>
      <c r="G34" s="13">
        <f>IF(D34=0,"",F34/D34)</f>
        <v/>
      </c>
    </row>
    <row r="35">
      <c r="A35" s="16" t="inlineStr">
        <is>
          <t>Projects</t>
        </is>
      </c>
      <c r="B35" s="16" t="inlineStr">
        <is>
          <t>Aug 25</t>
        </is>
      </c>
      <c r="C35" s="16" t="inlineStr">
        <is>
          <t>Locked</t>
        </is>
      </c>
      <c r="D35" s="12" t="n">
        <v>38775</v>
      </c>
      <c r="E35" s="12" t="n">
        <v>13860</v>
      </c>
      <c r="F35" s="12">
        <f>D35-E35</f>
        <v/>
      </c>
      <c r="G35" s="13">
        <f>IF(D35=0,"",F35/D35)</f>
        <v/>
      </c>
    </row>
    <row r="36">
      <c r="A36" s="16" t="inlineStr">
        <is>
          <t>Projects</t>
        </is>
      </c>
      <c r="B36" s="16" t="inlineStr">
        <is>
          <t>Sep 25</t>
        </is>
      </c>
      <c r="C36" s="16" t="inlineStr">
        <is>
          <t>Locked</t>
        </is>
      </c>
      <c r="D36" s="12" t="n">
        <v>38035</v>
      </c>
      <c r="E36" s="12" t="n">
        <v>13560</v>
      </c>
      <c r="F36" s="12">
        <f>D36-E36</f>
        <v/>
      </c>
      <c r="G36" s="13">
        <f>IF(D36=0,"",F36/D36)</f>
        <v/>
      </c>
    </row>
    <row r="37">
      <c r="A37" s="16" t="inlineStr">
        <is>
          <t>Projects</t>
        </is>
      </c>
      <c r="B37" s="16" t="inlineStr">
        <is>
          <t>Oct 25</t>
        </is>
      </c>
      <c r="C37" s="16" t="inlineStr">
        <is>
          <t>Locked</t>
        </is>
      </c>
      <c r="D37" s="12" t="n">
        <v>45860</v>
      </c>
      <c r="E37" s="12" t="n">
        <v>18220</v>
      </c>
      <c r="F37" s="12">
        <f>D37-E37</f>
        <v/>
      </c>
      <c r="G37" s="13">
        <f>IF(D37=0,"",F37/D37)</f>
        <v/>
      </c>
    </row>
    <row r="38">
      <c r="A38" s="16" t="inlineStr">
        <is>
          <t>Projects</t>
        </is>
      </c>
      <c r="B38" s="16" t="inlineStr">
        <is>
          <t>Nov 25</t>
        </is>
      </c>
      <c r="C38" s="16" t="inlineStr">
        <is>
          <t>Locked</t>
        </is>
      </c>
      <c r="D38" s="12" t="n">
        <v>46840</v>
      </c>
      <c r="E38" s="12" t="n">
        <v>18960</v>
      </c>
      <c r="F38" s="12">
        <f>D38-E38</f>
        <v/>
      </c>
      <c r="G38" s="13">
        <f>IF(D38=0,"",F38/D38)</f>
        <v/>
      </c>
    </row>
    <row r="39">
      <c r="A39" s="16" t="inlineStr">
        <is>
          <t>Projects</t>
        </is>
      </c>
      <c r="B39" s="16" t="inlineStr">
        <is>
          <t>Dec 25</t>
        </is>
      </c>
      <c r="C39" s="16" t="inlineStr">
        <is>
          <t>Locked</t>
        </is>
      </c>
      <c r="D39" s="12" t="n">
        <v>29520</v>
      </c>
      <c r="E39" s="12" t="n">
        <v>12340</v>
      </c>
      <c r="F39" s="12">
        <f>D39-E39</f>
        <v/>
      </c>
      <c r="G39" s="13">
        <f>IF(D39=0,"",F39/D39)</f>
        <v/>
      </c>
    </row>
    <row r="40">
      <c r="A40" s="16" t="inlineStr">
        <is>
          <t>Projects</t>
        </is>
      </c>
      <c r="B40" s="16" t="inlineStr">
        <is>
          <t>Jan 26</t>
        </is>
      </c>
      <c r="C40" s="16" t="inlineStr">
        <is>
          <t>Locked</t>
        </is>
      </c>
      <c r="D40" s="12" t="n">
        <v>60170</v>
      </c>
      <c r="E40" s="12" t="n">
        <v>22440</v>
      </c>
      <c r="F40" s="12">
        <f>D40-E40</f>
        <v/>
      </c>
      <c r="G40" s="13">
        <f>IF(D40=0,"",F40/D40)</f>
        <v/>
      </c>
    </row>
    <row r="41">
      <c r="A41" s="16" t="inlineStr">
        <is>
          <t>Projects</t>
        </is>
      </c>
      <c r="B41" s="16" t="inlineStr">
        <is>
          <t>Feb 26</t>
        </is>
      </c>
      <c r="C41" s="16" t="inlineStr">
        <is>
          <t>Locked</t>
        </is>
      </c>
      <c r="D41" s="12" t="n">
        <v>62955</v>
      </c>
      <c r="E41" s="12" t="n">
        <v>23440</v>
      </c>
      <c r="F41" s="12">
        <f>D41-E41</f>
        <v/>
      </c>
      <c r="G41" s="13">
        <f>IF(D41=0,"",F41/D41)</f>
        <v/>
      </c>
    </row>
    <row r="42">
      <c r="A42" s="16" t="inlineStr">
        <is>
          <t>Projects</t>
        </is>
      </c>
      <c r="B42" s="16" t="inlineStr">
        <is>
          <t>Mar 26</t>
        </is>
      </c>
      <c r="C42" s="16" t="inlineStr">
        <is>
          <t>Locked</t>
        </is>
      </c>
      <c r="D42" s="12" t="n">
        <v>75165</v>
      </c>
      <c r="E42" s="12" t="n">
        <v>29380</v>
      </c>
      <c r="F42" s="12">
        <f>D42-E42</f>
        <v/>
      </c>
      <c r="G42" s="13">
        <f>IF(D42=0,"",F42/D42)</f>
        <v/>
      </c>
    </row>
    <row r="43">
      <c r="A43" s="16" t="inlineStr">
        <is>
          <t>Projects</t>
        </is>
      </c>
      <c r="B43" s="16" t="inlineStr">
        <is>
          <t>Apr 26</t>
        </is>
      </c>
      <c r="C43" s="16" t="inlineStr">
        <is>
          <t>Locked</t>
        </is>
      </c>
      <c r="D43" s="12" t="n">
        <v>47090</v>
      </c>
      <c r="E43" s="12" t="n">
        <v>17480</v>
      </c>
      <c r="F43" s="12">
        <f>D43-E43</f>
        <v/>
      </c>
      <c r="G43" s="13">
        <f>IF(D43=0,"",F43/D43)</f>
        <v/>
      </c>
    </row>
    <row r="44">
      <c r="A44" s="16" t="inlineStr">
        <is>
          <t>Retainers</t>
        </is>
      </c>
      <c r="B44" s="16" t="inlineStr">
        <is>
          <t>Oct 24</t>
        </is>
      </c>
      <c r="C44" s="16" t="inlineStr">
        <is>
          <t>Locked</t>
        </is>
      </c>
      <c r="D44" s="12" t="n">
        <v>15000</v>
      </c>
      <c r="E44" s="12" t="n">
        <v>4800</v>
      </c>
      <c r="F44" s="12">
        <f>D44-E44</f>
        <v/>
      </c>
      <c r="G44" s="13">
        <f>IF(D44=0,"",F44/D44)</f>
        <v/>
      </c>
    </row>
    <row r="45">
      <c r="A45" s="16" t="inlineStr">
        <is>
          <t>Retainers</t>
        </is>
      </c>
      <c r="B45" s="16" t="inlineStr">
        <is>
          <t>Nov 24</t>
        </is>
      </c>
      <c r="C45" s="16" t="inlineStr">
        <is>
          <t>Locked</t>
        </is>
      </c>
      <c r="D45" s="12" t="n">
        <v>15000</v>
      </c>
      <c r="E45" s="12" t="n">
        <v>4800</v>
      </c>
      <c r="F45" s="12">
        <f>D45-E45</f>
        <v/>
      </c>
      <c r="G45" s="13">
        <f>IF(D45=0,"",F45/D45)</f>
        <v/>
      </c>
    </row>
    <row r="46">
      <c r="A46" s="16" t="inlineStr">
        <is>
          <t>Retainers</t>
        </is>
      </c>
      <c r="B46" s="16" t="inlineStr">
        <is>
          <t>Dec 24</t>
        </is>
      </c>
      <c r="C46" s="16" t="inlineStr">
        <is>
          <t>Locked</t>
        </is>
      </c>
      <c r="D46" s="12" t="n">
        <v>15000</v>
      </c>
      <c r="E46" s="12" t="n">
        <v>5100</v>
      </c>
      <c r="F46" s="12">
        <f>D46-E46</f>
        <v/>
      </c>
      <c r="G46" s="13">
        <f>IF(D46=0,"",F46/D46)</f>
        <v/>
      </c>
    </row>
    <row r="47">
      <c r="A47" s="16" t="inlineStr">
        <is>
          <t>Retainers</t>
        </is>
      </c>
      <c r="B47" s="16" t="inlineStr">
        <is>
          <t>Jan 25</t>
        </is>
      </c>
      <c r="C47" s="16" t="inlineStr">
        <is>
          <t>Locked</t>
        </is>
      </c>
      <c r="D47" s="12" t="n">
        <v>15000</v>
      </c>
      <c r="E47" s="12" t="n">
        <v>4920</v>
      </c>
      <c r="F47" s="12">
        <f>D47-E47</f>
        <v/>
      </c>
      <c r="G47" s="13">
        <f>IF(D47=0,"",F47/D47)</f>
        <v/>
      </c>
    </row>
    <row r="48">
      <c r="A48" s="16" t="inlineStr">
        <is>
          <t>Retainers</t>
        </is>
      </c>
      <c r="B48" s="16" t="inlineStr">
        <is>
          <t>Feb 25</t>
        </is>
      </c>
      <c r="C48" s="16" t="inlineStr">
        <is>
          <t>Locked</t>
        </is>
      </c>
      <c r="D48" s="12" t="n">
        <v>15000</v>
      </c>
      <c r="E48" s="12" t="n">
        <v>5400</v>
      </c>
      <c r="F48" s="12">
        <f>D48-E48</f>
        <v/>
      </c>
      <c r="G48" s="13">
        <f>IF(D48=0,"",F48/D48)</f>
        <v/>
      </c>
    </row>
    <row r="49">
      <c r="A49" s="16" t="inlineStr">
        <is>
          <t>Retainers</t>
        </is>
      </c>
      <c r="B49" s="16" t="inlineStr">
        <is>
          <t>Mar 25</t>
        </is>
      </c>
      <c r="C49" s="16" t="inlineStr">
        <is>
          <t>Locked</t>
        </is>
      </c>
      <c r="D49" s="12" t="n">
        <v>21800</v>
      </c>
      <c r="E49" s="12" t="n">
        <v>7980</v>
      </c>
      <c r="F49" s="12">
        <f>D49-E49</f>
        <v/>
      </c>
      <c r="G49" s="13">
        <f>IF(D49=0,"",F49/D49)</f>
        <v/>
      </c>
    </row>
    <row r="50">
      <c r="A50" s="16" t="inlineStr">
        <is>
          <t>Retainers</t>
        </is>
      </c>
      <c r="B50" s="16" t="inlineStr">
        <is>
          <t>Apr 25</t>
        </is>
      </c>
      <c r="C50" s="16" t="inlineStr">
        <is>
          <t>Locked</t>
        </is>
      </c>
      <c r="D50" s="12" t="n">
        <v>21800</v>
      </c>
      <c r="E50" s="12" t="n">
        <v>7020</v>
      </c>
      <c r="F50" s="12">
        <f>D50-E50</f>
        <v/>
      </c>
      <c r="G50" s="13">
        <f>IF(D50=0,"",F50/D50)</f>
        <v/>
      </c>
    </row>
    <row r="51">
      <c r="A51" s="16" t="inlineStr">
        <is>
          <t>Retainers</t>
        </is>
      </c>
      <c r="B51" s="16" t="inlineStr">
        <is>
          <t>May 25</t>
        </is>
      </c>
      <c r="C51" s="16" t="inlineStr">
        <is>
          <t>Locked</t>
        </is>
      </c>
      <c r="D51" s="12" t="n">
        <v>21800</v>
      </c>
      <c r="E51" s="12" t="n">
        <v>8460</v>
      </c>
      <c r="F51" s="12">
        <f>D51-E51</f>
        <v/>
      </c>
      <c r="G51" s="13">
        <f>IF(D51=0,"",F51/D51)</f>
        <v/>
      </c>
    </row>
    <row r="52">
      <c r="A52" s="16" t="inlineStr">
        <is>
          <t>Retainers</t>
        </is>
      </c>
      <c r="B52" s="16" t="inlineStr">
        <is>
          <t>Jun 25</t>
        </is>
      </c>
      <c r="C52" s="16" t="inlineStr">
        <is>
          <t>Locked</t>
        </is>
      </c>
      <c r="D52" s="12" t="n">
        <v>21800</v>
      </c>
      <c r="E52" s="12" t="n">
        <v>7800</v>
      </c>
      <c r="F52" s="12">
        <f>D52-E52</f>
        <v/>
      </c>
      <c r="G52" s="13">
        <f>IF(D52=0,"",F52/D52)</f>
        <v/>
      </c>
    </row>
    <row r="53">
      <c r="A53" s="16" t="inlineStr">
        <is>
          <t>Retainers</t>
        </is>
      </c>
      <c r="B53" s="16" t="inlineStr">
        <is>
          <t>Jul 25</t>
        </is>
      </c>
      <c r="C53" s="16" t="inlineStr">
        <is>
          <t>Locked</t>
        </is>
      </c>
      <c r="D53" s="12" t="n">
        <v>16300</v>
      </c>
      <c r="E53" s="12" t="n">
        <v>5940</v>
      </c>
      <c r="F53" s="12">
        <f>D53-E53</f>
        <v/>
      </c>
      <c r="G53" s="13">
        <f>IF(D53=0,"",F53/D53)</f>
        <v/>
      </c>
    </row>
    <row r="54">
      <c r="A54" s="16" t="inlineStr">
        <is>
          <t>Retainers</t>
        </is>
      </c>
      <c r="B54" s="16" t="inlineStr">
        <is>
          <t>Aug 25</t>
        </is>
      </c>
      <c r="C54" s="16" t="inlineStr">
        <is>
          <t>Locked</t>
        </is>
      </c>
      <c r="D54" s="12" t="n">
        <v>16300</v>
      </c>
      <c r="E54" s="12" t="n">
        <v>5400</v>
      </c>
      <c r="F54" s="12">
        <f>D54-E54</f>
        <v/>
      </c>
      <c r="G54" s="13">
        <f>IF(D54=0,"",F54/D54)</f>
        <v/>
      </c>
    </row>
    <row r="55">
      <c r="A55" s="16" t="inlineStr">
        <is>
          <t>Retainers</t>
        </is>
      </c>
      <c r="B55" s="16" t="inlineStr">
        <is>
          <t>Sep 25</t>
        </is>
      </c>
      <c r="C55" s="16" t="inlineStr">
        <is>
          <t>Locked</t>
        </is>
      </c>
      <c r="D55" s="12" t="n">
        <v>16300</v>
      </c>
      <c r="E55" s="12" t="n">
        <v>5760</v>
      </c>
      <c r="F55" s="12">
        <f>D55-E55</f>
        <v/>
      </c>
      <c r="G55" s="13">
        <f>IF(D55=0,"",F55/D55)</f>
        <v/>
      </c>
    </row>
    <row r="56">
      <c r="A56" s="16" t="inlineStr">
        <is>
          <t>Retainers</t>
        </is>
      </c>
      <c r="B56" s="16" t="inlineStr">
        <is>
          <t>Oct 25</t>
        </is>
      </c>
      <c r="C56" s="16" t="inlineStr">
        <is>
          <t>Locked</t>
        </is>
      </c>
      <c r="D56" s="12" t="n">
        <v>16300</v>
      </c>
      <c r="E56" s="12" t="n">
        <v>5640</v>
      </c>
      <c r="F56" s="12">
        <f>D56-E56</f>
        <v/>
      </c>
      <c r="G56" s="13">
        <f>IF(D56=0,"",F56/D56)</f>
        <v/>
      </c>
    </row>
    <row r="57">
      <c r="A57" s="16" t="inlineStr">
        <is>
          <t>Retainers</t>
        </is>
      </c>
      <c r="B57" s="16" t="inlineStr">
        <is>
          <t>Nov 25</t>
        </is>
      </c>
      <c r="C57" s="16" t="inlineStr">
        <is>
          <t>Locked</t>
        </is>
      </c>
      <c r="D57" s="12" t="n">
        <v>28300</v>
      </c>
      <c r="E57" s="12" t="n">
        <v>9480</v>
      </c>
      <c r="F57" s="12">
        <f>D57-E57</f>
        <v/>
      </c>
      <c r="G57" s="13">
        <f>IF(D57=0,"",F57/D57)</f>
        <v/>
      </c>
    </row>
    <row r="58">
      <c r="A58" s="16" t="inlineStr">
        <is>
          <t>Retainers</t>
        </is>
      </c>
      <c r="B58" s="16" t="inlineStr">
        <is>
          <t>Dec 25</t>
        </is>
      </c>
      <c r="C58" s="16" t="inlineStr">
        <is>
          <t>Locked</t>
        </is>
      </c>
      <c r="D58" s="12" t="n">
        <v>28300</v>
      </c>
      <c r="E58" s="12" t="n">
        <v>9120</v>
      </c>
      <c r="F58" s="12">
        <f>D58-E58</f>
        <v/>
      </c>
      <c r="G58" s="13">
        <f>IF(D58=0,"",F58/D58)</f>
        <v/>
      </c>
    </row>
    <row r="59">
      <c r="A59" s="16" t="inlineStr">
        <is>
          <t>Retainers</t>
        </is>
      </c>
      <c r="B59" s="16" t="inlineStr">
        <is>
          <t>Jan 26</t>
        </is>
      </c>
      <c r="C59" s="16" t="inlineStr">
        <is>
          <t>Locked</t>
        </is>
      </c>
      <c r="D59" s="12" t="n">
        <v>28300</v>
      </c>
      <c r="E59" s="12" t="n">
        <v>9360</v>
      </c>
      <c r="F59" s="12">
        <f>D59-E59</f>
        <v/>
      </c>
      <c r="G59" s="13">
        <f>IF(D59=0,"",F59/D59)</f>
        <v/>
      </c>
    </row>
    <row r="60">
      <c r="A60" s="16" t="inlineStr">
        <is>
          <t>Retainers</t>
        </is>
      </c>
      <c r="B60" s="16" t="inlineStr">
        <is>
          <t>Feb 26</t>
        </is>
      </c>
      <c r="C60" s="16" t="inlineStr">
        <is>
          <t>Locked</t>
        </is>
      </c>
      <c r="D60" s="12" t="n">
        <v>28300</v>
      </c>
      <c r="E60" s="12" t="n">
        <v>10440</v>
      </c>
      <c r="F60" s="12">
        <f>D60-E60</f>
        <v/>
      </c>
      <c r="G60" s="13">
        <f>IF(D60=0,"",F60/D60)</f>
        <v/>
      </c>
    </row>
    <row r="61">
      <c r="A61" s="16" t="inlineStr">
        <is>
          <t>Retainers</t>
        </is>
      </c>
      <c r="B61" s="16" t="inlineStr">
        <is>
          <t>Mar 26</t>
        </is>
      </c>
      <c r="C61" s="16" t="inlineStr">
        <is>
          <t>Locked</t>
        </is>
      </c>
      <c r="D61" s="12" t="n">
        <v>28300</v>
      </c>
      <c r="E61" s="12" t="n">
        <v>9240</v>
      </c>
      <c r="F61" s="12">
        <f>D61-E61</f>
        <v/>
      </c>
      <c r="G61" s="13">
        <f>IF(D61=0,"",F61/D61)</f>
        <v/>
      </c>
    </row>
    <row r="62">
      <c r="A62" s="16" t="inlineStr">
        <is>
          <t>Retainers</t>
        </is>
      </c>
      <c r="B62" s="16" t="inlineStr">
        <is>
          <t>Apr 26</t>
        </is>
      </c>
      <c r="C62" s="16" t="inlineStr">
        <is>
          <t>Locked</t>
        </is>
      </c>
      <c r="D62" s="12" t="n">
        <v>28300</v>
      </c>
      <c r="E62" s="12" t="n">
        <v>9420</v>
      </c>
      <c r="F62" s="12">
        <f>D62-E62</f>
        <v/>
      </c>
      <c r="G62" s="13">
        <f>IF(D62=0,"",F62/D62)</f>
        <v/>
      </c>
    </row>
    <row r="63">
      <c r="A63" s="16" t="inlineStr">
        <is>
          <t>Training</t>
        </is>
      </c>
      <c r="B63" s="16" t="inlineStr">
        <is>
          <t>Oct 24</t>
        </is>
      </c>
      <c r="C63" s="16" t="inlineStr">
        <is>
          <t>Locked</t>
        </is>
      </c>
      <c r="D63" s="12" t="n">
        <v>8800</v>
      </c>
      <c r="E63" s="12" t="n">
        <v>2700</v>
      </c>
      <c r="F63" s="12">
        <f>D63-E63</f>
        <v/>
      </c>
      <c r="G63" s="13">
        <f>IF(D63=0,"",F63/D63)</f>
        <v/>
      </c>
    </row>
    <row r="64">
      <c r="A64" s="16" t="inlineStr">
        <is>
          <t>Training</t>
        </is>
      </c>
      <c r="B64" s="16" t="inlineStr">
        <is>
          <t>Nov 24</t>
        </is>
      </c>
      <c r="C64" s="16" t="inlineStr">
        <is>
          <t>Locked</t>
        </is>
      </c>
      <c r="D64" s="12" t="n">
        <v>4600</v>
      </c>
      <c r="E64" s="12" t="n">
        <v>840</v>
      </c>
      <c r="F64" s="12">
        <f>D64-E64</f>
        <v/>
      </c>
      <c r="G64" s="13">
        <f>IF(D64=0,"",F64/D64)</f>
        <v/>
      </c>
    </row>
    <row r="65">
      <c r="A65" s="16" t="inlineStr">
        <is>
          <t>Training</t>
        </is>
      </c>
      <c r="B65" s="16" t="inlineStr">
        <is>
          <t>Dec 24</t>
        </is>
      </c>
      <c r="C65" s="16" t="inlineStr">
        <is>
          <t>Locked</t>
        </is>
      </c>
      <c r="D65" s="12" t="n">
        <v>5200</v>
      </c>
      <c r="E65" s="12" t="n">
        <v>960</v>
      </c>
      <c r="F65" s="12">
        <f>D65-E65</f>
        <v/>
      </c>
      <c r="G65" s="13">
        <f>IF(D65=0,"",F65/D65)</f>
        <v/>
      </c>
    </row>
    <row r="66">
      <c r="A66" s="16" t="inlineStr">
        <is>
          <t>Training</t>
        </is>
      </c>
      <c r="B66" s="16" t="inlineStr">
        <is>
          <t>Jan 25</t>
        </is>
      </c>
      <c r="C66" s="16" t="inlineStr">
        <is>
          <t>Locked</t>
        </is>
      </c>
      <c r="D66" s="12" t="n">
        <v>6400</v>
      </c>
      <c r="E66" s="12" t="n">
        <v>2100</v>
      </c>
      <c r="F66" s="12">
        <f>D66-E66</f>
        <v/>
      </c>
      <c r="G66" s="13">
        <f>IF(D66=0,"",F66/D66)</f>
        <v/>
      </c>
    </row>
    <row r="67">
      <c r="A67" s="16" t="inlineStr">
        <is>
          <t>Training</t>
        </is>
      </c>
      <c r="B67" s="16" t="inlineStr">
        <is>
          <t>Feb 25</t>
        </is>
      </c>
      <c r="C67" s="16" t="inlineStr">
        <is>
          <t>Locked</t>
        </is>
      </c>
      <c r="D67" s="12" t="n">
        <v>11600</v>
      </c>
      <c r="E67" s="12" t="n">
        <v>3060</v>
      </c>
      <c r="F67" s="12">
        <f>D67-E67</f>
        <v/>
      </c>
      <c r="G67" s="13">
        <f>IF(D67=0,"",F67/D67)</f>
        <v/>
      </c>
    </row>
    <row r="68">
      <c r="A68" s="16" t="inlineStr">
        <is>
          <t>Training</t>
        </is>
      </c>
      <c r="B68" s="16" t="inlineStr">
        <is>
          <t>Mar 25</t>
        </is>
      </c>
      <c r="C68" s="16" t="inlineStr">
        <is>
          <t>Locked</t>
        </is>
      </c>
      <c r="D68" s="12" t="n">
        <v>6400</v>
      </c>
      <c r="E68" s="12" t="n">
        <v>2100</v>
      </c>
      <c r="F68" s="12">
        <f>D68-E68</f>
        <v/>
      </c>
      <c r="G68" s="13">
        <f>IF(D68=0,"",F68/D68)</f>
        <v/>
      </c>
    </row>
    <row r="69">
      <c r="A69" s="16" t="inlineStr">
        <is>
          <t>Training</t>
        </is>
      </c>
      <c r="B69" s="16" t="inlineStr">
        <is>
          <t>Apr 25</t>
        </is>
      </c>
      <c r="C69" s="16" t="inlineStr">
        <is>
          <t>Locked</t>
        </is>
      </c>
      <c r="D69" s="12" t="n">
        <v>4600</v>
      </c>
      <c r="E69" s="12" t="n">
        <v>840</v>
      </c>
      <c r="F69" s="12">
        <f>D69-E69</f>
        <v/>
      </c>
      <c r="G69" s="13">
        <f>IF(D69=0,"",F69/D69)</f>
        <v/>
      </c>
    </row>
    <row r="70">
      <c r="A70" s="16" t="inlineStr">
        <is>
          <t>Training</t>
        </is>
      </c>
      <c r="B70" s="16" t="inlineStr">
        <is>
          <t>May 25</t>
        </is>
      </c>
      <c r="C70" s="16" t="inlineStr">
        <is>
          <t>Locked</t>
        </is>
      </c>
      <c r="D70" s="12" t="n">
        <v>14000</v>
      </c>
      <c r="E70" s="12" t="n">
        <v>3660</v>
      </c>
      <c r="F70" s="12">
        <f>D70-E70</f>
        <v/>
      </c>
      <c r="G70" s="13">
        <f>IF(D70=0,"",F70/D70)</f>
        <v/>
      </c>
    </row>
    <row r="71">
      <c r="A71" s="16" t="inlineStr">
        <is>
          <t>Training</t>
        </is>
      </c>
      <c r="B71" s="16" t="inlineStr">
        <is>
          <t>Jun 25</t>
        </is>
      </c>
      <c r="C71" s="16" t="inlineStr">
        <is>
          <t>Locked</t>
        </is>
      </c>
      <c r="D71" s="12" t="n">
        <v>3900</v>
      </c>
      <c r="E71" s="12" t="n">
        <v>720</v>
      </c>
      <c r="F71" s="12">
        <f>D71-E71</f>
        <v/>
      </c>
      <c r="G71" s="13">
        <f>IF(D71=0,"",F71/D71)</f>
        <v/>
      </c>
    </row>
    <row r="72">
      <c r="A72" s="16" t="inlineStr">
        <is>
          <t>Training</t>
        </is>
      </c>
      <c r="B72" s="16" t="inlineStr">
        <is>
          <t>Jul 25</t>
        </is>
      </c>
      <c r="C72" s="16" t="inlineStr">
        <is>
          <t>Locked</t>
        </is>
      </c>
      <c r="D72" s="12" t="n">
        <v>5200</v>
      </c>
      <c r="E72" s="12" t="n">
        <v>960</v>
      </c>
      <c r="F72" s="12">
        <f>D72-E72</f>
        <v/>
      </c>
      <c r="G72" s="13">
        <f>IF(D72=0,"",F72/D72)</f>
        <v/>
      </c>
    </row>
    <row r="73">
      <c r="A73" s="16" t="inlineStr">
        <is>
          <t>Training</t>
        </is>
      </c>
      <c r="B73" s="16" t="inlineStr">
        <is>
          <t>Aug 25</t>
        </is>
      </c>
      <c r="C73" s="16" t="inlineStr">
        <is>
          <t>Locked</t>
        </is>
      </c>
      <c r="D73" s="12" t="n">
        <v>6400</v>
      </c>
      <c r="E73" s="12" t="n">
        <v>2100</v>
      </c>
      <c r="F73" s="12">
        <f>D73-E73</f>
        <v/>
      </c>
      <c r="G73" s="13">
        <f>IF(D73=0,"",F73/D73)</f>
        <v/>
      </c>
    </row>
    <row r="74">
      <c r="A74" s="16" t="inlineStr">
        <is>
          <t>Training</t>
        </is>
      </c>
      <c r="B74" s="16" t="inlineStr">
        <is>
          <t>Sep 25</t>
        </is>
      </c>
      <c r="C74" s="16" t="inlineStr">
        <is>
          <t>Locked</t>
        </is>
      </c>
      <c r="D74" s="12" t="n">
        <v>5200</v>
      </c>
      <c r="E74" s="12" t="n">
        <v>960</v>
      </c>
      <c r="F74" s="12">
        <f>D74-E74</f>
        <v/>
      </c>
      <c r="G74" s="13">
        <f>IF(D74=0,"",F74/D74)</f>
        <v/>
      </c>
    </row>
    <row r="75">
      <c r="A75" s="16" t="inlineStr">
        <is>
          <t>Training</t>
        </is>
      </c>
      <c r="B75" s="16" t="inlineStr">
        <is>
          <t>Oct 25</t>
        </is>
      </c>
      <c r="C75" s="16" t="inlineStr">
        <is>
          <t>Locked</t>
        </is>
      </c>
      <c r="D75" s="12" t="n">
        <v>9100</v>
      </c>
      <c r="E75" s="12" t="n">
        <v>1680</v>
      </c>
      <c r="F75" s="12">
        <f>D75-E75</f>
        <v/>
      </c>
      <c r="G75" s="13">
        <f>IF(D75=0,"",F75/D75)</f>
        <v/>
      </c>
    </row>
    <row r="76">
      <c r="A76" s="16" t="inlineStr">
        <is>
          <t>Training</t>
        </is>
      </c>
      <c r="B76" s="16" t="inlineStr">
        <is>
          <t>Nov 25</t>
        </is>
      </c>
      <c r="C76" s="16" t="inlineStr">
        <is>
          <t>Locked</t>
        </is>
      </c>
      <c r="D76" s="12" t="n">
        <v>8800</v>
      </c>
      <c r="E76" s="12" t="n">
        <v>2700</v>
      </c>
      <c r="F76" s="12">
        <f>D76-E76</f>
        <v/>
      </c>
      <c r="G76" s="13">
        <f>IF(D76=0,"",F76/D76)</f>
        <v/>
      </c>
    </row>
    <row r="77">
      <c r="A77" s="16" t="inlineStr">
        <is>
          <t>Training</t>
        </is>
      </c>
      <c r="B77" s="16" t="inlineStr">
        <is>
          <t>Dec 25</t>
        </is>
      </c>
      <c r="C77" s="16" t="inlineStr">
        <is>
          <t>Locked</t>
        </is>
      </c>
      <c r="D77" s="12" t="n">
        <v>11600</v>
      </c>
      <c r="E77" s="12" t="n">
        <v>3060</v>
      </c>
      <c r="F77" s="12">
        <f>D77-E77</f>
        <v/>
      </c>
      <c r="G77" s="13">
        <f>IF(D77=0,"",F77/D77)</f>
        <v/>
      </c>
    </row>
    <row r="78">
      <c r="A78" s="16" t="inlineStr">
        <is>
          <t>Training</t>
        </is>
      </c>
      <c r="B78" s="16" t="inlineStr">
        <is>
          <t>Jan 26</t>
        </is>
      </c>
      <c r="C78" s="16" t="inlineStr">
        <is>
          <t>Locked</t>
        </is>
      </c>
      <c r="D78" s="12" t="n">
        <v>3900</v>
      </c>
      <c r="E78" s="12" t="n">
        <v>720</v>
      </c>
      <c r="F78" s="12">
        <f>D78-E78</f>
        <v/>
      </c>
      <c r="G78" s="13">
        <f>IF(D78=0,"",F78/D78)</f>
        <v/>
      </c>
    </row>
    <row r="79">
      <c r="A79" s="16" t="inlineStr">
        <is>
          <t>Training</t>
        </is>
      </c>
      <c r="B79" s="16" t="inlineStr">
        <is>
          <t>Feb 26</t>
        </is>
      </c>
      <c r="C79" s="16" t="inlineStr">
        <is>
          <t>Locked</t>
        </is>
      </c>
      <c r="D79" s="12" t="n">
        <v>8800</v>
      </c>
      <c r="E79" s="12" t="n">
        <v>2700</v>
      </c>
      <c r="F79" s="12">
        <f>D79-E79</f>
        <v/>
      </c>
      <c r="G79" s="13">
        <f>IF(D79=0,"",F79/D79)</f>
        <v/>
      </c>
    </row>
    <row r="80">
      <c r="A80" s="16" t="inlineStr">
        <is>
          <t>Training</t>
        </is>
      </c>
      <c r="B80" s="16" t="inlineStr">
        <is>
          <t>Mar 26</t>
        </is>
      </c>
      <c r="C80" s="16" t="inlineStr">
        <is>
          <t>Locked</t>
        </is>
      </c>
      <c r="D80" s="12" t="n">
        <v>6400</v>
      </c>
      <c r="E80" s="12" t="n">
        <v>2100</v>
      </c>
      <c r="F80" s="12">
        <f>D80-E80</f>
        <v/>
      </c>
      <c r="G80" s="13">
        <f>IF(D80=0,"",F80/D80)</f>
        <v/>
      </c>
    </row>
    <row r="81">
      <c r="A81" s="16" t="inlineStr">
        <is>
          <t>Training</t>
        </is>
      </c>
      <c r="B81" s="16" t="inlineStr">
        <is>
          <t>Apr 26</t>
        </is>
      </c>
      <c r="C81" s="16" t="inlineStr">
        <is>
          <t>Locked</t>
        </is>
      </c>
      <c r="D81" s="12" t="n">
        <v>5200</v>
      </c>
      <c r="E81" s="12" t="n">
        <v>960</v>
      </c>
      <c r="F81" s="12">
        <f>D81-E81</f>
        <v/>
      </c>
      <c r="G81" s="13">
        <f>IF(D81=0,"",F81/D81)</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3" manualBreakCount="3">
    <brk id="24" min="0" max="16383" man="1"/>
    <brk id="43" min="0" max="16383" man="1"/>
    <brk id="62" min="0" max="16383" man="1"/>
  </rowBreaks>
</worksheet>
</file>

<file path=xl/worksheets/sheet6.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Services</t>
        </is>
      </c>
    </row>
    <row r="2">
      <c r="A2" s="2" t="inlineStr">
        <is>
          <t>SME sample businesses · SAMPLE DATA (invented) · The Fourth Sheet</t>
        </is>
      </c>
    </row>
    <row r="3">
      <c r="A3" s="2" t="inlineStr">
        <is>
          <t>Period: April 2026 · Data status: Mar 2026 locked · Apr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Projects</t>
        </is>
      </c>
      <c r="B6" s="12" t="n">
        <v>509230</v>
      </c>
      <c r="C6" s="12" t="n"/>
      <c r="D6" s="13">
        <f>IF(C6=0,"",B6/C6-1)</f>
        <v/>
      </c>
      <c r="E6" s="12" t="n">
        <v>313630</v>
      </c>
      <c r="F6" s="13">
        <f>IF(B6=0,"",E6/B6)</f>
        <v/>
      </c>
    </row>
    <row r="7">
      <c r="A7" s="16" t="inlineStr">
        <is>
          <t>Retainers</t>
        </is>
      </c>
      <c r="B7" s="12" t="n">
        <v>235000</v>
      </c>
      <c r="C7" s="12" t="n"/>
      <c r="D7" s="13">
        <f>IF(C7=0,"",B7/C7-1)</f>
        <v/>
      </c>
      <c r="E7" s="12" t="n">
        <v>155200</v>
      </c>
      <c r="F7" s="13">
        <f>IF(B7=0,"",E7/B7)</f>
        <v/>
      </c>
    </row>
    <row r="8">
      <c r="A8" s="16" t="inlineStr">
        <is>
          <t>Training</t>
        </is>
      </c>
      <c r="B8" s="12" t="n">
        <v>70600</v>
      </c>
      <c r="C8" s="12" t="n"/>
      <c r="D8" s="13">
        <f>IF(C8=0,"",B8/C8-1)</f>
        <v/>
      </c>
      <c r="E8" s="12" t="n">
        <v>52660</v>
      </c>
      <c r="F8" s="13">
        <f>IF(B8=0,"",E8/B8)</f>
        <v/>
      </c>
    </row>
    <row r="9">
      <c r="A9" s="16" t="inlineStr">
        <is>
          <t>Total</t>
        </is>
      </c>
      <c r="B9" s="12" t="n">
        <v>814830</v>
      </c>
      <c r="C9" s="12" t="n"/>
      <c r="D9" s="13">
        <f>IF(C9=0,"",B9/C9-1)</f>
        <v/>
      </c>
      <c r="E9" s="12" t="n">
        <v>521490</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2026-10-07T12:57:57Z</dcterms:created>
  <dcterms:modified xmlns:dcterms="http://purl.org/dc/terms/" xmlns:xsi="http://www.w3.org/2001/XMLSchema-instance" xsi:type="dcterms:W3CDTF">2026-10-07T12:57:57Z</dcterms:modified>
</cp:coreProperties>
</file>