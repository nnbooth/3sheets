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April">'Report'!$B$8</definedName>
    <definedName name="Answered_while_staffed_April">'Report'!$B$9</definedName>
    <definedName name="Calls_outside_staffed_hours_April">'Report'!$B$10</definedName>
    <definedName name="Median_wait_when_answered_April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4" headerRowCount="1">
  <autoFilter ref="A5:F24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April</t>
        </is>
      </c>
      <c r="B8" s="6">
        <f>Workings!B12</f>
        <v/>
      </c>
      <c r="C8" s="7" t="inlineStr">
        <is>
          <t>March 865</t>
        </is>
      </c>
    </row>
    <row r="9">
      <c r="A9" t="inlineStr">
        <is>
          <t>Answered while staffed, April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April</t>
        </is>
      </c>
      <c r="B10" s="6">
        <f>Workings!B32</f>
        <v/>
      </c>
      <c r="C10" s="7" t="inlineStr">
        <is>
          <t>375 calls to voicemail</t>
        </is>
      </c>
    </row>
    <row r="11">
      <c r="A11" t="inlineStr">
        <is>
          <t>Median wait when answered, April</t>
        </is>
      </c>
      <c r="B11" s="6">
        <f>Workings!B42</f>
        <v/>
      </c>
      <c r="C11" s="7" t="inlineStr">
        <is>
          <t>294 answered calls</t>
        </is>
      </c>
    </row>
    <row r="12"/>
    <row r="13">
      <c r="A13" s="8" t="inlineStr">
        <is>
          <t>When the calls come in, April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731 calls for help came in during April. While the line was staffed, 82.6% were answered (target 90.0%); 51.3% of all calls came outside staffed hours and went to voicemail. The busiest time was 5 to 8pm (142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142 calls came between 5 and 8pm, when no-one is on the line. 62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11:41pm</t>
        </is>
      </c>
    </row>
    <row r="4"/>
    <row r="5">
      <c r="A5" s="12" t="inlineStr">
        <is>
          <t>Calls for help, April and March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Calls</t>
        </is>
      </c>
      <c r="B8" s="13" t="n">
        <v>731</v>
      </c>
      <c r="C8" s="13" t="n">
        <v>865</v>
      </c>
    </row>
    <row r="9">
      <c r="A9" t="inlineStr">
        <is>
          <t>Calls while staffed</t>
        </is>
      </c>
      <c r="B9" s="13" t="n">
        <v>356</v>
      </c>
      <c r="C9" s="13" t="n">
        <v>421</v>
      </c>
    </row>
    <row r="10">
      <c r="A10" t="inlineStr">
        <is>
          <t>Answered</t>
        </is>
      </c>
      <c r="B10" s="13" t="n">
        <v>294</v>
      </c>
      <c r="C10" s="13" t="n">
        <v>338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April and March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Apr 26</t>
        </is>
      </c>
      <c r="C17" s="5" t="inlineStr">
        <is>
          <t>Mar 26</t>
        </is>
      </c>
    </row>
    <row r="18">
      <c r="A18" t="inlineStr">
        <is>
          <t>Calls</t>
        </is>
      </c>
      <c r="B18" s="13" t="n">
        <v>731</v>
      </c>
      <c r="C18" s="13" t="n">
        <v>865</v>
      </c>
    </row>
    <row r="19">
      <c r="A19" t="inlineStr">
        <is>
          <t>Calls while staffed</t>
        </is>
      </c>
      <c r="B19" s="13" t="n">
        <v>356</v>
      </c>
      <c r="C19" s="13" t="n">
        <v>421</v>
      </c>
    </row>
    <row r="20">
      <c r="A20" t="inlineStr">
        <is>
          <t>Answered</t>
        </is>
      </c>
      <c r="B20" s="13" t="n">
        <v>294</v>
      </c>
      <c r="C20" s="13" t="n">
        <v>338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April and March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Apr 26</t>
        </is>
      </c>
      <c r="C27" s="5" t="inlineStr">
        <is>
          <t>Mar 26</t>
        </is>
      </c>
    </row>
    <row r="28">
      <c r="A28" t="inlineStr">
        <is>
          <t>Calls</t>
        </is>
      </c>
      <c r="B28" s="13" t="n">
        <v>731</v>
      </c>
      <c r="C28" s="13" t="n">
        <v>865</v>
      </c>
    </row>
    <row r="29">
      <c r="A29" t="inlineStr">
        <is>
          <t>Calls while staffed</t>
        </is>
      </c>
      <c r="B29" s="13" t="n">
        <v>356</v>
      </c>
      <c r="C29" s="13" t="n">
        <v>421</v>
      </c>
    </row>
    <row r="30">
      <c r="A30" t="inlineStr">
        <is>
          <t>Answered</t>
        </is>
      </c>
      <c r="B30" s="13" t="n">
        <v>294</v>
      </c>
      <c r="C30" s="13" t="n">
        <v>338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April and March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Apr 26</t>
        </is>
      </c>
      <c r="C37" s="5" t="inlineStr">
        <is>
          <t>Mar 26</t>
        </is>
      </c>
    </row>
    <row r="38">
      <c r="A38" t="inlineStr">
        <is>
          <t>Calls</t>
        </is>
      </c>
      <c r="B38" s="13" t="n">
        <v>731</v>
      </c>
      <c r="C38" s="13" t="n">
        <v>865</v>
      </c>
    </row>
    <row r="39">
      <c r="A39" t="inlineStr">
        <is>
          <t>Calls while staffed</t>
        </is>
      </c>
      <c r="B39" s="13" t="n">
        <v>356</v>
      </c>
      <c r="C39" s="13" t="n">
        <v>421</v>
      </c>
    </row>
    <row r="40">
      <c r="A40" t="inlineStr">
        <is>
          <t>Answered</t>
        </is>
      </c>
      <c r="B40" s="13" t="n">
        <v>294</v>
      </c>
      <c r="C40" s="13" t="n">
        <v>338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April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Apr 2026</t>
        </is>
      </c>
    </row>
    <row r="48">
      <c r="A48" t="inlineStr">
        <is>
          <t>Calls</t>
        </is>
      </c>
      <c r="B48" s="13" t="n">
        <v>105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April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Apr 2026</t>
        </is>
      </c>
    </row>
    <row r="57">
      <c r="A57" t="inlineStr">
        <is>
          <t>Calls</t>
        </is>
      </c>
      <c r="B57" s="13" t="n">
        <v>87</v>
      </c>
    </row>
    <row r="58">
      <c r="A58" t="inlineStr">
        <is>
          <t>Answered</t>
        </is>
      </c>
      <c r="B58" s="13" t="n">
        <v>58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April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Apr 2026</t>
        </is>
      </c>
    </row>
    <row r="66">
      <c r="A66" t="inlineStr">
        <is>
          <t>Calls</t>
        </is>
      </c>
      <c r="B66" s="13" t="n">
        <v>113</v>
      </c>
    </row>
    <row r="67">
      <c r="A67" t="inlineStr">
        <is>
          <t>Answered</t>
        </is>
      </c>
      <c r="B67" s="13" t="n">
        <v>82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April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Apr 2026</t>
        </is>
      </c>
    </row>
    <row r="75">
      <c r="A75" t="inlineStr">
        <is>
          <t>Calls</t>
        </is>
      </c>
      <c r="B75" s="13" t="n">
        <v>83</v>
      </c>
    </row>
    <row r="76">
      <c r="A76" t="inlineStr">
        <is>
          <t>Answered</t>
        </is>
      </c>
      <c r="B76" s="13" t="n">
        <v>65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April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Apr 2026</t>
        </is>
      </c>
    </row>
    <row r="84">
      <c r="A84" t="inlineStr">
        <is>
          <t>Calls</t>
        </is>
      </c>
      <c r="B84" s="13" t="n">
        <v>128</v>
      </c>
    </row>
    <row r="85">
      <c r="A85" t="inlineStr">
        <is>
          <t>Answered</t>
        </is>
      </c>
      <c r="B85" s="13" t="n">
        <v>89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April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Apr 2026</t>
        </is>
      </c>
    </row>
    <row r="93">
      <c r="A93" t="inlineStr">
        <is>
          <t>Calls</t>
        </is>
      </c>
      <c r="B93" s="13" t="n">
        <v>142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April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Apr 2026</t>
        </is>
      </c>
    </row>
    <row r="102">
      <c r="A102" t="inlineStr">
        <is>
          <t>Calls</t>
        </is>
      </c>
      <c r="B102" s="13" t="n">
        <v>73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