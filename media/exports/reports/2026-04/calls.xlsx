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April">'Report'!$B$8</definedName>
    <definedName name="Answered_while_staffed_April">'Report'!$B$9</definedName>
    <definedName name="Calls_outside_staffed_hours_April">'Report'!$B$10</definedName>
    <definedName name="Median_wait_when_answered_April">'Report'!$B$11</definedName>
    <definedName name="_xlnm.Print_Area" localSheetId="0">'Report'!$A$1:$D$36</definedName>
    <definedName name="_xlnm.Print_Area" localSheetId="1">'Workings'!$A$1:$C$103</definedName>
    <definedName name="_xlnm.Print_Titles" localSheetId="2">'Data'!$5:$5</definedName>
    <definedName name="_xlnm.Print_Area" localSheetId="2">'Data'!$A$1:$F$24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4" headerRowCount="1">
  <autoFilter ref="A5:F24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9 Oct 2026, 8:41am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April</t>
        </is>
      </c>
      <c r="B8" s="6">
        <f>Workings!B12</f>
        <v/>
      </c>
      <c r="C8" s="7" t="inlineStr">
        <is>
          <t>March 865</t>
        </is>
      </c>
    </row>
    <row r="9">
      <c r="A9" t="inlineStr">
        <is>
          <t>Answered while staffed, April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April</t>
        </is>
      </c>
      <c r="B10" s="6">
        <f>Workings!B32</f>
        <v/>
      </c>
      <c r="C10" s="7" t="inlineStr">
        <is>
          <t>375 calls to voicemail</t>
        </is>
      </c>
    </row>
    <row r="11">
      <c r="A11" t="inlineStr">
        <is>
          <t>Median wait when answered, April</t>
        </is>
      </c>
      <c r="B11" s="8">
        <f>Workings!B39</f>
        <v/>
      </c>
      <c r="C11" s="7" t="inlineStr">
        <is>
          <t>294 answered calls</t>
        </is>
      </c>
    </row>
    <row r="12"/>
    <row r="13">
      <c r="A13" s="9" t="inlineStr">
        <is>
          <t>When the calls come in, April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8">
        <f>Workings!B47</f>
        <v/>
      </c>
      <c r="C15" s="6">
        <f>Workings!B48</f>
        <v/>
      </c>
    </row>
    <row r="16">
      <c r="A16" t="inlineStr">
        <is>
          <t>8:30 to 10am</t>
        </is>
      </c>
      <c r="B16" s="8">
        <f>Workings!B56</f>
        <v/>
      </c>
      <c r="C16" s="6">
        <f>Workings!B57</f>
        <v/>
      </c>
    </row>
    <row r="17">
      <c r="A17" t="inlineStr">
        <is>
          <t>10am to noon</t>
        </is>
      </c>
      <c r="B17" s="8">
        <f>Workings!B65</f>
        <v/>
      </c>
      <c r="C17" s="6">
        <f>Workings!B66</f>
        <v/>
      </c>
    </row>
    <row r="18">
      <c r="A18" t="inlineStr">
        <is>
          <t>Noon to 2pm</t>
        </is>
      </c>
      <c r="B18" s="8">
        <f>Workings!B74</f>
        <v/>
      </c>
      <c r="C18" s="6">
        <f>Workings!B75</f>
        <v/>
      </c>
    </row>
    <row r="19">
      <c r="A19" t="inlineStr">
        <is>
          <t>2 to 5pm</t>
        </is>
      </c>
      <c r="B19" s="8">
        <f>Workings!B83</f>
        <v/>
      </c>
      <c r="C19" s="6">
        <f>Workings!B84</f>
        <v/>
      </c>
    </row>
    <row r="20">
      <c r="A20" t="inlineStr">
        <is>
          <t>5 to 8pm</t>
        </is>
      </c>
      <c r="B20" s="8">
        <f>Workings!B92</f>
        <v/>
      </c>
      <c r="C20" s="6">
        <f>Workings!B93</f>
        <v/>
      </c>
    </row>
    <row r="21">
      <c r="A21" t="inlineStr">
        <is>
          <t>After 8pm</t>
        </is>
      </c>
      <c r="B21" s="8">
        <f>Workings!B101</f>
        <v/>
      </c>
      <c r="C21" s="6">
        <f>Workings!B102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731 calls for help came in during April. While the line was staffed, 82.6% were answered (target 90.0%); 51.3% of all calls came outside staffed hours and went to voicemail. The busiest time was 5 to 8pm (142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142 calls came between 5 and 8pm, when no-one is on the line. 62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9 Oct 2026, 8:41am</t>
        </is>
      </c>
    </row>
    <row r="4"/>
    <row r="5">
      <c r="A5" s="12" t="inlineStr">
        <is>
          <t>Calls for help, April and March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Apr 26</t>
        </is>
      </c>
      <c r="C7" s="5" t="inlineStr">
        <is>
          <t>Mar 26</t>
        </is>
      </c>
    </row>
    <row r="8">
      <c r="A8" t="inlineStr">
        <is>
          <t>Calls</t>
        </is>
      </c>
      <c r="B8" s="13" t="n">
        <v>731</v>
      </c>
      <c r="C8" s="13" t="n">
        <v>865</v>
      </c>
    </row>
    <row r="9">
      <c r="A9" t="inlineStr">
        <is>
          <t>Calls while staffed</t>
        </is>
      </c>
      <c r="B9" s="13" t="n">
        <v>356</v>
      </c>
      <c r="C9" s="13" t="n">
        <v>421</v>
      </c>
    </row>
    <row r="10">
      <c r="A10" t="inlineStr">
        <is>
          <t>Answered</t>
        </is>
      </c>
      <c r="B10" s="13" t="n">
        <v>294</v>
      </c>
      <c r="C10" s="13" t="n">
        <v>338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April and March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Apr 26</t>
        </is>
      </c>
      <c r="C17" s="5" t="inlineStr">
        <is>
          <t>Mar 26</t>
        </is>
      </c>
    </row>
    <row r="18">
      <c r="A18" t="inlineStr">
        <is>
          <t>Calls</t>
        </is>
      </c>
      <c r="B18" s="13" t="n">
        <v>731</v>
      </c>
      <c r="C18" s="13" t="n">
        <v>865</v>
      </c>
    </row>
    <row r="19">
      <c r="A19" t="inlineStr">
        <is>
          <t>Calls while staffed</t>
        </is>
      </c>
      <c r="B19" s="13" t="n">
        <v>356</v>
      </c>
      <c r="C19" s="13" t="n">
        <v>421</v>
      </c>
    </row>
    <row r="20">
      <c r="A20" t="inlineStr">
        <is>
          <t>Answered</t>
        </is>
      </c>
      <c r="B20" s="13" t="n">
        <v>294</v>
      </c>
      <c r="C20" s="13" t="n">
        <v>338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April and March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Apr 26</t>
        </is>
      </c>
      <c r="C27" s="5" t="inlineStr">
        <is>
          <t>Mar 26</t>
        </is>
      </c>
    </row>
    <row r="28">
      <c r="A28" t="inlineStr">
        <is>
          <t>Calls</t>
        </is>
      </c>
      <c r="B28" s="13" t="n">
        <v>731</v>
      </c>
      <c r="C28" s="13" t="n">
        <v>865</v>
      </c>
    </row>
    <row r="29">
      <c r="A29" t="inlineStr">
        <is>
          <t>Calls while staffed</t>
        </is>
      </c>
      <c r="B29" s="13" t="n">
        <v>356</v>
      </c>
      <c r="C29" s="13" t="n">
        <v>421</v>
      </c>
    </row>
    <row r="30">
      <c r="A30" t="inlineStr">
        <is>
          <t>Answered</t>
        </is>
      </c>
      <c r="B30" s="13" t="n">
        <v>294</v>
      </c>
      <c r="C30" s="13" t="n">
        <v>338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Median wait when answered, April and March</t>
        </is>
      </c>
    </row>
    <row r="36">
      <c r="A36" s="10" t="inlineStr">
        <is>
          <t>The middle wait when every answered call is lined up from shortest to longest</t>
        </is>
      </c>
    </row>
    <row r="37">
      <c r="A37" s="4" t="inlineStr"/>
      <c r="B37" s="5" t="inlineStr">
        <is>
          <t>Apr 26</t>
        </is>
      </c>
      <c r="C37" s="5" t="inlineStr">
        <is>
          <t>Mar 26</t>
        </is>
      </c>
    </row>
    <row r="38">
      <c r="A38" t="inlineStr">
        <is>
          <t>Answered calls (while staffed)</t>
        </is>
      </c>
      <c r="B38" s="13" t="n">
        <v>294</v>
      </c>
      <c r="C38" s="13" t="n">
        <v>338</v>
      </c>
    </row>
    <row r="39">
      <c r="A39" s="15" t="inlineStr">
        <is>
          <t>Median wait (seconds, rounded half up)</t>
        </is>
      </c>
      <c r="B39" s="17" t="n">
        <v>80</v>
      </c>
      <c r="C39" s="17" t="n">
        <v>77</v>
      </c>
    </row>
    <row r="40">
      <c r="A40" s="2" t="inlineStr">
        <is>
          <t xml:space="preserve">April: 294 waits in order; the median is halfway between the 147th and 148th (79 and 80 seconds). Unanswered calls and calls outside staffed hours have no wait to count. </t>
        </is>
      </c>
    </row>
    <row r="41"/>
    <row r="42"/>
    <row r="43">
      <c r="A43" s="12" t="inlineStr">
        <is>
          <t>Calls before 8:30am, April 2026</t>
        </is>
      </c>
    </row>
    <row r="44">
      <c r="A44" s="10" t="inlineStr">
        <is>
          <t>Answered ÷ calls</t>
        </is>
      </c>
    </row>
    <row r="45">
      <c r="A45" s="4" t="inlineStr"/>
      <c r="B45" s="5" t="inlineStr">
        <is>
          <t>Apr 2026</t>
        </is>
      </c>
    </row>
    <row r="46">
      <c r="A46" t="inlineStr">
        <is>
          <t>Calls</t>
        </is>
      </c>
      <c r="B46" s="13" t="n">
        <v>105</v>
      </c>
    </row>
    <row r="47">
      <c r="A47" t="inlineStr">
        <is>
          <t>Answered</t>
        </is>
      </c>
      <c r="B47" s="13" t="n">
        <v>0</v>
      </c>
    </row>
    <row r="48">
      <c r="A48" s="15" t="inlineStr">
        <is>
          <t>Answered</t>
        </is>
      </c>
      <c r="B48" s="16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2" t="inlineStr">
        <is>
          <t>Calls 8:30 to 10am, April 2026</t>
        </is>
      </c>
    </row>
    <row r="53">
      <c r="A53" s="10" t="inlineStr">
        <is>
          <t>Answered ÷ calls</t>
        </is>
      </c>
    </row>
    <row r="54">
      <c r="A54" s="4" t="inlineStr"/>
      <c r="B54" s="5" t="inlineStr">
        <is>
          <t>Apr 2026</t>
        </is>
      </c>
    </row>
    <row r="55">
      <c r="A55" t="inlineStr">
        <is>
          <t>Calls</t>
        </is>
      </c>
      <c r="B55" s="13" t="n">
        <v>87</v>
      </c>
    </row>
    <row r="56">
      <c r="A56" t="inlineStr">
        <is>
          <t>Answered</t>
        </is>
      </c>
      <c r="B56" s="13" t="n">
        <v>58</v>
      </c>
    </row>
    <row r="57">
      <c r="A57" s="15" t="inlineStr">
        <is>
          <t>Answered</t>
        </is>
      </c>
      <c r="B57" s="16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2" t="inlineStr">
        <is>
          <t>Calls 10am to noon, April 2026</t>
        </is>
      </c>
    </row>
    <row r="62">
      <c r="A62" s="10" t="inlineStr">
        <is>
          <t>Answered ÷ calls</t>
        </is>
      </c>
    </row>
    <row r="63">
      <c r="A63" s="4" t="inlineStr"/>
      <c r="B63" s="5" t="inlineStr">
        <is>
          <t>Apr 2026</t>
        </is>
      </c>
    </row>
    <row r="64">
      <c r="A64" t="inlineStr">
        <is>
          <t>Calls</t>
        </is>
      </c>
      <c r="B64" s="13" t="n">
        <v>113</v>
      </c>
    </row>
    <row r="65">
      <c r="A65" t="inlineStr">
        <is>
          <t>Answered</t>
        </is>
      </c>
      <c r="B65" s="13" t="n">
        <v>82</v>
      </c>
    </row>
    <row r="66">
      <c r="A66" s="15" t="inlineStr">
        <is>
          <t>Answered</t>
        </is>
      </c>
      <c r="B66" s="16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2" t="inlineStr">
        <is>
          <t>Calls noon to 2pm, April 2026</t>
        </is>
      </c>
    </row>
    <row r="71">
      <c r="A71" s="10" t="inlineStr">
        <is>
          <t>Answered ÷ calls</t>
        </is>
      </c>
    </row>
    <row r="72">
      <c r="A72" s="4" t="inlineStr"/>
      <c r="B72" s="5" t="inlineStr">
        <is>
          <t>Apr 2026</t>
        </is>
      </c>
    </row>
    <row r="73">
      <c r="A73" t="inlineStr">
        <is>
          <t>Calls</t>
        </is>
      </c>
      <c r="B73" s="13" t="n">
        <v>83</v>
      </c>
    </row>
    <row r="74">
      <c r="A74" t="inlineStr">
        <is>
          <t>Answered</t>
        </is>
      </c>
      <c r="B74" s="13" t="n">
        <v>65</v>
      </c>
    </row>
    <row r="75">
      <c r="A75" s="15" t="inlineStr">
        <is>
          <t>Answered</t>
        </is>
      </c>
      <c r="B75" s="16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2" t="inlineStr">
        <is>
          <t>Calls 2 to 5pm, April 2026</t>
        </is>
      </c>
    </row>
    <row r="80">
      <c r="A80" s="10" t="inlineStr">
        <is>
          <t>Answered ÷ calls</t>
        </is>
      </c>
    </row>
    <row r="81">
      <c r="A81" s="4" t="inlineStr"/>
      <c r="B81" s="5" t="inlineStr">
        <is>
          <t>Apr 2026</t>
        </is>
      </c>
    </row>
    <row r="82">
      <c r="A82" t="inlineStr">
        <is>
          <t>Calls</t>
        </is>
      </c>
      <c r="B82" s="13" t="n">
        <v>128</v>
      </c>
    </row>
    <row r="83">
      <c r="A83" t="inlineStr">
        <is>
          <t>Answered</t>
        </is>
      </c>
      <c r="B83" s="13" t="n">
        <v>89</v>
      </c>
    </row>
    <row r="84">
      <c r="A84" s="15" t="inlineStr">
        <is>
          <t>Answered</t>
        </is>
      </c>
      <c r="B84" s="16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2" t="inlineStr">
        <is>
          <t>Calls 5 to 8pm, April 2026</t>
        </is>
      </c>
    </row>
    <row r="89">
      <c r="A89" s="10" t="inlineStr">
        <is>
          <t>Answered ÷ calls</t>
        </is>
      </c>
    </row>
    <row r="90">
      <c r="A90" s="4" t="inlineStr"/>
      <c r="B90" s="5" t="inlineStr">
        <is>
          <t>Apr 2026</t>
        </is>
      </c>
    </row>
    <row r="91">
      <c r="A91" t="inlineStr">
        <is>
          <t>Calls</t>
        </is>
      </c>
      <c r="B91" s="13" t="n">
        <v>142</v>
      </c>
    </row>
    <row r="92">
      <c r="A92" t="inlineStr">
        <is>
          <t>Answered</t>
        </is>
      </c>
      <c r="B92" s="13" t="n">
        <v>0</v>
      </c>
    </row>
    <row r="93">
      <c r="A93" s="15" t="inlineStr">
        <is>
          <t>Answered</t>
        </is>
      </c>
      <c r="B93" s="16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2" t="inlineStr">
        <is>
          <t>Calls after 8pm, April 2026</t>
        </is>
      </c>
    </row>
    <row r="98">
      <c r="A98" s="10" t="inlineStr">
        <is>
          <t>Answered ÷ calls</t>
        </is>
      </c>
    </row>
    <row r="99">
      <c r="A99" s="4" t="inlineStr"/>
      <c r="B99" s="5" t="inlineStr">
        <is>
          <t>Apr 2026</t>
        </is>
      </c>
    </row>
    <row r="100">
      <c r="A100" t="inlineStr">
        <is>
          <t>Calls</t>
        </is>
      </c>
      <c r="B100" s="13" t="n">
        <v>73</v>
      </c>
    </row>
    <row r="101">
      <c r="A101" t="inlineStr">
        <is>
          <t>Answered</t>
        </is>
      </c>
      <c r="B101" s="13" t="n">
        <v>0</v>
      </c>
    </row>
    <row r="102">
      <c r="A102" s="15" t="inlineStr">
        <is>
          <t>Answered</t>
        </is>
      </c>
      <c r="B102" s="16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685</v>
      </c>
      <c r="D6" s="13" t="n">
        <v>329</v>
      </c>
      <c r="E6" s="13" t="n">
        <v>299</v>
      </c>
      <c r="F6" s="14">
        <f>IF(D6=0,"",E6/D6)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633</v>
      </c>
      <c r="D7" s="13" t="n">
        <v>307</v>
      </c>
      <c r="E7" s="13" t="n">
        <v>278</v>
      </c>
      <c r="F7" s="14">
        <f>IF(D7=0,"",E7/D7)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684</v>
      </c>
      <c r="D8" s="13" t="n">
        <v>330</v>
      </c>
      <c r="E8" s="13" t="n">
        <v>284</v>
      </c>
      <c r="F8" s="14">
        <f>IF(D8=0,"",E8/D8)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690</v>
      </c>
      <c r="D9" s="13" t="n">
        <v>324</v>
      </c>
      <c r="E9" s="13" t="n">
        <v>280</v>
      </c>
      <c r="F9" s="14">
        <f>IF(D9=0,"",E9/D9)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664</v>
      </c>
      <c r="D10" s="13" t="n">
        <v>320</v>
      </c>
      <c r="E10" s="13" t="n">
        <v>278</v>
      </c>
      <c r="F10" s="14">
        <f>IF(D10=0,"",E10/D10)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685</v>
      </c>
      <c r="D11" s="13" t="n">
        <v>311</v>
      </c>
      <c r="E11" s="13" t="n">
        <v>284</v>
      </c>
      <c r="F11" s="14">
        <f>IF(D11=0,"",E11/D11)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629</v>
      </c>
      <c r="D12" s="13" t="n">
        <v>286</v>
      </c>
      <c r="E12" s="13" t="n">
        <v>246</v>
      </c>
      <c r="F12" s="14">
        <f>IF(D12=0,"",E12/D12)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724</v>
      </c>
      <c r="D13" s="13" t="n">
        <v>348</v>
      </c>
      <c r="E13" s="13" t="n">
        <v>302</v>
      </c>
      <c r="F13" s="14">
        <f>IF(D13=0,"",E13/D13)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820</v>
      </c>
      <c r="D14" s="13" t="n">
        <v>389</v>
      </c>
      <c r="E14" s="13" t="n">
        <v>330</v>
      </c>
      <c r="F14" s="14">
        <f>IF(D14=0,"",E14/D14)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909</v>
      </c>
      <c r="D15" s="13" t="n">
        <v>477</v>
      </c>
      <c r="E15" s="13" t="n">
        <v>402</v>
      </c>
      <c r="F15" s="14">
        <f>IF(D15=0,"",E15/D15)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826</v>
      </c>
      <c r="D16" s="13" t="n">
        <v>388</v>
      </c>
      <c r="E16" s="13" t="n">
        <v>327</v>
      </c>
      <c r="F16" s="14">
        <f>IF(D16=0,"",E16/D16)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756</v>
      </c>
      <c r="D17" s="13" t="n">
        <v>359</v>
      </c>
      <c r="E17" s="13" t="n">
        <v>307</v>
      </c>
      <c r="F17" s="14">
        <f>IF(D17=0,"",E17/D17)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770</v>
      </c>
      <c r="D18" s="13" t="n">
        <v>363</v>
      </c>
      <c r="E18" s="13" t="n">
        <v>304</v>
      </c>
      <c r="F18" s="14">
        <f>IF(D18=0,"",E18/D18)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746</v>
      </c>
      <c r="D19" s="13" t="n">
        <v>357</v>
      </c>
      <c r="E19" s="13" t="n">
        <v>297</v>
      </c>
      <c r="F19" s="14">
        <f>IF(D19=0,"",E19/D19)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776</v>
      </c>
      <c r="D20" s="13" t="n">
        <v>357</v>
      </c>
      <c r="E20" s="13" t="n">
        <v>282</v>
      </c>
      <c r="F20" s="14">
        <f>IF(D20=0,"",E20/D20)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726</v>
      </c>
      <c r="D21" s="13" t="n">
        <v>346</v>
      </c>
      <c r="E21" s="13" t="n">
        <v>297</v>
      </c>
      <c r="F21" s="14">
        <f>IF(D21=0,"",E21/D21)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678</v>
      </c>
      <c r="D22" s="13" t="n">
        <v>341</v>
      </c>
      <c r="E22" s="13" t="n">
        <v>275</v>
      </c>
      <c r="F22" s="14">
        <f>IF(D22=0,"",E22/D22)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865</v>
      </c>
      <c r="D23" s="13" t="n">
        <v>421</v>
      </c>
      <c r="E23" s="13" t="n">
        <v>338</v>
      </c>
      <c r="F23" s="14">
        <f>IF(D23=0,"",E23/D23)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731</v>
      </c>
      <c r="D24" s="13" t="n">
        <v>356</v>
      </c>
      <c r="E24" s="13" t="n">
        <v>294</v>
      </c>
      <c r="F24" s="14">
        <f>IF(D24=0,"",E24/D24)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2026-10-08T22:42:19Z</dcterms:created>
  <dcterms:modified xmlns:dcterms="http://purl.org/dc/terms/" xmlns:xsi="http://www.w3.org/2001/XMLSchema-instance" xsi:type="dcterms:W3CDTF">2026-10-08T22:42:19Z</dcterms:modified>
</cp:coreProperties>
</file>