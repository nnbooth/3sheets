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April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11</v>
      </c>
    </row>
    <row r="11">
      <c r="A11" t="inlineStr">
        <is>
          <t>Donations</t>
        </is>
      </c>
      <c r="B11" s="8" t="n">
        <v>13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April it cost: Grants 11¢, donations 13¢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April: grants (11¢ a dollar). Dearest: donations (13¢).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$626,965 raised this financial year to date (74.7% of everything raised), $71,000 to raise it, so $555,965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$169,200 raised this financial year to date (20.2% of everything raised), $25,100 to raise it, so $144,100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(5.1%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Apr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$626,965</t>
        </is>
      </c>
      <c r="C43" s="11" t="inlineStr">
        <is>
          <t>$71,000</t>
        </is>
      </c>
      <c r="D43" s="11" t="inlineStr">
        <is>
          <t>$555,965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$169,200</t>
        </is>
      </c>
      <c r="C44" s="11" t="inlineStr">
        <is>
          <t>$25,100</t>
        </is>
      </c>
      <c r="D44" s="11" t="inlineStr">
        <is>
          <t>$144,100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$43,000</t>
        </is>
      </c>
      <c r="C45" s="11" t="inlineStr">
        <is>
          <t>$17,800</t>
        </is>
      </c>
      <c r="D45" s="11" t="inlineStr">
        <is>
          <t>$25,200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s="4" t="inlineStr">
        <is>
          <t>Cost to raise a dollar, by source, April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Apr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66729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16600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April.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April 2026 · Data status: Mar 2026 locked · Apr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Mar 26</t>
        </is>
      </c>
      <c r="C23" s="17" t="inlineStr">
        <is>
          <t>Locked</t>
        </is>
      </c>
      <c r="D23" s="13" t="n">
        <v>53806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Grants</t>
        </is>
      </c>
      <c r="B24" s="17" t="inlineStr">
        <is>
          <t>Apr 26</t>
        </is>
      </c>
      <c r="C24" s="17" t="inlineStr">
        <is>
          <t>Locked</t>
        </is>
      </c>
      <c r="D24" s="13" t="n">
        <v>66729</v>
      </c>
      <c r="E24" s="13" t="n">
        <v>7100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Oct 24</t>
        </is>
      </c>
      <c r="C25" s="17" t="inlineStr">
        <is>
          <t>Locked</t>
        </is>
      </c>
      <c r="D25" s="13" t="n">
        <v>15300</v>
      </c>
      <c r="E25" s="13" t="n">
        <v>2200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Nov 24</t>
        </is>
      </c>
      <c r="C26" s="17" t="inlineStr">
        <is>
          <t>Locked</t>
        </is>
      </c>
      <c r="D26" s="13" t="n">
        <v>17700</v>
      </c>
      <c r="E26" s="13" t="n">
        <v>3100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Dec 24</t>
        </is>
      </c>
      <c r="C27" s="17" t="inlineStr">
        <is>
          <t>Locked</t>
        </is>
      </c>
      <c r="D27" s="13" t="n">
        <v>24700</v>
      </c>
      <c r="E27" s="13" t="n">
        <v>4400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Jan 25</t>
        </is>
      </c>
      <c r="C28" s="17" t="inlineStr">
        <is>
          <t>Locked</t>
        </is>
      </c>
      <c r="D28" s="13" t="n">
        <v>12400</v>
      </c>
      <c r="E28" s="13" t="n">
        <v>2200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Feb 25</t>
        </is>
      </c>
      <c r="C29" s="17" t="inlineStr">
        <is>
          <t>Locked</t>
        </is>
      </c>
      <c r="D29" s="13" t="n">
        <v>15600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Mar 25</t>
        </is>
      </c>
      <c r="C30" s="17" t="inlineStr">
        <is>
          <t>Locked</t>
        </is>
      </c>
      <c r="D30" s="13" t="n">
        <v>15700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Apr 25</t>
        </is>
      </c>
      <c r="C31" s="17" t="inlineStr">
        <is>
          <t>Locked</t>
        </is>
      </c>
      <c r="D31" s="13" t="n">
        <v>15700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May 25</t>
        </is>
      </c>
      <c r="C32" s="17" t="inlineStr">
        <is>
          <t>Locked</t>
        </is>
      </c>
      <c r="D32" s="13" t="n">
        <v>15800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Jun 25</t>
        </is>
      </c>
      <c r="C33" s="17" t="inlineStr">
        <is>
          <t>Locked</t>
        </is>
      </c>
      <c r="D33" s="13" t="n">
        <v>38100</v>
      </c>
      <c r="E33" s="13" t="n">
        <v>5500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Jul 25</t>
        </is>
      </c>
      <c r="C34" s="17" t="inlineStr">
        <is>
          <t>Locked</t>
        </is>
      </c>
      <c r="D34" s="13" t="n">
        <v>13500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Aug 25</t>
        </is>
      </c>
      <c r="C35" s="17" t="inlineStr">
        <is>
          <t>Locked</t>
        </is>
      </c>
      <c r="D35" s="13" t="n">
        <v>16000</v>
      </c>
      <c r="E35" s="13" t="n">
        <v>2200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Sep 25</t>
        </is>
      </c>
      <c r="C36" s="17" t="inlineStr">
        <is>
          <t>Locked</t>
        </is>
      </c>
      <c r="D36" s="13" t="n">
        <v>16100</v>
      </c>
      <c r="E36" s="13" t="n">
        <v>2200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Oct 25</t>
        </is>
      </c>
      <c r="C37" s="17" t="inlineStr">
        <is>
          <t>Locked</t>
        </is>
      </c>
      <c r="D37" s="13" t="n">
        <v>16200</v>
      </c>
      <c r="E37" s="13" t="n">
        <v>2200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Nov 25</t>
        </is>
      </c>
      <c r="C38" s="17" t="inlineStr">
        <is>
          <t>Locked</t>
        </is>
      </c>
      <c r="D38" s="13" t="n">
        <v>18700</v>
      </c>
      <c r="E38" s="13" t="n">
        <v>3100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Dec 25</t>
        </is>
      </c>
      <c r="C39" s="17" t="inlineStr">
        <is>
          <t>Locked</t>
        </is>
      </c>
      <c r="D39" s="13" t="n">
        <v>26100</v>
      </c>
      <c r="E39" s="13" t="n">
        <v>4400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Jan 26</t>
        </is>
      </c>
      <c r="C40" s="17" t="inlineStr">
        <is>
          <t>Locked</t>
        </is>
      </c>
      <c r="D40" s="13" t="n">
        <v>13100</v>
      </c>
      <c r="E40" s="13" t="n">
        <v>2200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Feb 26</t>
        </is>
      </c>
      <c r="C41" s="17" t="inlineStr">
        <is>
          <t>Locked</t>
        </is>
      </c>
      <c r="D41" s="13" t="n">
        <v>16400</v>
      </c>
      <c r="E41" s="13" t="n">
        <v>2200</v>
      </c>
      <c r="F41" s="13">
        <f>D41-E41</f>
        <v/>
      </c>
      <c r="G41" s="14">
        <f>IF(D41=0,"",E41/D41*100)</f>
        <v/>
      </c>
    </row>
    <row r="42">
      <c r="A42" s="17" t="inlineStr">
        <is>
          <t>Donations</t>
        </is>
      </c>
      <c r="B42" s="17" t="inlineStr">
        <is>
          <t>Mar 26</t>
        </is>
      </c>
      <c r="C42" s="17" t="inlineStr">
        <is>
          <t>Locked</t>
        </is>
      </c>
      <c r="D42" s="13" t="n">
        <v>16500</v>
      </c>
      <c r="E42" s="13" t="n">
        <v>2200</v>
      </c>
      <c r="F42" s="13">
        <f>D42-E42</f>
        <v/>
      </c>
      <c r="G42" s="14">
        <f>IF(D42=0,"",E42/D42*100)</f>
        <v/>
      </c>
    </row>
    <row r="43">
      <c r="A43" s="17" t="inlineStr">
        <is>
          <t>Donations</t>
        </is>
      </c>
      <c r="B43" s="17" t="inlineStr">
        <is>
          <t>Apr 26</t>
        </is>
      </c>
      <c r="C43" s="17" t="inlineStr">
        <is>
          <t>Locked</t>
        </is>
      </c>
      <c r="D43" s="13" t="n">
        <v>16600</v>
      </c>
      <c r="E43" s="13" t="n">
        <v>2200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Oct 24</t>
        </is>
      </c>
      <c r="C44" s="17" t="inlineStr">
        <is>
          <t>Locked</t>
        </is>
      </c>
      <c r="D44" s="13" t="n">
        <v>0</v>
      </c>
      <c r="E44" s="13" t="n">
        <v>0</v>
      </c>
      <c r="F44" s="13">
        <f>D44-E44</f>
        <v/>
      </c>
      <c r="G44" s="14">
        <f>IF(D44=0,"",E44/D44*100)</f>
        <v/>
      </c>
    </row>
    <row r="45">
      <c r="A45" s="17" t="inlineStr">
        <is>
          <t>Fundraising events</t>
        </is>
      </c>
      <c r="B45" s="17" t="inlineStr">
        <is>
          <t>Nov 24</t>
        </is>
      </c>
      <c r="C45" s="17" t="inlineStr">
        <is>
          <t>Locked</t>
        </is>
      </c>
      <c r="D45" s="13" t="n">
        <v>0</v>
      </c>
      <c r="E45" s="13" t="n">
        <v>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Dec 24</t>
        </is>
      </c>
      <c r="C46" s="17" t="inlineStr">
        <is>
          <t>Locked</t>
        </is>
      </c>
      <c r="D46" s="13" t="n">
        <v>6200</v>
      </c>
      <c r="E46" s="13" t="n">
        <v>2600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Jan 25</t>
        </is>
      </c>
      <c r="C47" s="17" t="inlineStr">
        <is>
          <t>Locked</t>
        </is>
      </c>
      <c r="D47" s="13" t="n">
        <v>0</v>
      </c>
      <c r="E47" s="13" t="n">
        <v>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Feb 25</t>
        </is>
      </c>
      <c r="C48" s="17" t="inlineStr">
        <is>
          <t>Locked</t>
        </is>
      </c>
      <c r="D48" s="13" t="n">
        <v>0</v>
      </c>
      <c r="E48" s="13" t="n">
        <v>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Mar 25</t>
        </is>
      </c>
      <c r="C49" s="17" t="inlineStr">
        <is>
          <t>Locked</t>
        </is>
      </c>
      <c r="D49" s="13" t="n">
        <v>0</v>
      </c>
      <c r="E49" s="13" t="n">
        <v>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Apr 25</t>
        </is>
      </c>
      <c r="C50" s="17" t="inlineStr">
        <is>
          <t>Locked</t>
        </is>
      </c>
      <c r="D50" s="13" t="n">
        <v>0</v>
      </c>
      <c r="E50" s="13" t="n">
        <v>0</v>
      </c>
      <c r="F50" s="13">
        <f>D50-E50</f>
        <v/>
      </c>
      <c r="G50" s="14">
        <f>IF(D50=0,"",E50/D50*100)</f>
        <v/>
      </c>
    </row>
    <row r="51">
      <c r="A51" s="17" t="inlineStr">
        <is>
          <t>Fundraising events</t>
        </is>
      </c>
      <c r="B51" s="17" t="inlineStr">
        <is>
          <t>May 25</t>
        </is>
      </c>
      <c r="C51" s="17" t="inlineStr">
        <is>
          <t>Locked</t>
        </is>
      </c>
      <c r="D51" s="13" t="n">
        <v>0</v>
      </c>
      <c r="E51" s="13" t="n">
        <v>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Jun 25</t>
        </is>
      </c>
      <c r="C52" s="17" t="inlineStr">
        <is>
          <t>Locked</t>
        </is>
      </c>
      <c r="D52" s="13" t="n">
        <v>0</v>
      </c>
      <c r="E52" s="13" t="n">
        <v>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Jul 25</t>
        </is>
      </c>
      <c r="C53" s="17" t="inlineStr">
        <is>
          <t>Locked</t>
        </is>
      </c>
      <c r="D53" s="13" t="n">
        <v>0</v>
      </c>
      <c r="E53" s="13" t="n">
        <v>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Aug 25</t>
        </is>
      </c>
      <c r="C54" s="17" t="inlineStr">
        <is>
          <t>Locked</t>
        </is>
      </c>
      <c r="D54" s="13" t="n">
        <v>0</v>
      </c>
      <c r="E54" s="13" t="n">
        <v>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Sep 25</t>
        </is>
      </c>
      <c r="C55" s="17" t="inlineStr">
        <is>
          <t>Locked</t>
        </is>
      </c>
      <c r="D55" s="13" t="n">
        <v>36800</v>
      </c>
      <c r="E55" s="13" t="n">
        <v>15200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Oct 25</t>
        </is>
      </c>
      <c r="C56" s="17" t="inlineStr">
        <is>
          <t>Locked</t>
        </is>
      </c>
      <c r="D56" s="13" t="n">
        <v>0</v>
      </c>
      <c r="E56" s="13" t="n">
        <v>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Nov 25</t>
        </is>
      </c>
      <c r="C57" s="17" t="inlineStr">
        <is>
          <t>Locked</t>
        </is>
      </c>
      <c r="D57" s="13" t="n">
        <v>0</v>
      </c>
      <c r="E57" s="13" t="n">
        <v>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Dec 25</t>
        </is>
      </c>
      <c r="C58" s="17" t="inlineStr">
        <is>
          <t>Locked</t>
        </is>
      </c>
      <c r="D58" s="13" t="n">
        <v>6200</v>
      </c>
      <c r="E58" s="13" t="n">
        <v>2600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Jan 26</t>
        </is>
      </c>
      <c r="C59" s="17" t="inlineStr">
        <is>
          <t>Locked</t>
        </is>
      </c>
      <c r="D59" s="13" t="n">
        <v>0</v>
      </c>
      <c r="E59" s="13" t="n">
        <v>0</v>
      </c>
      <c r="F59" s="13">
        <f>D59-E59</f>
        <v/>
      </c>
      <c r="G59" s="14">
        <f>IF(D59=0,"",E59/D59*100)</f>
        <v/>
      </c>
    </row>
    <row r="60">
      <c r="A60" s="17" t="inlineStr">
        <is>
          <t>Fundraising events</t>
        </is>
      </c>
      <c r="B60" s="17" t="inlineStr">
        <is>
          <t>Feb 26</t>
        </is>
      </c>
      <c r="C60" s="17" t="inlineStr">
        <is>
          <t>Locked</t>
        </is>
      </c>
      <c r="D60" s="13" t="n">
        <v>0</v>
      </c>
      <c r="E60" s="13" t="n">
        <v>0</v>
      </c>
      <c r="F60" s="13">
        <f>D60-E60</f>
        <v/>
      </c>
      <c r="G60" s="14">
        <f>IF(D60=0,"",E60/D60*100)</f>
        <v/>
      </c>
    </row>
    <row r="61">
      <c r="A61" s="17" t="inlineStr">
        <is>
          <t>Fundraising events</t>
        </is>
      </c>
      <c r="B61" s="17" t="inlineStr">
        <is>
          <t>Mar 26</t>
        </is>
      </c>
      <c r="C61" s="17" t="inlineStr">
        <is>
          <t>Locked</t>
        </is>
      </c>
      <c r="D61" s="13" t="n">
        <v>0</v>
      </c>
      <c r="E61" s="13" t="n">
        <v>0</v>
      </c>
      <c r="F61" s="13">
        <f>D61-E61</f>
        <v/>
      </c>
      <c r="G61" s="14">
        <f>IF(D61=0,"",E61/D61*100)</f>
        <v/>
      </c>
    </row>
    <row r="62">
      <c r="A62" s="17" t="inlineStr">
        <is>
          <t>Fundraising events</t>
        </is>
      </c>
      <c r="B62" s="17" t="inlineStr">
        <is>
          <t>Apr 26</t>
        </is>
      </c>
      <c r="C62" s="17" t="inlineStr">
        <is>
          <t>Locked</t>
        </is>
      </c>
      <c r="D62" s="13" t="n">
        <v>0</v>
      </c>
      <c r="E62" s="13" t="n">
        <v>0</v>
      </c>
      <c r="F62" s="13">
        <f>D62-E62</f>
        <v/>
      </c>
      <c r="G62" s="14">
        <f>IF(D62=0,"",E62/D62*100)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4" min="0" max="16383" man="1"/>
    <brk id="4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2026-10-07T07:37:20Z</dcterms:created>
  <dcterms:modified xmlns:dcterms="http://purl.org/dc/terms/" xmlns:xsi="http://www.w3.org/2001/XMLSchema-instance" xsi:type="dcterms:W3CDTF">2026-10-07T07:37:20Z</dcterms:modified>
</cp:coreProperties>
</file>