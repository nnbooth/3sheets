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April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11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April it cost: Grants 11¢,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April: grants (11¢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$626,965 raised this financial year to date (74.7% of everything raised), $71,000 to raise it, so $555,965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$169,200 raised this financial year to date (20.2% of everything raised), $25,100 to raise it, so $144,100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(5.1%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6" t="inlineStr">
        <is>
          <t>Headline number</t>
        </is>
      </c>
      <c r="B41" s="7" t="inlineStr">
        <is>
          <t>Value</t>
        </is>
      </c>
      <c r="C41" s="7" t="inlineStr">
        <is>
          <t>Compared with</t>
        </is>
      </c>
    </row>
    <row r="42">
      <c r="A42" t="inlineStr">
        <is>
          <t>Cheapest to raise: Grants</t>
        </is>
      </c>
      <c r="B42" s="8">
        <f>Workings!B25</f>
        <v/>
      </c>
      <c r="C42" s="10" t="inlineStr">
        <is>
          <t>per $1 raised in April</t>
        </is>
      </c>
    </row>
    <row r="43">
      <c r="A43" t="inlineStr">
        <is>
          <t>Dearest to raise: Donations</t>
        </is>
      </c>
      <c r="B43" s="8">
        <f>Workings!B37</f>
        <v/>
      </c>
      <c r="C43" s="10" t="inlineStr">
        <is>
          <t>per $1 raised in April</t>
        </is>
      </c>
    </row>
    <row r="44">
      <c r="A44" t="inlineStr">
        <is>
          <t>Raised, year to date</t>
        </is>
      </c>
      <c r="B44" s="11">
        <f>Workings!B47</f>
        <v/>
      </c>
      <c r="C44" s="10" t="inlineStr">
        <is>
          <t>Jul to Apr 2026</t>
        </is>
      </c>
    </row>
    <row r="45"/>
    <row r="46">
      <c r="A46" s="5" t="inlineStr">
        <is>
          <t>Financial year to date (Jul to Apr 2026), by source</t>
        </is>
      </c>
    </row>
    <row r="47">
      <c r="A47" s="6" t="inlineStr"/>
      <c r="B47" s="7" t="inlineStr">
        <is>
          <t>Raised</t>
        </is>
      </c>
      <c r="C47" s="7" t="inlineStr">
        <is>
          <t>Cost of raising it</t>
        </is>
      </c>
      <c r="D47" s="7" t="inlineStr">
        <is>
          <t>Left after costs</t>
        </is>
      </c>
      <c r="E47" s="7" t="inlineStr">
        <is>
          <t>Cost per $1</t>
        </is>
      </c>
    </row>
    <row r="48">
      <c r="A48" s="12" t="inlineStr">
        <is>
          <t>Grants</t>
        </is>
      </c>
      <c r="B48" s="13" t="inlineStr">
        <is>
          <t>$626,965</t>
        </is>
      </c>
      <c r="C48" s="13" t="inlineStr">
        <is>
          <t>$71,000</t>
        </is>
      </c>
      <c r="D48" s="13" t="inlineStr">
        <is>
          <t>$555,965</t>
        </is>
      </c>
      <c r="E48" s="13" t="inlineStr">
        <is>
          <t>11¢</t>
        </is>
      </c>
    </row>
    <row r="49">
      <c r="A49" s="12" t="inlineStr">
        <is>
          <t>Donations</t>
        </is>
      </c>
      <c r="B49" s="13" t="inlineStr">
        <is>
          <t>$169,200</t>
        </is>
      </c>
      <c r="C49" s="13" t="inlineStr">
        <is>
          <t>$25,100</t>
        </is>
      </c>
      <c r="D49" s="13" t="inlineStr">
        <is>
          <t>$144,100</t>
        </is>
      </c>
      <c r="E49" s="13" t="inlineStr">
        <is>
          <t>15¢</t>
        </is>
      </c>
    </row>
    <row r="50">
      <c r="A50" s="12" t="inlineStr">
        <is>
          <t>Fundraising events</t>
        </is>
      </c>
      <c r="B50" s="13" t="inlineStr">
        <is>
          <t>$43,000</t>
        </is>
      </c>
      <c r="C50" s="13" t="inlineStr">
        <is>
          <t>$17,800</t>
        </is>
      </c>
      <c r="D50" s="13" t="inlineStr">
        <is>
          <t>$25,200</t>
        </is>
      </c>
      <c r="E50" s="13" t="inlineStr">
        <is>
          <t>41¢</t>
        </is>
      </c>
    </row>
    <row r="51"/>
    <row r="52">
      <c r="A52" s="14" t="inlineStr">
        <is>
          <t>Raised and left after costs, by month: every month is on the Data sheet.</t>
        </is>
      </c>
    </row>
    <row r="53"/>
    <row r="54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4" t="inlineStr">
        <is>
          <t>Cost to raise a dollar, by source, April 2026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Apr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66729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16600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April. </t>
        </is>
      </c>
    </row>
    <row r="15"/>
    <row r="16"/>
    <row r="17">
      <c r="A17" s="4" t="inlineStr">
        <is>
          <t>Cost to raise a dollar, by source, April 2026</t>
        </is>
      </c>
    </row>
    <row r="18">
      <c r="A18" s="14" t="inlineStr">
        <is>
          <t>Fundraising cost ÷ money raised, for each source, in cents</t>
        </is>
      </c>
    </row>
    <row r="19">
      <c r="A19" s="6" t="inlineStr"/>
      <c r="B19" s="7" t="inlineStr">
        <is>
          <t>Apr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66729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16600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April. </t>
        </is>
      </c>
    </row>
    <row r="27"/>
    <row r="28"/>
    <row r="29">
      <c r="A29" s="4" t="inlineStr">
        <is>
          <t>Cost to raise a dollar, by source, April 2026</t>
        </is>
      </c>
    </row>
    <row r="30">
      <c r="A30" s="14" t="inlineStr">
        <is>
          <t>Fundraising cost ÷ money raised, for each source, in cents</t>
        </is>
      </c>
    </row>
    <row r="31">
      <c r="A31" s="6" t="inlineStr"/>
      <c r="B31" s="7" t="inlineStr">
        <is>
          <t>Apr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66729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16600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April. </t>
        </is>
      </c>
    </row>
    <row r="39"/>
    <row r="40"/>
    <row r="41">
      <c r="A41" s="4" t="inlineStr">
        <is>
          <t>Raised, financial year to date (Jul to Apr 2026)</t>
        </is>
      </c>
    </row>
    <row r="42">
      <c r="A42" s="14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626965</v>
      </c>
    </row>
    <row r="45">
      <c r="A45" t="inlineStr">
        <is>
          <t>Donations, raised</t>
        </is>
      </c>
      <c r="B45" s="15" t="n">
        <v>169200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Oct 24</t>
        </is>
      </c>
      <c r="C25" s="20" t="inlineStr">
        <is>
          <t>Locked</t>
        </is>
      </c>
      <c r="D25" s="15" t="n">
        <v>15300</v>
      </c>
      <c r="E25" s="15" t="n">
        <v>2200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Nov 24</t>
        </is>
      </c>
      <c r="C26" s="20" t="inlineStr">
        <is>
          <t>Locked</t>
        </is>
      </c>
      <c r="D26" s="15" t="n">
        <v>17700</v>
      </c>
      <c r="E26" s="15" t="n">
        <v>3100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Dec 24</t>
        </is>
      </c>
      <c r="C27" s="20" t="inlineStr">
        <is>
          <t>Locked</t>
        </is>
      </c>
      <c r="D27" s="15" t="n">
        <v>24700</v>
      </c>
      <c r="E27" s="15" t="n">
        <v>4400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Jan 25</t>
        </is>
      </c>
      <c r="C28" s="20" t="inlineStr">
        <is>
          <t>Locked</t>
        </is>
      </c>
      <c r="D28" s="15" t="n">
        <v>12400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Feb 25</t>
        </is>
      </c>
      <c r="C29" s="20" t="inlineStr">
        <is>
          <t>Locked</t>
        </is>
      </c>
      <c r="D29" s="15" t="n">
        <v>15600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Mar 25</t>
        </is>
      </c>
      <c r="C30" s="20" t="inlineStr">
        <is>
          <t>Locked</t>
        </is>
      </c>
      <c r="D30" s="15" t="n">
        <v>15700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Apr 25</t>
        </is>
      </c>
      <c r="C31" s="20" t="inlineStr">
        <is>
          <t>Locked</t>
        </is>
      </c>
      <c r="D31" s="15" t="n">
        <v>15700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May 25</t>
        </is>
      </c>
      <c r="C32" s="20" t="inlineStr">
        <is>
          <t>Locked</t>
        </is>
      </c>
      <c r="D32" s="15" t="n">
        <v>15800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Jun 25</t>
        </is>
      </c>
      <c r="C33" s="20" t="inlineStr">
        <is>
          <t>Locked</t>
        </is>
      </c>
      <c r="D33" s="15" t="n">
        <v>38100</v>
      </c>
      <c r="E33" s="15" t="n">
        <v>5500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Jul 25</t>
        </is>
      </c>
      <c r="C34" s="20" t="inlineStr">
        <is>
          <t>Locked</t>
        </is>
      </c>
      <c r="D34" s="15" t="n">
        <v>13500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Aug 25</t>
        </is>
      </c>
      <c r="C35" s="20" t="inlineStr">
        <is>
          <t>Locked</t>
        </is>
      </c>
      <c r="D35" s="15" t="n">
        <v>16000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Sep 25</t>
        </is>
      </c>
      <c r="C36" s="20" t="inlineStr">
        <is>
          <t>Locked</t>
        </is>
      </c>
      <c r="D36" s="15" t="n">
        <v>16100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Oct 25</t>
        </is>
      </c>
      <c r="C37" s="20" t="inlineStr">
        <is>
          <t>Locked</t>
        </is>
      </c>
      <c r="D37" s="15" t="n">
        <v>16200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Nov 25</t>
        </is>
      </c>
      <c r="C38" s="20" t="inlineStr">
        <is>
          <t>Locked</t>
        </is>
      </c>
      <c r="D38" s="15" t="n">
        <v>18700</v>
      </c>
      <c r="E38" s="15" t="n">
        <v>3100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Dec 25</t>
        </is>
      </c>
      <c r="C39" s="20" t="inlineStr">
        <is>
          <t>Locked</t>
        </is>
      </c>
      <c r="D39" s="15" t="n">
        <v>26100</v>
      </c>
      <c r="E39" s="15" t="n">
        <v>4400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Jan 26</t>
        </is>
      </c>
      <c r="C40" s="20" t="inlineStr">
        <is>
          <t>Locked</t>
        </is>
      </c>
      <c r="D40" s="15" t="n">
        <v>13100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Feb 26</t>
        </is>
      </c>
      <c r="C41" s="20" t="inlineStr">
        <is>
          <t>Locked</t>
        </is>
      </c>
      <c r="D41" s="15" t="n">
        <v>16400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Mar 26</t>
        </is>
      </c>
      <c r="C42" s="20" t="inlineStr">
        <is>
          <t>Locked</t>
        </is>
      </c>
      <c r="D42" s="15" t="n">
        <v>16500</v>
      </c>
      <c r="E42" s="15" t="n">
        <v>2200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Apr 26</t>
        </is>
      </c>
      <c r="C43" s="20" t="inlineStr">
        <is>
          <t>Locked</t>
        </is>
      </c>
      <c r="D43" s="15" t="n">
        <v>16600</v>
      </c>
      <c r="E43" s="15" t="n">
        <v>2200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Oct 24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Nov 24</t>
        </is>
      </c>
      <c r="C45" s="20" t="inlineStr">
        <is>
          <t>Locked</t>
        </is>
      </c>
      <c r="D45" s="15" t="n">
        <v>0</v>
      </c>
      <c r="E45" s="15" t="n">
        <v>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Dec 24</t>
        </is>
      </c>
      <c r="C46" s="20" t="inlineStr">
        <is>
          <t>Locked</t>
        </is>
      </c>
      <c r="D46" s="15" t="n">
        <v>6200</v>
      </c>
      <c r="E46" s="15" t="n">
        <v>2600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Jan 25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Feb 25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Mar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Apr 25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May 25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Jun 25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Jul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Aug 25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Sep 25</t>
        </is>
      </c>
      <c r="C55" s="20" t="inlineStr">
        <is>
          <t>Locked</t>
        </is>
      </c>
      <c r="D55" s="15" t="n">
        <v>36800</v>
      </c>
      <c r="E55" s="15" t="n">
        <v>15200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Oct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Nov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Dec 25</t>
        </is>
      </c>
      <c r="C58" s="20" t="inlineStr">
        <is>
          <t>Locked</t>
        </is>
      </c>
      <c r="D58" s="15" t="n">
        <v>6200</v>
      </c>
      <c r="E58" s="15" t="n">
        <v>2600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Jan 26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Feb 26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Mar 26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Apr 26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4" min="0" max="16383" man="1"/>
    <brk id="4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