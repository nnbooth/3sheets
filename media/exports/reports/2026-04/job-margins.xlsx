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April 2026 · Data status: Mar 2026 locked · Apr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45" customHeight="1">
      <c r="A11" s="3" t="inlineStr">
        <is>
          <t>April's jobs made $68,843 gross margin (41.7%). Technician time not charged to jobs took $6,456 and overheads $59,290, leaving $3,097 profit before tax (1.9% of revenue). To cover overheads, jobs need a 39.8%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April · All jobs</t>
        </is>
      </c>
      <c r="B15" s="8">
        <f>Workings!B28</f>
        <v/>
      </c>
      <c r="C15" s="9" t="inlineStr">
        <is>
          <t>March 35.6%</t>
        </is>
      </c>
    </row>
    <row r="16"/>
    <row r="17">
      <c r="A17" s="10" t="inlineStr">
        <is>
          <t>Job gross margin by type of job, April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April maintenance contracts made a 59.6% job gross margin, installations made a 34.9% job gross margin, call-outs and repairs made a 43.8% job gross margin (technician time at $68 an hour, wages and all on-costs). Jobs need 39.8% just to cover overheads.</t>
        </is>
      </c>
    </row>
    <row r="25"/>
    <row r="26">
      <c r="A26" s="4" t="inlineStr">
        <is>
          <t>What you'd do about it</t>
        </is>
      </c>
    </row>
    <row r="27" ht="30" customHeight="1">
      <c r="A27" s="3" t="inlineStr">
        <is>
          <t>Maintenance contracts: 59.6% gross margin, the most profitable work you do. Installations: 34.9% gross margin, below the 39.8%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April · Maintenance contracts</t>
        </is>
      </c>
      <c r="B31" s="8">
        <f>Workings!B64</f>
        <v/>
      </c>
      <c r="C31" s="9" t="inlineStr">
        <is>
          <t>March 59.6%</t>
        </is>
      </c>
    </row>
    <row r="32"/>
    <row r="33">
      <c r="A33" s="10" t="inlineStr">
        <is>
          <t>Job gross margin on each maintenance contract, April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Milton office tower</t>
        </is>
      </c>
      <c r="B43" s="8">
        <f>Workings!B181</f>
        <v/>
      </c>
      <c r="C43" s="11">
        <f>Workings!B180</f>
        <v/>
      </c>
    </row>
    <row r="44">
      <c r="A44" t="inlineStr">
        <is>
          <t>Bulimba school</t>
        </is>
      </c>
      <c r="B44" s="8">
        <f>Workings!B194</f>
        <v/>
      </c>
      <c r="C44" s="11">
        <f>Workings!B193</f>
        <v/>
      </c>
    </row>
    <row r="45">
      <c r="A45" t="inlineStr">
        <is>
          <t>West End brewery</t>
        </is>
      </c>
      <c r="B45" s="8">
        <f>Workings!B207</f>
        <v/>
      </c>
      <c r="C45" s="11">
        <f>Workings!B206</f>
        <v/>
      </c>
    </row>
    <row r="46">
      <c r="A46" t="inlineStr">
        <is>
          <t>Rocklea factory</t>
        </is>
      </c>
      <c r="B46" s="8">
        <f>Workings!B220</f>
        <v/>
      </c>
      <c r="C46" s="11">
        <f>Workings!B219</f>
        <v/>
      </c>
    </row>
    <row r="47">
      <c r="A47" t="inlineStr">
        <is>
          <t>Kangaroo Point townhouses</t>
        </is>
      </c>
      <c r="B47" s="8">
        <f>Workings!B233</f>
        <v/>
      </c>
      <c r="C47" s="11">
        <f>Workings!B232</f>
        <v/>
      </c>
    </row>
    <row r="48"/>
    <row r="49">
      <c r="A49" s="4" t="inlineStr">
        <is>
          <t>What it shows</t>
        </is>
      </c>
    </row>
    <row r="50" ht="30" customHeight="1">
      <c r="A50" s="3" t="inlineStr">
        <is>
          <t>All 13 contracts made more than the 35.0% job gross margin target. The thinnest was Kangaroo Point townhouses at 58.2% job gross margin: 14.0 h of technician time on a $2,400 monthly fee.</t>
        </is>
      </c>
    </row>
    <row r="51"/>
    <row r="52">
      <c r="A52" s="4" t="inlineStr">
        <is>
          <t>What you'd do about it</t>
        </is>
      </c>
    </row>
    <row r="53" ht="30" customHeight="1">
      <c r="A53" s="3" t="inlineStr">
        <is>
          <t>The Kangaroo Point townhouses contract: 58.2% gross margin, 18.4 points clear of the 39.8% overheads need. Maintenance contracts overall: 59.6% gross margin.</t>
        </is>
      </c>
    </row>
    <row r="54"/>
    <row r="55">
      <c r="A55" s="5" t="inlineStr">
        <is>
          <t>Type of job: Installations</t>
        </is>
      </c>
    </row>
    <row r="56">
      <c r="A56" s="6" t="inlineStr">
        <is>
          <t>Headline number</t>
        </is>
      </c>
      <c r="B56" s="7" t="inlineStr">
        <is>
          <t>Value</t>
        </is>
      </c>
      <c r="C56" s="7" t="inlineStr">
        <is>
          <t>Compared with</t>
        </is>
      </c>
    </row>
    <row r="57">
      <c r="A57" t="inlineStr">
        <is>
          <t>Job gross margin, April · Installations</t>
        </is>
      </c>
      <c r="B57" s="8">
        <f>Workings!B242</f>
        <v/>
      </c>
      <c r="C57" s="9" t="inlineStr">
        <is>
          <t>March 27.1%</t>
        </is>
      </c>
    </row>
    <row r="58"/>
    <row r="59">
      <c r="A59" s="10" t="inlineStr">
        <is>
          <t>Job gross margin on each installation invoiced in April 2026</t>
        </is>
      </c>
    </row>
    <row r="60">
      <c r="A60" s="6" t="inlineStr"/>
      <c r="B60" s="7" t="inlineStr">
        <is>
          <t>Gross margin %</t>
        </is>
      </c>
      <c r="C60" s="7" t="inlineStr">
        <is>
          <t>Gross margin $</t>
        </is>
      </c>
    </row>
    <row r="61">
      <c r="A61" t="inlineStr">
        <is>
          <t>Kedron warehouse data cabling</t>
        </is>
      </c>
      <c r="B61" s="8">
        <f>Workings!B255</f>
        <v/>
      </c>
      <c r="C61" s="11">
        <f>Workings!B254</f>
        <v/>
      </c>
    </row>
    <row r="62">
      <c r="A62" t="inlineStr">
        <is>
          <t>Rocklea warehouse EV chargers</t>
        </is>
      </c>
      <c r="B62" s="8">
        <f>Workings!B268</f>
        <v/>
      </c>
      <c r="C62" s="11">
        <f>Workings!B267</f>
        <v/>
      </c>
    </row>
    <row r="63">
      <c r="A63" t="inlineStr">
        <is>
          <t>Logan Central school switchboard upgrade</t>
        </is>
      </c>
      <c r="B63" s="8">
        <f>Workings!B281</f>
        <v/>
      </c>
      <c r="C63" s="11">
        <f>Workings!B280</f>
        <v/>
      </c>
    </row>
    <row r="64"/>
    <row r="65">
      <c r="A65" s="4" t="inlineStr">
        <is>
          <t>What it shows</t>
        </is>
      </c>
    </row>
    <row r="66" ht="60" customHeight="1">
      <c r="A66" s="3" t="inlineStr">
        <is>
          <t>2 of the 3 installation jobs invoiced in April made less than the 35.0% job gross margin target. The Logan Central school switchboard upgrade made a 29.5% job gross margin: 132.0 h of technician time ($8,976) and $3,800 of subcontractors on a $38,000 job. Jobs need 39.8% gross margin just to cover overheads.</t>
        </is>
      </c>
    </row>
    <row r="67"/>
    <row r="68">
      <c r="A68" s="4" t="inlineStr">
        <is>
          <t>What you'd do about it</t>
        </is>
      </c>
    </row>
    <row r="69" ht="45" customHeight="1">
      <c r="A69" s="3" t="inlineStr">
        <is>
          <t>Below the 39.8% overheads need: Kedron warehouse data cabling (39.8%), Rocklea warehouse EV chargers (35.0%), Logan Central school switchboard upgrade (29.5%). Most profitable: Kedron warehouse data cabling (39.8%).</t>
        </is>
      </c>
    </row>
    <row r="70"/>
    <row r="71">
      <c r="A71" s="5" t="inlineStr">
        <is>
          <t>Type of job: Call-outs and repairs</t>
        </is>
      </c>
    </row>
    <row r="72">
      <c r="A72" s="6" t="inlineStr">
        <is>
          <t>Headline number</t>
        </is>
      </c>
      <c r="B72" s="7" t="inlineStr">
        <is>
          <t>Value</t>
        </is>
      </c>
      <c r="C72" s="7" t="inlineStr">
        <is>
          <t>Compared with</t>
        </is>
      </c>
    </row>
    <row r="73">
      <c r="A73" t="inlineStr">
        <is>
          <t>Job gross margin, April · Call-outs and repairs</t>
        </is>
      </c>
      <c r="B73" s="8">
        <f>Workings!B290</f>
        <v/>
      </c>
      <c r="C73" s="9" t="inlineStr">
        <is>
          <t>March 43.5%</t>
        </is>
      </c>
    </row>
    <row r="74"/>
    <row r="75">
      <c r="A75" s="10" t="inlineStr">
        <is>
          <t>Job gross margin on call-outs by length, April 2026</t>
        </is>
      </c>
    </row>
    <row r="76">
      <c r="A76" s="6" t="inlineStr"/>
      <c r="B76" s="7" t="inlineStr">
        <is>
          <t>Gross margin %</t>
        </is>
      </c>
      <c r="C76" s="7" t="inlineStr">
        <is>
          <t>Gross margin $</t>
        </is>
      </c>
    </row>
    <row r="77">
      <c r="A77" t="inlineStr">
        <is>
          <t>1-hour call-outs (4)</t>
        </is>
      </c>
      <c r="B77" s="8">
        <f>Workings!B301</f>
        <v/>
      </c>
      <c r="C77" s="11">
        <f>Workings!B300</f>
        <v/>
      </c>
    </row>
    <row r="78">
      <c r="A78" t="inlineStr">
        <is>
          <t>1.5-hour call-outs (6)</t>
        </is>
      </c>
      <c r="B78" s="8">
        <f>Workings!B312</f>
        <v/>
      </c>
      <c r="C78" s="11">
        <f>Workings!B311</f>
        <v/>
      </c>
    </row>
    <row r="79">
      <c r="A79" t="inlineStr">
        <is>
          <t>2-hour call-outs (12)</t>
        </is>
      </c>
      <c r="B79" s="8">
        <f>Workings!B323</f>
        <v/>
      </c>
      <c r="C79" s="11">
        <f>Workings!B322</f>
        <v/>
      </c>
    </row>
    <row r="80">
      <c r="A80" t="inlineStr">
        <is>
          <t>2.5-hour call-outs (8)</t>
        </is>
      </c>
      <c r="B80" s="8">
        <f>Workings!B334</f>
        <v/>
      </c>
      <c r="C80" s="11">
        <f>Workings!B333</f>
        <v/>
      </c>
    </row>
    <row r="81">
      <c r="A81" t="inlineStr">
        <is>
          <t>3-hour call-outs (7)</t>
        </is>
      </c>
      <c r="B81" s="8">
        <f>Workings!B345</f>
        <v/>
      </c>
      <c r="C81" s="11">
        <f>Workings!B344</f>
        <v/>
      </c>
    </row>
    <row r="82">
      <c r="A82" t="inlineStr">
        <is>
          <t>4-hour call-outs (8)</t>
        </is>
      </c>
      <c r="B82" s="8">
        <f>Workings!B356</f>
        <v/>
      </c>
      <c r="C82" s="11">
        <f>Workings!B355</f>
        <v/>
      </c>
    </row>
    <row r="83"/>
    <row r="84">
      <c r="A84" s="4" t="inlineStr">
        <is>
          <t>What it shows</t>
        </is>
      </c>
    </row>
    <row r="85" ht="45" customHeight="1">
      <c r="A85" s="3" t="inlineStr">
        <is>
          <t>45 call-outs in April made a 43.8% job gross margin between them. Gross margins run from 38.7% to 46.7% by length: the hourly rate covers technician time comfortably, so the gross margin mostly moves with how much material goes on the van.</t>
        </is>
      </c>
    </row>
    <row r="86"/>
    <row r="87">
      <c r="A87" s="4" t="inlineStr">
        <is>
          <t>What you'd do about it</t>
        </is>
      </c>
    </row>
    <row r="88" ht="30" customHeight="1">
      <c r="A88" s="3" t="inlineStr">
        <is>
          <t>Call-outs: 43.8% gross margin, 4.0 points clear of the 39.8% overheads need.</t>
        </is>
      </c>
    </row>
    <row r="89"/>
    <row r="90">
      <c r="A90" s="5" t="inlineStr">
        <is>
          <t>Every type of job at once</t>
        </is>
      </c>
    </row>
    <row r="91">
      <c r="A91" s="12" t="inlineStr">
        <is>
          <t>Job gross margin by month: every month is on the Data sheet.</t>
        </is>
      </c>
    </row>
    <row r="92"/>
    <row r="93"/>
  </sheetData>
  <mergeCells count="11">
    <mergeCell ref="A5:D5"/>
    <mergeCell ref="A27:D27"/>
    <mergeCell ref="A8:D8"/>
    <mergeCell ref="A53:D53"/>
    <mergeCell ref="A69:D69"/>
    <mergeCell ref="A50:D50"/>
    <mergeCell ref="A88:D88"/>
    <mergeCell ref="A24:D24"/>
    <mergeCell ref="A11:D11"/>
    <mergeCell ref="A85:D85"/>
    <mergeCell ref="A66:D66"/>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8" min="0" max="16383" man="1"/>
    <brk id="71" min="0" max="16383" man="1"/>
  </rowBreaks>
</worksheet>
</file>

<file path=xl/worksheets/sheet2.xml><?xml version="1.0" encoding="utf-8"?>
<worksheet xmlns="http://schemas.openxmlformats.org/spreadsheetml/2006/main">
  <sheetPr>
    <outlinePr summaryBelow="1" summaryRight="1"/>
    <pageSetUpPr fitToPage="1"/>
  </sheetPr>
  <dimension ref="A1:C35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April 2026 · Data status: Mar 2026 locked · Apr 2026 locked · Oct 2026 incomplete (data retrieved 2pm, Tue 6 Oct 2026)</t>
        </is>
      </c>
    </row>
    <row r="4"/>
    <row r="5">
      <c r="A5" s="5" t="inlineStr">
        <is>
          <t>From gross margin to profit, April 2026</t>
        </is>
      </c>
    </row>
    <row r="6">
      <c r="A6" s="12" t="inlineStr">
        <is>
          <t>Gross margin on the work − time not charged − overheads = profit before tax</t>
        </is>
      </c>
    </row>
    <row r="7">
      <c r="A7" s="6" t="inlineStr"/>
      <c r="B7" s="7" t="inlineStr">
        <is>
          <t>Apr 2026</t>
        </is>
      </c>
    </row>
    <row r="8">
      <c r="A8" t="inlineStr">
        <is>
          <t>Gross margin on jobs</t>
        </is>
      </c>
      <c r="B8" s="13" t="n">
        <v>68843</v>
      </c>
    </row>
    <row r="9">
      <c r="A9" t="inlineStr">
        <is>
          <t>Technician wages and on-costs</t>
        </is>
      </c>
      <c r="B9" s="13" t="n">
        <v>54600</v>
      </c>
    </row>
    <row r="10">
      <c r="A10" t="inlineStr">
        <is>
          <t>Technician time charged to jobs (at cost)</t>
        </is>
      </c>
      <c r="B10" s="13" t="n">
        <v>48144</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59290</v>
      </c>
    </row>
    <row r="14">
      <c r="A14" t="inlineStr">
        <is>
          <t>Profit before tax (the P&amp;L)</t>
        </is>
      </c>
      <c r="B14" s="13">
        <f>B12-B13</f>
        <v/>
      </c>
    </row>
    <row r="15">
      <c r="A15" t="inlineStr">
        <is>
          <t>Revenue</t>
        </is>
      </c>
      <c r="B15" s="13" t="n">
        <v>164987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April 2026 P&amp;L (locked). Wages always include all on-costs: super, payroll tax, workers' compensation insurance and leave.</t>
        </is>
      </c>
    </row>
    <row r="20"/>
    <row r="21"/>
    <row r="22">
      <c r="A22" s="5" t="inlineStr">
        <is>
          <t>All lines: gross margin, April and March</t>
        </is>
      </c>
    </row>
    <row r="23">
      <c r="A23" s="12" t="inlineStr">
        <is>
          <t>Revenue less direct cost, over revenue. Before overheads.</t>
        </is>
      </c>
    </row>
    <row r="24">
      <c r="A24" s="6" t="inlineStr"/>
      <c r="B24" s="7" t="inlineStr">
        <is>
          <t>Apr 26</t>
        </is>
      </c>
      <c r="C24" s="7" t="inlineStr">
        <is>
          <t>Mar 26</t>
        </is>
      </c>
    </row>
    <row r="25">
      <c r="A25" t="inlineStr">
        <is>
          <t>Revenue</t>
        </is>
      </c>
      <c r="B25" s="13" t="n">
        <v>164987</v>
      </c>
      <c r="C25" s="13" t="n">
        <v>191500</v>
      </c>
    </row>
    <row r="26">
      <c r="A26" t="inlineStr">
        <is>
          <t>Direct cost</t>
        </is>
      </c>
      <c r="B26" s="13" t="n">
        <v>96144</v>
      </c>
      <c r="C26" s="13" t="n">
        <v>123342</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April</t>
        </is>
      </c>
    </row>
    <row r="32">
      <c r="A32" s="12" t="inlineStr">
        <is>
          <t>Revenue less direct cost (materials, subcontractors, technician time at cost)</t>
        </is>
      </c>
    </row>
    <row r="33">
      <c r="A33" s="6" t="inlineStr"/>
      <c r="B33" s="7" t="inlineStr">
        <is>
          <t>Apr 2026</t>
        </is>
      </c>
    </row>
    <row r="34">
      <c r="A34" t="inlineStr">
        <is>
          <t>Revenue</t>
        </is>
      </c>
      <c r="B34" s="13" t="n">
        <v>37500</v>
      </c>
    </row>
    <row r="35">
      <c r="A35" t="inlineStr">
        <is>
          <t>Direct cost</t>
        </is>
      </c>
      <c r="B35" s="13" t="n">
        <v>15158</v>
      </c>
    </row>
    <row r="36">
      <c r="A36" t="inlineStr">
        <is>
          <t>Gross margin</t>
        </is>
      </c>
      <c r="B36" s="13">
        <f>B34-B35</f>
        <v/>
      </c>
    </row>
    <row r="37">
      <c r="A37" s="15" t="inlineStr">
        <is>
          <t>Gross margin %</t>
        </is>
      </c>
      <c r="B37" s="16">
        <f>B36/B34</f>
        <v/>
      </c>
    </row>
    <row r="38"/>
    <row r="39"/>
    <row r="40">
      <c r="A40" s="5" t="inlineStr">
        <is>
          <t>Installations, April</t>
        </is>
      </c>
    </row>
    <row r="41">
      <c r="A41" s="12" t="inlineStr">
        <is>
          <t>Revenue less direct cost (materials, subcontractors, technician time at cost)</t>
        </is>
      </c>
    </row>
    <row r="42">
      <c r="A42" s="6" t="inlineStr"/>
      <c r="B42" s="7" t="inlineStr">
        <is>
          <t>Apr 2026</t>
        </is>
      </c>
    </row>
    <row r="43">
      <c r="A43" t="inlineStr">
        <is>
          <t>Revenue</t>
        </is>
      </c>
      <c r="B43" s="13" t="n">
        <v>104400</v>
      </c>
    </row>
    <row r="44">
      <c r="A44" t="inlineStr">
        <is>
          <t>Direct cost</t>
        </is>
      </c>
      <c r="B44" s="13" t="n">
        <v>68016</v>
      </c>
    </row>
    <row r="45">
      <c r="A45" t="inlineStr">
        <is>
          <t>Gross margin</t>
        </is>
      </c>
      <c r="B45" s="13">
        <f>B43-B44</f>
        <v/>
      </c>
    </row>
    <row r="46">
      <c r="A46" s="15" t="inlineStr">
        <is>
          <t>Gross margin %</t>
        </is>
      </c>
      <c r="B46" s="16">
        <f>B45/B43</f>
        <v/>
      </c>
    </row>
    <row r="47"/>
    <row r="48"/>
    <row r="49">
      <c r="A49" s="5" t="inlineStr">
        <is>
          <t>Call-outs and repairs, April</t>
        </is>
      </c>
    </row>
    <row r="50">
      <c r="A50" s="12" t="inlineStr">
        <is>
          <t>Revenue less direct cost (materials, subcontractors, technician time at cost)</t>
        </is>
      </c>
    </row>
    <row r="51">
      <c r="A51" s="6" t="inlineStr"/>
      <c r="B51" s="7" t="inlineStr">
        <is>
          <t>Apr 2026</t>
        </is>
      </c>
    </row>
    <row r="52">
      <c r="A52" t="inlineStr">
        <is>
          <t>Revenue</t>
        </is>
      </c>
      <c r="B52" s="13" t="n">
        <v>23087</v>
      </c>
    </row>
    <row r="53">
      <c r="A53" t="inlineStr">
        <is>
          <t>Direct cost</t>
        </is>
      </c>
      <c r="B53" s="13" t="n">
        <v>12970</v>
      </c>
    </row>
    <row r="54">
      <c r="A54" t="inlineStr">
        <is>
          <t>Gross margin</t>
        </is>
      </c>
      <c r="B54" s="13">
        <f>B52-B53</f>
        <v/>
      </c>
    </row>
    <row r="55">
      <c r="A55" s="15" t="inlineStr">
        <is>
          <t>Gross margin %</t>
        </is>
      </c>
      <c r="B55" s="16">
        <f>B54/B52</f>
        <v/>
      </c>
    </row>
    <row r="56"/>
    <row r="57"/>
    <row r="58">
      <c r="A58" s="5" t="inlineStr">
        <is>
          <t>Maintenance contracts: gross margin, April and March</t>
        </is>
      </c>
    </row>
    <row r="59">
      <c r="A59" s="12" t="inlineStr">
        <is>
          <t>Revenue less direct cost, over revenue. Before overheads.</t>
        </is>
      </c>
    </row>
    <row r="60">
      <c r="A60" s="6" t="inlineStr"/>
      <c r="B60" s="7" t="inlineStr">
        <is>
          <t>Apr 26</t>
        </is>
      </c>
      <c r="C60" s="7" t="inlineStr">
        <is>
          <t>Mar 26</t>
        </is>
      </c>
    </row>
    <row r="61">
      <c r="A61" t="inlineStr">
        <is>
          <t>Revenue</t>
        </is>
      </c>
      <c r="B61" s="13" t="n">
        <v>37500</v>
      </c>
      <c r="C61" s="13" t="n">
        <v>37500</v>
      </c>
    </row>
    <row r="62">
      <c r="A62" t="inlineStr">
        <is>
          <t>Direct cost</t>
        </is>
      </c>
      <c r="B62" s="13" t="n">
        <v>15158</v>
      </c>
      <c r="C62" s="13" t="n">
        <v>15158</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Milton office tower</t>
        </is>
      </c>
    </row>
    <row r="172">
      <c r="A172" s="12" t="inlineStr">
        <is>
          <t>Job gross margin ÷ revenue for this job (before overheads)</t>
        </is>
      </c>
    </row>
    <row r="173">
      <c r="A173" s="6" t="inlineStr"/>
      <c r="B173" s="7" t="inlineStr">
        <is>
          <t>This job</t>
        </is>
      </c>
    </row>
    <row r="174">
      <c r="A174" t="inlineStr">
        <is>
          <t>Revenue</t>
        </is>
      </c>
      <c r="B174" s="13" t="n">
        <v>4200</v>
      </c>
    </row>
    <row r="175">
      <c r="A175" t="inlineStr">
        <is>
          <t>Materials</t>
        </is>
      </c>
      <c r="B175" s="13" t="n">
        <v>-90</v>
      </c>
    </row>
    <row r="176">
      <c r="A176" t="inlineStr">
        <is>
          <t>Subcontractors</t>
        </is>
      </c>
      <c r="B176" s="13" t="n">
        <v>0</v>
      </c>
    </row>
    <row r="177">
      <c r="A177" t="inlineStr">
        <is>
          <t>Technician hours</t>
        </is>
      </c>
      <c r="B177" s="17" t="n">
        <v>24</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Bulimba school</t>
        </is>
      </c>
    </row>
    <row r="185">
      <c r="A185" s="12" t="inlineStr">
        <is>
          <t>Job gross margin ÷ revenue for this job (before overheads)</t>
        </is>
      </c>
    </row>
    <row r="186">
      <c r="A186" s="6" t="inlineStr"/>
      <c r="B186" s="7" t="inlineStr">
        <is>
          <t>This job</t>
        </is>
      </c>
    </row>
    <row r="187">
      <c r="A187" t="inlineStr">
        <is>
          <t>Revenue</t>
        </is>
      </c>
      <c r="B187" s="13" t="n">
        <v>2800</v>
      </c>
    </row>
    <row r="188">
      <c r="A188" t="inlineStr">
        <is>
          <t>Materials</t>
        </is>
      </c>
      <c r="B188" s="13" t="n">
        <v>-60</v>
      </c>
    </row>
    <row r="189">
      <c r="A189" t="inlineStr">
        <is>
          <t>Subcontractors</t>
        </is>
      </c>
      <c r="B189" s="13" t="n">
        <v>0</v>
      </c>
    </row>
    <row r="190">
      <c r="A190" t="inlineStr">
        <is>
          <t>Technician hours</t>
        </is>
      </c>
      <c r="B190" s="17" t="n">
        <v>16</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West End brewery</t>
        </is>
      </c>
    </row>
    <row r="198">
      <c r="A198" s="12" t="inlineStr">
        <is>
          <t>Job gross margin ÷ revenue for this job (before overheads)</t>
        </is>
      </c>
    </row>
    <row r="199">
      <c r="A199" s="6" t="inlineStr"/>
      <c r="B199" s="7" t="inlineStr">
        <is>
          <t>This job</t>
        </is>
      </c>
    </row>
    <row r="200">
      <c r="A200" t="inlineStr">
        <is>
          <t>Revenue</t>
        </is>
      </c>
      <c r="B200" s="13" t="n">
        <v>2600</v>
      </c>
    </row>
    <row r="201">
      <c r="A201" t="inlineStr">
        <is>
          <t>Materials</t>
        </is>
      </c>
      <c r="B201" s="13" t="n">
        <v>-50</v>
      </c>
    </row>
    <row r="202">
      <c r="A202" t="inlineStr">
        <is>
          <t>Subcontractors</t>
        </is>
      </c>
      <c r="B202" s="13" t="n">
        <v>0</v>
      </c>
    </row>
    <row r="203">
      <c r="A203" t="inlineStr">
        <is>
          <t>Technician hours</t>
        </is>
      </c>
      <c r="B203" s="17" t="n">
        <v>15</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Rocklea factory</t>
        </is>
      </c>
    </row>
    <row r="211">
      <c r="A211" s="12" t="inlineStr">
        <is>
          <t>Job gross margin ÷ revenue for this job (before overheads)</t>
        </is>
      </c>
    </row>
    <row r="212">
      <c r="A212" s="6" t="inlineStr"/>
      <c r="B212" s="7" t="inlineStr">
        <is>
          <t>This job</t>
        </is>
      </c>
    </row>
    <row r="213">
      <c r="A213" t="inlineStr">
        <is>
          <t>Revenue</t>
        </is>
      </c>
      <c r="B213" s="13" t="n">
        <v>3900</v>
      </c>
    </row>
    <row r="214">
      <c r="A214" t="inlineStr">
        <is>
          <t>Materials</t>
        </is>
      </c>
      <c r="B214" s="13" t="n">
        <v>-110</v>
      </c>
    </row>
    <row r="215">
      <c r="A215" t="inlineStr">
        <is>
          <t>Subcontractors</t>
        </is>
      </c>
      <c r="B215" s="13" t="n">
        <v>0</v>
      </c>
    </row>
    <row r="216">
      <c r="A216" t="inlineStr">
        <is>
          <t>Technician hours</t>
        </is>
      </c>
      <c r="B216" s="17" t="n">
        <v>22</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Kangaroo Point townhouses</t>
        </is>
      </c>
    </row>
    <row r="224">
      <c r="A224" s="12" t="inlineStr">
        <is>
          <t>Job gross margin ÷ revenue for this job (before overheads)</t>
        </is>
      </c>
    </row>
    <row r="225">
      <c r="A225" s="6" t="inlineStr"/>
      <c r="B225" s="7" t="inlineStr">
        <is>
          <t>This job</t>
        </is>
      </c>
    </row>
    <row r="226">
      <c r="A226" t="inlineStr">
        <is>
          <t>Revenue</t>
        </is>
      </c>
      <c r="B226" s="13" t="n">
        <v>2400</v>
      </c>
    </row>
    <row r="227">
      <c r="A227" t="inlineStr">
        <is>
          <t>Materials</t>
        </is>
      </c>
      <c r="B227" s="13" t="n">
        <v>-50</v>
      </c>
    </row>
    <row r="228">
      <c r="A228" t="inlineStr">
        <is>
          <t>Subcontractors</t>
        </is>
      </c>
      <c r="B228" s="13" t="n">
        <v>0</v>
      </c>
    </row>
    <row r="229">
      <c r="A229" t="inlineStr">
        <is>
          <t>Technician hours</t>
        </is>
      </c>
      <c r="B229" s="17" t="n">
        <v>14</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Installations: gross margin, April and March</t>
        </is>
      </c>
    </row>
    <row r="237">
      <c r="A237" s="12" t="inlineStr">
        <is>
          <t>Revenue less direct cost, over revenue. Before overheads.</t>
        </is>
      </c>
    </row>
    <row r="238">
      <c r="A238" s="6" t="inlineStr"/>
      <c r="B238" s="7" t="inlineStr">
        <is>
          <t>Apr 26</t>
        </is>
      </c>
      <c r="C238" s="7" t="inlineStr">
        <is>
          <t>Mar 26</t>
        </is>
      </c>
    </row>
    <row r="239">
      <c r="A239" t="inlineStr">
        <is>
          <t>Revenue</t>
        </is>
      </c>
      <c r="B239" s="13" t="n">
        <v>104400</v>
      </c>
      <c r="C239" s="13" t="n">
        <v>129400</v>
      </c>
    </row>
    <row r="240">
      <c r="A240" t="inlineStr">
        <is>
          <t>Direct cost</t>
        </is>
      </c>
      <c r="B240" s="13" t="n">
        <v>68016</v>
      </c>
      <c r="C240" s="13" t="n">
        <v>94290</v>
      </c>
    </row>
    <row r="241">
      <c r="A241" t="inlineStr">
        <is>
          <t>Gross margin</t>
        </is>
      </c>
      <c r="B241" s="13">
        <f>B239-B240</f>
        <v/>
      </c>
      <c r="C241" s="13">
        <f>C239-C240</f>
        <v/>
      </c>
    </row>
    <row r="242">
      <c r="A242" s="15" t="inlineStr">
        <is>
          <t>Gross margin %</t>
        </is>
      </c>
      <c r="B242" s="16">
        <f>B241/B239</f>
        <v/>
      </c>
      <c r="C242" s="16">
        <f>C241/C239</f>
        <v/>
      </c>
    </row>
    <row r="243"/>
    <row r="244"/>
    <row r="245">
      <c r="A245" s="5" t="inlineStr">
        <is>
          <t>Kedron warehouse data cabling</t>
        </is>
      </c>
    </row>
    <row r="246">
      <c r="A246" s="12" t="inlineStr">
        <is>
          <t>Job gross margin ÷ revenue for this job (before overheads)</t>
        </is>
      </c>
    </row>
    <row r="247">
      <c r="A247" s="6" t="inlineStr"/>
      <c r="B247" s="7" t="inlineStr">
        <is>
          <t>This job</t>
        </is>
      </c>
    </row>
    <row r="248">
      <c r="A248" t="inlineStr">
        <is>
          <t>Revenue</t>
        </is>
      </c>
      <c r="B248" s="13" t="n">
        <v>40300</v>
      </c>
    </row>
    <row r="249">
      <c r="A249" t="inlineStr">
        <is>
          <t>Materials</t>
        </is>
      </c>
      <c r="B249" s="13" t="n">
        <v>-9300</v>
      </c>
    </row>
    <row r="250">
      <c r="A250" t="inlineStr">
        <is>
          <t>Subcontractors</t>
        </is>
      </c>
      <c r="B250" s="13" t="n">
        <v>-4800</v>
      </c>
    </row>
    <row r="251">
      <c r="A251" t="inlineStr">
        <is>
          <t>Technician hours</t>
        </is>
      </c>
      <c r="B251" s="17" t="n">
        <v>149.5</v>
      </c>
    </row>
    <row r="252">
      <c r="A252" t="inlineStr">
        <is>
          <t>Technician cost rate ($/hour, wages and all on-costs)</t>
        </is>
      </c>
      <c r="B252" s="13" t="n">
        <v>68</v>
      </c>
    </row>
    <row r="253">
      <c r="A253" t="inlineStr">
        <is>
          <t>Technician time</t>
        </is>
      </c>
      <c r="B253" s="13">
        <f>-B251*B252</f>
        <v/>
      </c>
    </row>
    <row r="254">
      <c r="A254" t="inlineStr">
        <is>
          <t>Job gross margin</t>
        </is>
      </c>
      <c r="B254" s="13">
        <f>B248+B249+B250+B253</f>
        <v/>
      </c>
    </row>
    <row r="255">
      <c r="A255" s="15" t="inlineStr">
        <is>
          <t>Job gross margin %</t>
        </is>
      </c>
      <c r="B255" s="16">
        <f>B254/B248</f>
        <v/>
      </c>
    </row>
    <row r="256"/>
    <row r="257"/>
    <row r="258">
      <c r="A258" s="5" t="inlineStr">
        <is>
          <t>Rocklea warehouse EV chargers</t>
        </is>
      </c>
    </row>
    <row r="259">
      <c r="A259" s="12" t="inlineStr">
        <is>
          <t>Job gross margin ÷ revenue for this job (before overheads)</t>
        </is>
      </c>
    </row>
    <row r="260">
      <c r="A260" s="6" t="inlineStr"/>
      <c r="B260" s="7" t="inlineStr">
        <is>
          <t>This job</t>
        </is>
      </c>
    </row>
    <row r="261">
      <c r="A261" t="inlineStr">
        <is>
          <t>Revenue</t>
        </is>
      </c>
      <c r="B261" s="13" t="n">
        <v>26100</v>
      </c>
    </row>
    <row r="262">
      <c r="A262" t="inlineStr">
        <is>
          <t>Materials</t>
        </is>
      </c>
      <c r="B262" s="13" t="n">
        <v>-9800</v>
      </c>
    </row>
    <row r="263">
      <c r="A263" t="inlineStr">
        <is>
          <t>Subcontractors</t>
        </is>
      </c>
      <c r="B263" s="13" t="n">
        <v>0</v>
      </c>
    </row>
    <row r="264">
      <c r="A264" t="inlineStr">
        <is>
          <t>Technician hours</t>
        </is>
      </c>
      <c r="B264" s="17" t="n">
        <v>105.5</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Logan Central school switchboard upgrade</t>
        </is>
      </c>
    </row>
    <row r="272">
      <c r="A272" s="12" t="inlineStr">
        <is>
          <t>Job gross margin ÷ revenue for this job (before overheads)</t>
        </is>
      </c>
    </row>
    <row r="273">
      <c r="A273" s="6" t="inlineStr"/>
      <c r="B273" s="7" t="inlineStr">
        <is>
          <t>This job</t>
        </is>
      </c>
    </row>
    <row r="274">
      <c r="A274" t="inlineStr">
        <is>
          <t>Revenue</t>
        </is>
      </c>
      <c r="B274" s="13" t="n">
        <v>38000</v>
      </c>
    </row>
    <row r="275">
      <c r="A275" t="inlineStr">
        <is>
          <t>Materials</t>
        </is>
      </c>
      <c r="B275" s="13" t="n">
        <v>-14000</v>
      </c>
    </row>
    <row r="276">
      <c r="A276" t="inlineStr">
        <is>
          <t>Subcontractors</t>
        </is>
      </c>
      <c r="B276" s="13" t="n">
        <v>-3800</v>
      </c>
    </row>
    <row r="277">
      <c r="A277" t="inlineStr">
        <is>
          <t>Technician hours</t>
        </is>
      </c>
      <c r="B277" s="17" t="n">
        <v>132</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Call-outs and repairs: gross margin, April and March</t>
        </is>
      </c>
    </row>
    <row r="285">
      <c r="A285" s="12" t="inlineStr">
        <is>
          <t>Revenue less direct cost, over revenue. Before overheads.</t>
        </is>
      </c>
    </row>
    <row r="286">
      <c r="A286" s="6" t="inlineStr"/>
      <c r="B286" s="7" t="inlineStr">
        <is>
          <t>Apr 26</t>
        </is>
      </c>
      <c r="C286" s="7" t="inlineStr">
        <is>
          <t>Mar 26</t>
        </is>
      </c>
    </row>
    <row r="287">
      <c r="A287" t="inlineStr">
        <is>
          <t>Revenue</t>
        </is>
      </c>
      <c r="B287" s="13" t="n">
        <v>23087</v>
      </c>
      <c r="C287" s="13" t="n">
        <v>24600</v>
      </c>
    </row>
    <row r="288">
      <c r="A288" t="inlineStr">
        <is>
          <t>Direct cost</t>
        </is>
      </c>
      <c r="B288" s="13" t="n">
        <v>12970</v>
      </c>
      <c r="C288" s="13" t="n">
        <v>13894</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1-hour call-outs (4)</t>
        </is>
      </c>
    </row>
    <row r="294">
      <c r="A294" s="12" t="inlineStr">
        <is>
          <t>Call-outs of this length in April, added together</t>
        </is>
      </c>
    </row>
    <row r="295">
      <c r="A295" s="6" t="inlineStr"/>
      <c r="B295" s="7" t="inlineStr">
        <is>
          <t>Apr 2026</t>
        </is>
      </c>
    </row>
    <row r="296">
      <c r="A296" t="inlineStr">
        <is>
          <t>Call-outs</t>
        </is>
      </c>
      <c r="B296" s="13" t="n">
        <v>4</v>
      </c>
    </row>
    <row r="297">
      <c r="A297" t="inlineStr">
        <is>
          <t>Revenue</t>
        </is>
      </c>
      <c r="B297" s="13" t="n">
        <v>1113</v>
      </c>
    </row>
    <row r="298">
      <c r="A298" t="inlineStr">
        <is>
          <t>Materials</t>
        </is>
      </c>
      <c r="B298" s="13" t="n">
        <v>-410</v>
      </c>
    </row>
    <row r="299">
      <c r="A299" t="inlineStr">
        <is>
          <t>Technician time at cost</t>
        </is>
      </c>
      <c r="B299" s="13" t="n">
        <v>-272</v>
      </c>
    </row>
    <row r="300">
      <c r="A300" t="inlineStr">
        <is>
          <t>Job gross margin</t>
        </is>
      </c>
      <c r="B300" s="13">
        <f>B297+B298+B299</f>
        <v/>
      </c>
    </row>
    <row r="301">
      <c r="A301" s="15" t="inlineStr">
        <is>
          <t>Job gross margin %</t>
        </is>
      </c>
      <c r="B301" s="16">
        <f>B300/B297</f>
        <v/>
      </c>
    </row>
    <row r="302"/>
    <row r="303"/>
    <row r="304">
      <c r="A304" s="5" t="inlineStr">
        <is>
          <t>1.5-hour call-outs (6)</t>
        </is>
      </c>
    </row>
    <row r="305">
      <c r="A305" s="12" t="inlineStr">
        <is>
          <t>Call-outs of this length in April, added together</t>
        </is>
      </c>
    </row>
    <row r="306">
      <c r="A306" s="6" t="inlineStr"/>
      <c r="B306" s="7" t="inlineStr">
        <is>
          <t>Apr 2026</t>
        </is>
      </c>
    </row>
    <row r="307">
      <c r="A307" t="inlineStr">
        <is>
          <t>Call-outs</t>
        </is>
      </c>
      <c r="B307" s="13" t="n">
        <v>6</v>
      </c>
    </row>
    <row r="308">
      <c r="A308" t="inlineStr">
        <is>
          <t>Revenue</t>
        </is>
      </c>
      <c r="B308" s="13" t="n">
        <v>2516</v>
      </c>
    </row>
    <row r="309">
      <c r="A309" t="inlineStr">
        <is>
          <t>Materials</t>
        </is>
      </c>
      <c r="B309" s="13" t="n">
        <v>-930</v>
      </c>
    </row>
    <row r="310">
      <c r="A310" t="inlineStr">
        <is>
          <t>Technician time at cost</t>
        </is>
      </c>
      <c r="B310" s="13" t="n">
        <v>-612</v>
      </c>
    </row>
    <row r="311">
      <c r="A311" t="inlineStr">
        <is>
          <t>Job gross margin</t>
        </is>
      </c>
      <c r="B311" s="13">
        <f>B308+B309+B310</f>
        <v/>
      </c>
    </row>
    <row r="312">
      <c r="A312" s="15" t="inlineStr">
        <is>
          <t>Job gross margin %</t>
        </is>
      </c>
      <c r="B312" s="16">
        <f>B311/B308</f>
        <v/>
      </c>
    </row>
    <row r="313"/>
    <row r="314"/>
    <row r="315">
      <c r="A315" s="5" t="inlineStr">
        <is>
          <t>2-hour call-outs (12)</t>
        </is>
      </c>
    </row>
    <row r="316">
      <c r="A316" s="12" t="inlineStr">
        <is>
          <t>Call-outs of this length in April, added together</t>
        </is>
      </c>
    </row>
    <row r="317">
      <c r="A317" s="6" t="inlineStr"/>
      <c r="B317" s="7" t="inlineStr">
        <is>
          <t>Apr 2026</t>
        </is>
      </c>
    </row>
    <row r="318">
      <c r="A318" t="inlineStr">
        <is>
          <t>Call-outs</t>
        </is>
      </c>
      <c r="B318" s="13" t="n">
        <v>12</v>
      </c>
    </row>
    <row r="319">
      <c r="A319" t="inlineStr">
        <is>
          <t>Revenue</t>
        </is>
      </c>
      <c r="B319" s="13" t="n">
        <v>5508</v>
      </c>
    </row>
    <row r="320">
      <c r="A320" t="inlineStr">
        <is>
          <t>Materials</t>
        </is>
      </c>
      <c r="B320" s="13" t="n">
        <v>-1560</v>
      </c>
    </row>
    <row r="321">
      <c r="A321" t="inlineStr">
        <is>
          <t>Technician time at cost</t>
        </is>
      </c>
      <c r="B321" s="13" t="n">
        <v>-1632</v>
      </c>
    </row>
    <row r="322">
      <c r="A322" t="inlineStr">
        <is>
          <t>Job gross margin</t>
        </is>
      </c>
      <c r="B322" s="13">
        <f>B319+B320+B321</f>
        <v/>
      </c>
    </row>
    <row r="323">
      <c r="A323" s="15" t="inlineStr">
        <is>
          <t>Job gross margin %</t>
        </is>
      </c>
      <c r="B323" s="16">
        <f>B322/B319</f>
        <v/>
      </c>
    </row>
    <row r="324"/>
    <row r="325"/>
    <row r="326">
      <c r="A326" s="5" t="inlineStr">
        <is>
          <t>2.5-hour call-outs (8)</t>
        </is>
      </c>
    </row>
    <row r="327">
      <c r="A327" s="12" t="inlineStr">
        <is>
          <t>Call-outs of this length in April, added together</t>
        </is>
      </c>
    </row>
    <row r="328">
      <c r="A328" s="6" t="inlineStr"/>
      <c r="B328" s="7" t="inlineStr">
        <is>
          <t>Apr 2026</t>
        </is>
      </c>
    </row>
    <row r="329">
      <c r="A329" t="inlineStr">
        <is>
          <t>Call-outs</t>
        </is>
      </c>
      <c r="B329" s="13" t="n">
        <v>8</v>
      </c>
    </row>
    <row r="330">
      <c r="A330" t="inlineStr">
        <is>
          <t>Revenue</t>
        </is>
      </c>
      <c r="B330" s="13" t="n">
        <v>4068</v>
      </c>
    </row>
    <row r="331">
      <c r="A331" t="inlineStr">
        <is>
          <t>Materials</t>
        </is>
      </c>
      <c r="B331" s="13" t="n">
        <v>-900</v>
      </c>
    </row>
    <row r="332">
      <c r="A332" t="inlineStr">
        <is>
          <t>Technician time at cost</t>
        </is>
      </c>
      <c r="B332" s="13" t="n">
        <v>-1360</v>
      </c>
    </row>
    <row r="333">
      <c r="A333" t="inlineStr">
        <is>
          <t>Job gross margin</t>
        </is>
      </c>
      <c r="B333" s="13">
        <f>B330+B331+B332</f>
        <v/>
      </c>
    </row>
    <row r="334">
      <c r="A334" s="15" t="inlineStr">
        <is>
          <t>Job gross margin %</t>
        </is>
      </c>
      <c r="B334" s="16">
        <f>B333/B330</f>
        <v/>
      </c>
    </row>
    <row r="335"/>
    <row r="336"/>
    <row r="337">
      <c r="A337" s="5" t="inlineStr">
        <is>
          <t>3-hour call-outs (7)</t>
        </is>
      </c>
    </row>
    <row r="338">
      <c r="A338" s="12" t="inlineStr">
        <is>
          <t>Call-outs of this length in April, added together</t>
        </is>
      </c>
    </row>
    <row r="339">
      <c r="A339" s="6" t="inlineStr"/>
      <c r="B339" s="7" t="inlineStr">
        <is>
          <t>Apr 2026</t>
        </is>
      </c>
    </row>
    <row r="340">
      <c r="A340" t="inlineStr">
        <is>
          <t>Call-outs</t>
        </is>
      </c>
      <c r="B340" s="13" t="n">
        <v>7</v>
      </c>
    </row>
    <row r="341">
      <c r="A341" t="inlineStr">
        <is>
          <t>Revenue</t>
        </is>
      </c>
      <c r="B341" s="13" t="n">
        <v>3864</v>
      </c>
    </row>
    <row r="342">
      <c r="A342" t="inlineStr">
        <is>
          <t>Materials</t>
        </is>
      </c>
      <c r="B342" s="13" t="n">
        <v>-630</v>
      </c>
    </row>
    <row r="343">
      <c r="A343" t="inlineStr">
        <is>
          <t>Technician time at cost</t>
        </is>
      </c>
      <c r="B343" s="13" t="n">
        <v>-1428</v>
      </c>
    </row>
    <row r="344">
      <c r="A344" t="inlineStr">
        <is>
          <t>Job gross margin</t>
        </is>
      </c>
      <c r="B344" s="13">
        <f>B341+B342+B343</f>
        <v/>
      </c>
    </row>
    <row r="345">
      <c r="A345" s="15" t="inlineStr">
        <is>
          <t>Job gross margin %</t>
        </is>
      </c>
      <c r="B345" s="16">
        <f>B344/B341</f>
        <v/>
      </c>
    </row>
    <row r="346"/>
    <row r="347"/>
    <row r="348">
      <c r="A348" s="5" t="inlineStr">
        <is>
          <t>4-hour call-outs (8)</t>
        </is>
      </c>
    </row>
    <row r="349">
      <c r="A349" s="12" t="inlineStr">
        <is>
          <t>Call-outs of this length in April, added together</t>
        </is>
      </c>
    </row>
    <row r="350">
      <c r="A350" s="6" t="inlineStr"/>
      <c r="B350" s="7" t="inlineStr">
        <is>
          <t>Apr 2026</t>
        </is>
      </c>
    </row>
    <row r="351">
      <c r="A351" t="inlineStr">
        <is>
          <t>Call-outs</t>
        </is>
      </c>
      <c r="B351" s="13" t="n">
        <v>8</v>
      </c>
    </row>
    <row r="352">
      <c r="A352" t="inlineStr">
        <is>
          <t>Revenue</t>
        </is>
      </c>
      <c r="B352" s="13" t="n">
        <v>6018</v>
      </c>
    </row>
    <row r="353">
      <c r="A353" t="inlineStr">
        <is>
          <t>Materials</t>
        </is>
      </c>
      <c r="B353" s="13" t="n">
        <v>-1060</v>
      </c>
    </row>
    <row r="354">
      <c r="A354" t="inlineStr">
        <is>
          <t>Technician time at cost</t>
        </is>
      </c>
      <c r="B354" s="13" t="n">
        <v>-2176</v>
      </c>
    </row>
    <row r="355">
      <c r="A355" t="inlineStr">
        <is>
          <t>Job gross margin</t>
        </is>
      </c>
      <c r="B355" s="13">
        <f>B352+B353+B354</f>
        <v/>
      </c>
    </row>
    <row r="356">
      <c r="A356" s="15" t="inlineStr">
        <is>
          <t>Job gross margin %</t>
        </is>
      </c>
      <c r="B356" s="16">
        <f>B355/B352</f>
        <v/>
      </c>
    </row>
    <row r="357"/>
    <row r="358"/>
    <row r="359"/>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3" manualBreakCount="13">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14" min="0" max="16383" man="1"/>
    <brk id="336" min="0" max="16383" man="1"/>
  </rowBreaks>
</worksheet>
</file>

<file path=xl/worksheets/sheet3.xml><?xml version="1.0" encoding="utf-8"?>
<worksheet xmlns="http://schemas.openxmlformats.org/spreadsheetml/2006/main">
  <sheetPr>
    <outlinePr summaryBelow="1" summaryRight="1"/>
    <pageSetUpPr fitToPage="1"/>
  </sheetPr>
  <dimension ref="A1:G8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April 2026 · Data status: Mar 2026 locked · Apr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Maintenance contracts</t>
        </is>
      </c>
      <c r="B25" s="18" t="inlineStr">
        <is>
          <t>Oct 24</t>
        </is>
      </c>
      <c r="C25" s="18" t="inlineStr">
        <is>
          <t>Locked</t>
        </is>
      </c>
      <c r="D25" s="13" t="n">
        <v>24670</v>
      </c>
      <c r="E25" s="13" t="n">
        <v>10420</v>
      </c>
      <c r="F25" s="13">
        <f>D25-E25</f>
        <v/>
      </c>
      <c r="G25" s="14">
        <f>IF(D25=0,"",F25/D25)</f>
        <v/>
      </c>
    </row>
    <row r="26">
      <c r="A26" s="18" t="inlineStr">
        <is>
          <t>Maintenance contracts</t>
        </is>
      </c>
      <c r="B26" s="18" t="inlineStr">
        <is>
          <t>Nov 24</t>
        </is>
      </c>
      <c r="C26" s="18" t="inlineStr">
        <is>
          <t>Locked</t>
        </is>
      </c>
      <c r="D26" s="13" t="n">
        <v>24670</v>
      </c>
      <c r="E26" s="13" t="n">
        <v>10420</v>
      </c>
      <c r="F26" s="13">
        <f>D26-E26</f>
        <v/>
      </c>
      <c r="G26" s="14">
        <f>IF(D26=0,"",F26/D26)</f>
        <v/>
      </c>
    </row>
    <row r="27">
      <c r="A27" s="18" t="inlineStr">
        <is>
          <t>Maintenance contracts</t>
        </is>
      </c>
      <c r="B27" s="18" t="inlineStr">
        <is>
          <t>Dec 24</t>
        </is>
      </c>
      <c r="C27" s="18" t="inlineStr">
        <is>
          <t>Locked</t>
        </is>
      </c>
      <c r="D27" s="13" t="n">
        <v>24670</v>
      </c>
      <c r="E27" s="13" t="n">
        <v>10420</v>
      </c>
      <c r="F27" s="13">
        <f>D27-E27</f>
        <v/>
      </c>
      <c r="G27" s="14">
        <f>IF(D27=0,"",F27/D27)</f>
        <v/>
      </c>
    </row>
    <row r="28">
      <c r="A28" s="18" t="inlineStr">
        <is>
          <t>Maintenance contracts</t>
        </is>
      </c>
      <c r="B28" s="18" t="inlineStr">
        <is>
          <t>Jan 25</t>
        </is>
      </c>
      <c r="C28" s="18" t="inlineStr">
        <is>
          <t>Locked</t>
        </is>
      </c>
      <c r="D28" s="13" t="n">
        <v>24670</v>
      </c>
      <c r="E28" s="13" t="n">
        <v>10420</v>
      </c>
      <c r="F28" s="13">
        <f>D28-E28</f>
        <v/>
      </c>
      <c r="G28" s="14">
        <f>IF(D28=0,"",F28/D28)</f>
        <v/>
      </c>
    </row>
    <row r="29">
      <c r="A29" s="18" t="inlineStr">
        <is>
          <t>Maintenance contracts</t>
        </is>
      </c>
      <c r="B29" s="18" t="inlineStr">
        <is>
          <t>Feb 25</t>
        </is>
      </c>
      <c r="C29" s="18" t="inlineStr">
        <is>
          <t>Locked</t>
        </is>
      </c>
      <c r="D29" s="13" t="n">
        <v>27930</v>
      </c>
      <c r="E29" s="13" t="n">
        <v>11782</v>
      </c>
      <c r="F29" s="13">
        <f>D29-E29</f>
        <v/>
      </c>
      <c r="G29" s="14">
        <f>IF(D29=0,"",F29/D29)</f>
        <v/>
      </c>
    </row>
    <row r="30">
      <c r="A30" s="18" t="inlineStr">
        <is>
          <t>Maintenance contracts</t>
        </is>
      </c>
      <c r="B30" s="18" t="inlineStr">
        <is>
          <t>Mar 25</t>
        </is>
      </c>
      <c r="C30" s="18" t="inlineStr">
        <is>
          <t>Locked</t>
        </is>
      </c>
      <c r="D30" s="13" t="n">
        <v>27930</v>
      </c>
      <c r="E30" s="13" t="n">
        <v>11782</v>
      </c>
      <c r="F30" s="13">
        <f>D30-E30</f>
        <v/>
      </c>
      <c r="G30" s="14">
        <f>IF(D30=0,"",F30/D30)</f>
        <v/>
      </c>
    </row>
    <row r="31">
      <c r="A31" s="18" t="inlineStr">
        <is>
          <t>Maintenance contracts</t>
        </is>
      </c>
      <c r="B31" s="18" t="inlineStr">
        <is>
          <t>Apr 25</t>
        </is>
      </c>
      <c r="C31" s="18" t="inlineStr">
        <is>
          <t>Locked</t>
        </is>
      </c>
      <c r="D31" s="13" t="n">
        <v>27930</v>
      </c>
      <c r="E31" s="13" t="n">
        <v>11782</v>
      </c>
      <c r="F31" s="13">
        <f>D31-E31</f>
        <v/>
      </c>
      <c r="G31" s="14">
        <f>IF(D31=0,"",F31/D31)</f>
        <v/>
      </c>
    </row>
    <row r="32">
      <c r="A32" s="18" t="inlineStr">
        <is>
          <t>Maintenance contracts</t>
        </is>
      </c>
      <c r="B32" s="18" t="inlineStr">
        <is>
          <t>May 25</t>
        </is>
      </c>
      <c r="C32" s="18" t="inlineStr">
        <is>
          <t>Locked</t>
        </is>
      </c>
      <c r="D32" s="13" t="n">
        <v>27930</v>
      </c>
      <c r="E32" s="13" t="n">
        <v>11782</v>
      </c>
      <c r="F32" s="13">
        <f>D32-E32</f>
        <v/>
      </c>
      <c r="G32" s="14">
        <f>IF(D32=0,"",F32/D32)</f>
        <v/>
      </c>
    </row>
    <row r="33">
      <c r="A33" s="18" t="inlineStr">
        <is>
          <t>Maintenance contracts</t>
        </is>
      </c>
      <c r="B33" s="18" t="inlineStr">
        <is>
          <t>Jun 25</t>
        </is>
      </c>
      <c r="C33" s="18" t="inlineStr">
        <is>
          <t>Locked</t>
        </is>
      </c>
      <c r="D33" s="13" t="n">
        <v>31870</v>
      </c>
      <c r="E33" s="13" t="n">
        <v>13446</v>
      </c>
      <c r="F33" s="13">
        <f>D33-E33</f>
        <v/>
      </c>
      <c r="G33" s="14">
        <f>IF(D33=0,"",F33/D33)</f>
        <v/>
      </c>
    </row>
    <row r="34">
      <c r="A34" s="18" t="inlineStr">
        <is>
          <t>Maintenance contracts</t>
        </is>
      </c>
      <c r="B34" s="18" t="inlineStr">
        <is>
          <t>Jul 25</t>
        </is>
      </c>
      <c r="C34" s="18" t="inlineStr">
        <is>
          <t>Locked</t>
        </is>
      </c>
      <c r="D34" s="13" t="n">
        <v>33200</v>
      </c>
      <c r="E34" s="13" t="n">
        <v>13446</v>
      </c>
      <c r="F34" s="13">
        <f>D34-E34</f>
        <v/>
      </c>
      <c r="G34" s="14">
        <f>IF(D34=0,"",F34/D34)</f>
        <v/>
      </c>
    </row>
    <row r="35">
      <c r="A35" s="18" t="inlineStr">
        <is>
          <t>Maintenance contracts</t>
        </is>
      </c>
      <c r="B35" s="18" t="inlineStr">
        <is>
          <t>Aug 25</t>
        </is>
      </c>
      <c r="C35" s="18" t="inlineStr">
        <is>
          <t>Locked</t>
        </is>
      </c>
      <c r="D35" s="13" t="n">
        <v>33200</v>
      </c>
      <c r="E35" s="13" t="n">
        <v>13446</v>
      </c>
      <c r="F35" s="13">
        <f>D35-E35</f>
        <v/>
      </c>
      <c r="G35" s="14">
        <f>IF(D35=0,"",F35/D35)</f>
        <v/>
      </c>
    </row>
    <row r="36">
      <c r="A36" s="18" t="inlineStr">
        <is>
          <t>Maintenance contracts</t>
        </is>
      </c>
      <c r="B36" s="18" t="inlineStr">
        <is>
          <t>Sep 25</t>
        </is>
      </c>
      <c r="C36" s="18" t="inlineStr">
        <is>
          <t>Locked</t>
        </is>
      </c>
      <c r="D36" s="13" t="n">
        <v>33200</v>
      </c>
      <c r="E36" s="13" t="n">
        <v>13446</v>
      </c>
      <c r="F36" s="13">
        <f>D36-E36</f>
        <v/>
      </c>
      <c r="G36" s="14">
        <f>IF(D36=0,"",F36/D36)</f>
        <v/>
      </c>
    </row>
    <row r="37">
      <c r="A37" s="18" t="inlineStr">
        <is>
          <t>Maintenance contracts</t>
        </is>
      </c>
      <c r="B37" s="18" t="inlineStr">
        <is>
          <t>Oct 25</t>
        </is>
      </c>
      <c r="C37" s="18" t="inlineStr">
        <is>
          <t>Locked</t>
        </is>
      </c>
      <c r="D37" s="13" t="n">
        <v>35800</v>
      </c>
      <c r="E37" s="13" t="n">
        <v>14516</v>
      </c>
      <c r="F37" s="13">
        <f>D37-E37</f>
        <v/>
      </c>
      <c r="G37" s="14">
        <f>IF(D37=0,"",F37/D37)</f>
        <v/>
      </c>
    </row>
    <row r="38">
      <c r="A38" s="18" t="inlineStr">
        <is>
          <t>Maintenance contracts</t>
        </is>
      </c>
      <c r="B38" s="18" t="inlineStr">
        <is>
          <t>Nov 25</t>
        </is>
      </c>
      <c r="C38" s="18" t="inlineStr">
        <is>
          <t>Locked</t>
        </is>
      </c>
      <c r="D38" s="13" t="n">
        <v>35800</v>
      </c>
      <c r="E38" s="13" t="n">
        <v>14516</v>
      </c>
      <c r="F38" s="13">
        <f>D38-E38</f>
        <v/>
      </c>
      <c r="G38" s="14">
        <f>IF(D38=0,"",F38/D38)</f>
        <v/>
      </c>
    </row>
    <row r="39">
      <c r="A39" s="18" t="inlineStr">
        <is>
          <t>Maintenance contracts</t>
        </is>
      </c>
      <c r="B39" s="18" t="inlineStr">
        <is>
          <t>Dec 25</t>
        </is>
      </c>
      <c r="C39" s="18" t="inlineStr">
        <is>
          <t>Locked</t>
        </is>
      </c>
      <c r="D39" s="13" t="n">
        <v>35800</v>
      </c>
      <c r="E39" s="13" t="n">
        <v>14516</v>
      </c>
      <c r="F39" s="13">
        <f>D39-E39</f>
        <v/>
      </c>
      <c r="G39" s="14">
        <f>IF(D39=0,"",F39/D39)</f>
        <v/>
      </c>
    </row>
    <row r="40">
      <c r="A40" s="18" t="inlineStr">
        <is>
          <t>Maintenance contracts</t>
        </is>
      </c>
      <c r="B40" s="18" t="inlineStr">
        <is>
          <t>Jan 26</t>
        </is>
      </c>
      <c r="C40" s="18" t="inlineStr">
        <is>
          <t>Locked</t>
        </is>
      </c>
      <c r="D40" s="13" t="n">
        <v>35800</v>
      </c>
      <c r="E40" s="13" t="n">
        <v>14516</v>
      </c>
      <c r="F40" s="13">
        <f>D40-E40</f>
        <v/>
      </c>
      <c r="G40" s="14">
        <f>IF(D40=0,"",F40/D40)</f>
        <v/>
      </c>
    </row>
    <row r="41">
      <c r="A41" s="18" t="inlineStr">
        <is>
          <t>Maintenance contracts</t>
        </is>
      </c>
      <c r="B41" s="18" t="inlineStr">
        <is>
          <t>Feb 26</t>
        </is>
      </c>
      <c r="C41" s="18" t="inlineStr">
        <is>
          <t>Locked</t>
        </is>
      </c>
      <c r="D41" s="13" t="n">
        <v>37500</v>
      </c>
      <c r="E41" s="13" t="n">
        <v>15158</v>
      </c>
      <c r="F41" s="13">
        <f>D41-E41</f>
        <v/>
      </c>
      <c r="G41" s="14">
        <f>IF(D41=0,"",F41/D41)</f>
        <v/>
      </c>
    </row>
    <row r="42">
      <c r="A42" s="18" t="inlineStr">
        <is>
          <t>Maintenance contracts</t>
        </is>
      </c>
      <c r="B42" s="18" t="inlineStr">
        <is>
          <t>Mar 26</t>
        </is>
      </c>
      <c r="C42" s="18" t="inlineStr">
        <is>
          <t>Locked</t>
        </is>
      </c>
      <c r="D42" s="13" t="n">
        <v>37500</v>
      </c>
      <c r="E42" s="13" t="n">
        <v>15158</v>
      </c>
      <c r="F42" s="13">
        <f>D42-E42</f>
        <v/>
      </c>
      <c r="G42" s="14">
        <f>IF(D42=0,"",F42/D42)</f>
        <v/>
      </c>
    </row>
    <row r="43">
      <c r="A43" s="18" t="inlineStr">
        <is>
          <t>Maintenance contracts</t>
        </is>
      </c>
      <c r="B43" s="18" t="inlineStr">
        <is>
          <t>Apr 26</t>
        </is>
      </c>
      <c r="C43" s="18" t="inlineStr">
        <is>
          <t>Locked</t>
        </is>
      </c>
      <c r="D43" s="13" t="n">
        <v>37500</v>
      </c>
      <c r="E43" s="13" t="n">
        <v>15158</v>
      </c>
      <c r="F43" s="13">
        <f>D43-E43</f>
        <v/>
      </c>
      <c r="G43" s="14">
        <f>IF(D43=0,"",F43/D43)</f>
        <v/>
      </c>
    </row>
    <row r="44">
      <c r="A44" s="18" t="inlineStr">
        <is>
          <t>Installations</t>
        </is>
      </c>
      <c r="B44" s="18" t="inlineStr">
        <is>
          <t>Oct 24</t>
        </is>
      </c>
      <c r="C44" s="18" t="inlineStr">
        <is>
          <t>Locked</t>
        </is>
      </c>
      <c r="D44" s="13" t="n">
        <v>126300</v>
      </c>
      <c r="E44" s="13" t="n">
        <v>92430</v>
      </c>
      <c r="F44" s="13">
        <f>D44-E44</f>
        <v/>
      </c>
      <c r="G44" s="14">
        <f>IF(D44=0,"",F44/D44)</f>
        <v/>
      </c>
    </row>
    <row r="45">
      <c r="A45" s="18" t="inlineStr">
        <is>
          <t>Installations</t>
        </is>
      </c>
      <c r="B45" s="18" t="inlineStr">
        <is>
          <t>Nov 24</t>
        </is>
      </c>
      <c r="C45" s="18" t="inlineStr">
        <is>
          <t>Locked</t>
        </is>
      </c>
      <c r="D45" s="13" t="n">
        <v>131400</v>
      </c>
      <c r="E45" s="13" t="n">
        <v>89070</v>
      </c>
      <c r="F45" s="13">
        <f>D45-E45</f>
        <v/>
      </c>
      <c r="G45" s="14">
        <f>IF(D45=0,"",F45/D45)</f>
        <v/>
      </c>
    </row>
    <row r="46">
      <c r="A46" s="18" t="inlineStr">
        <is>
          <t>Installations</t>
        </is>
      </c>
      <c r="B46" s="18" t="inlineStr">
        <is>
          <t>Dec 24</t>
        </is>
      </c>
      <c r="C46" s="18" t="inlineStr">
        <is>
          <t>Locked</t>
        </is>
      </c>
      <c r="D46" s="13" t="n">
        <v>92600</v>
      </c>
      <c r="E46" s="13" t="n">
        <v>59908</v>
      </c>
      <c r="F46" s="13">
        <f>D46-E46</f>
        <v/>
      </c>
      <c r="G46" s="14">
        <f>IF(D46=0,"",F46/D46)</f>
        <v/>
      </c>
    </row>
    <row r="47">
      <c r="A47" s="18" t="inlineStr">
        <is>
          <t>Installations</t>
        </is>
      </c>
      <c r="B47" s="18" t="inlineStr">
        <is>
          <t>Jan 25</t>
        </is>
      </c>
      <c r="C47" s="18" t="inlineStr">
        <is>
          <t>Locked</t>
        </is>
      </c>
      <c r="D47" s="13" t="n">
        <v>89400</v>
      </c>
      <c r="E47" s="13" t="n">
        <v>54678</v>
      </c>
      <c r="F47" s="13">
        <f>D47-E47</f>
        <v/>
      </c>
      <c r="G47" s="14">
        <f>IF(D47=0,"",F47/D47)</f>
        <v/>
      </c>
    </row>
    <row r="48">
      <c r="A48" s="18" t="inlineStr">
        <is>
          <t>Installations</t>
        </is>
      </c>
      <c r="B48" s="18" t="inlineStr">
        <is>
          <t>Feb 25</t>
        </is>
      </c>
      <c r="C48" s="18" t="inlineStr">
        <is>
          <t>Locked</t>
        </is>
      </c>
      <c r="D48" s="13" t="n">
        <v>106000</v>
      </c>
      <c r="E48" s="13" t="n">
        <v>74966</v>
      </c>
      <c r="F48" s="13">
        <f>D48-E48</f>
        <v/>
      </c>
      <c r="G48" s="14">
        <f>IF(D48=0,"",F48/D48)</f>
        <v/>
      </c>
    </row>
    <row r="49">
      <c r="A49" s="18" t="inlineStr">
        <is>
          <t>Installations</t>
        </is>
      </c>
      <c r="B49" s="18" t="inlineStr">
        <is>
          <t>Mar 25</t>
        </is>
      </c>
      <c r="C49" s="18" t="inlineStr">
        <is>
          <t>Locked</t>
        </is>
      </c>
      <c r="D49" s="13" t="n">
        <v>86100</v>
      </c>
      <c r="E49" s="13" t="n">
        <v>61664</v>
      </c>
      <c r="F49" s="13">
        <f>D49-E49</f>
        <v/>
      </c>
      <c r="G49" s="14">
        <f>IF(D49=0,"",F49/D49)</f>
        <v/>
      </c>
    </row>
    <row r="50">
      <c r="A50" s="18" t="inlineStr">
        <is>
          <t>Installations</t>
        </is>
      </c>
      <c r="B50" s="18" t="inlineStr">
        <is>
          <t>Apr 25</t>
        </is>
      </c>
      <c r="C50" s="18" t="inlineStr">
        <is>
          <t>Locked</t>
        </is>
      </c>
      <c r="D50" s="13" t="n">
        <v>74900</v>
      </c>
      <c r="E50" s="13" t="n">
        <v>52264</v>
      </c>
      <c r="F50" s="13">
        <f>D50-E50</f>
        <v/>
      </c>
      <c r="G50" s="14">
        <f>IF(D50=0,"",F50/D50)</f>
        <v/>
      </c>
    </row>
    <row r="51">
      <c r="A51" s="18" t="inlineStr">
        <is>
          <t>Installations</t>
        </is>
      </c>
      <c r="B51" s="18" t="inlineStr">
        <is>
          <t>May 25</t>
        </is>
      </c>
      <c r="C51" s="18" t="inlineStr">
        <is>
          <t>Locked</t>
        </is>
      </c>
      <c r="D51" s="13" t="n">
        <v>80300</v>
      </c>
      <c r="E51" s="13" t="n">
        <v>59534</v>
      </c>
      <c r="F51" s="13">
        <f>D51-E51</f>
        <v/>
      </c>
      <c r="G51" s="14">
        <f>IF(D51=0,"",F51/D51)</f>
        <v/>
      </c>
    </row>
    <row r="52">
      <c r="A52" s="18" t="inlineStr">
        <is>
          <t>Installations</t>
        </is>
      </c>
      <c r="B52" s="18" t="inlineStr">
        <is>
          <t>Jun 25</t>
        </is>
      </c>
      <c r="C52" s="18" t="inlineStr">
        <is>
          <t>Locked</t>
        </is>
      </c>
      <c r="D52" s="13" t="n">
        <v>112700</v>
      </c>
      <c r="E52" s="13" t="n">
        <v>72976</v>
      </c>
      <c r="F52" s="13">
        <f>D52-E52</f>
        <v/>
      </c>
      <c r="G52" s="14">
        <f>IF(D52=0,"",F52/D52)</f>
        <v/>
      </c>
    </row>
    <row r="53">
      <c r="A53" s="18" t="inlineStr">
        <is>
          <t>Installations</t>
        </is>
      </c>
      <c r="B53" s="18" t="inlineStr">
        <is>
          <t>Jul 25</t>
        </is>
      </c>
      <c r="C53" s="18" t="inlineStr">
        <is>
          <t>Locked</t>
        </is>
      </c>
      <c r="D53" s="13" t="n">
        <v>135800</v>
      </c>
      <c r="E53" s="13" t="n">
        <v>96920</v>
      </c>
      <c r="F53" s="13">
        <f>D53-E53</f>
        <v/>
      </c>
      <c r="G53" s="14">
        <f>IF(D53=0,"",F53/D53)</f>
        <v/>
      </c>
    </row>
    <row r="54">
      <c r="A54" s="18" t="inlineStr">
        <is>
          <t>Installations</t>
        </is>
      </c>
      <c r="B54" s="18" t="inlineStr">
        <is>
          <t>Aug 25</t>
        </is>
      </c>
      <c r="C54" s="18" t="inlineStr">
        <is>
          <t>Locked</t>
        </is>
      </c>
      <c r="D54" s="13" t="n">
        <v>86200</v>
      </c>
      <c r="E54" s="13" t="n">
        <v>53590</v>
      </c>
      <c r="F54" s="13">
        <f>D54-E54</f>
        <v/>
      </c>
      <c r="G54" s="14">
        <f>IF(D54=0,"",F54/D54)</f>
        <v/>
      </c>
    </row>
    <row r="55">
      <c r="A55" s="18" t="inlineStr">
        <is>
          <t>Installations</t>
        </is>
      </c>
      <c r="B55" s="18" t="inlineStr">
        <is>
          <t>Sep 25</t>
        </is>
      </c>
      <c r="C55" s="18" t="inlineStr">
        <is>
          <t>Locked</t>
        </is>
      </c>
      <c r="D55" s="13" t="n">
        <v>75100</v>
      </c>
      <c r="E55" s="13" t="n">
        <v>55440</v>
      </c>
      <c r="F55" s="13">
        <f>D55-E55</f>
        <v/>
      </c>
      <c r="G55" s="14">
        <f>IF(D55=0,"",F55/D55)</f>
        <v/>
      </c>
    </row>
    <row r="56">
      <c r="A56" s="18" t="inlineStr">
        <is>
          <t>Installations</t>
        </is>
      </c>
      <c r="B56" s="18" t="inlineStr">
        <is>
          <t>Oct 25</t>
        </is>
      </c>
      <c r="C56" s="18" t="inlineStr">
        <is>
          <t>Locked</t>
        </is>
      </c>
      <c r="D56" s="13" t="n">
        <v>70800</v>
      </c>
      <c r="E56" s="13" t="n">
        <v>52288</v>
      </c>
      <c r="F56" s="13">
        <f>D56-E56</f>
        <v/>
      </c>
      <c r="G56" s="14">
        <f>IF(D56=0,"",F56/D56)</f>
        <v/>
      </c>
    </row>
    <row r="57">
      <c r="A57" s="18" t="inlineStr">
        <is>
          <t>Installations</t>
        </is>
      </c>
      <c r="B57" s="18" t="inlineStr">
        <is>
          <t>Nov 25</t>
        </is>
      </c>
      <c r="C57" s="18" t="inlineStr">
        <is>
          <t>Locked</t>
        </is>
      </c>
      <c r="D57" s="13" t="n">
        <v>113300</v>
      </c>
      <c r="E57" s="13" t="n">
        <v>87174</v>
      </c>
      <c r="F57" s="13">
        <f>D57-E57</f>
        <v/>
      </c>
      <c r="G57" s="14">
        <f>IF(D57=0,"",F57/D57)</f>
        <v/>
      </c>
    </row>
    <row r="58">
      <c r="A58" s="18" t="inlineStr">
        <is>
          <t>Installations</t>
        </is>
      </c>
      <c r="B58" s="18" t="inlineStr">
        <is>
          <t>Dec 25</t>
        </is>
      </c>
      <c r="C58" s="18" t="inlineStr">
        <is>
          <t>Locked</t>
        </is>
      </c>
      <c r="D58" s="13" t="n">
        <v>69700</v>
      </c>
      <c r="E58" s="13" t="n">
        <v>53408</v>
      </c>
      <c r="F58" s="13">
        <f>D58-E58</f>
        <v/>
      </c>
      <c r="G58" s="14">
        <f>IF(D58=0,"",F58/D58)</f>
        <v/>
      </c>
    </row>
    <row r="59">
      <c r="A59" s="18" t="inlineStr">
        <is>
          <t>Installations</t>
        </is>
      </c>
      <c r="B59" s="18" t="inlineStr">
        <is>
          <t>Jan 26</t>
        </is>
      </c>
      <c r="C59" s="18" t="inlineStr">
        <is>
          <t>Locked</t>
        </is>
      </c>
      <c r="D59" s="13" t="n">
        <v>97500</v>
      </c>
      <c r="E59" s="13" t="n">
        <v>74216</v>
      </c>
      <c r="F59" s="13">
        <f>D59-E59</f>
        <v/>
      </c>
      <c r="G59" s="14">
        <f>IF(D59=0,"",F59/D59)</f>
        <v/>
      </c>
    </row>
    <row r="60">
      <c r="A60" s="18" t="inlineStr">
        <is>
          <t>Installations</t>
        </is>
      </c>
      <c r="B60" s="18" t="inlineStr">
        <is>
          <t>Feb 26</t>
        </is>
      </c>
      <c r="C60" s="18" t="inlineStr">
        <is>
          <t>Locked</t>
        </is>
      </c>
      <c r="D60" s="13" t="n">
        <v>129300</v>
      </c>
      <c r="E60" s="13" t="n">
        <v>88896</v>
      </c>
      <c r="F60" s="13">
        <f>D60-E60</f>
        <v/>
      </c>
      <c r="G60" s="14">
        <f>IF(D60=0,"",F60/D60)</f>
        <v/>
      </c>
    </row>
    <row r="61">
      <c r="A61" s="18" t="inlineStr">
        <is>
          <t>Installations</t>
        </is>
      </c>
      <c r="B61" s="18" t="inlineStr">
        <is>
          <t>Mar 26</t>
        </is>
      </c>
      <c r="C61" s="18" t="inlineStr">
        <is>
          <t>Locked</t>
        </is>
      </c>
      <c r="D61" s="13" t="n">
        <v>129400</v>
      </c>
      <c r="E61" s="13" t="n">
        <v>94290</v>
      </c>
      <c r="F61" s="13">
        <f>D61-E61</f>
        <v/>
      </c>
      <c r="G61" s="14">
        <f>IF(D61=0,"",F61/D61)</f>
        <v/>
      </c>
    </row>
    <row r="62">
      <c r="A62" s="18" t="inlineStr">
        <is>
          <t>Installations</t>
        </is>
      </c>
      <c r="B62" s="18" t="inlineStr">
        <is>
          <t>Apr 26</t>
        </is>
      </c>
      <c r="C62" s="18" t="inlineStr">
        <is>
          <t>Locked</t>
        </is>
      </c>
      <c r="D62" s="13" t="n">
        <v>104400</v>
      </c>
      <c r="E62" s="13" t="n">
        <v>68016</v>
      </c>
      <c r="F62" s="13">
        <f>D62-E62</f>
        <v/>
      </c>
      <c r="G62" s="14">
        <f>IF(D62=0,"",F62/D62)</f>
        <v/>
      </c>
    </row>
    <row r="63">
      <c r="A63" s="18" t="inlineStr">
        <is>
          <t>Call-outs and repairs</t>
        </is>
      </c>
      <c r="B63" s="18" t="inlineStr">
        <is>
          <t>Oct 24</t>
        </is>
      </c>
      <c r="C63" s="18" t="inlineStr">
        <is>
          <t>Locked</t>
        </is>
      </c>
      <c r="D63" s="13" t="n">
        <v>20039</v>
      </c>
      <c r="E63" s="13" t="n">
        <v>11484</v>
      </c>
      <c r="F63" s="13">
        <f>D63-E63</f>
        <v/>
      </c>
      <c r="G63" s="14">
        <f>IF(D63=0,"",F63/D63)</f>
        <v/>
      </c>
    </row>
    <row r="64">
      <c r="A64" s="18" t="inlineStr">
        <is>
          <t>Call-outs and repairs</t>
        </is>
      </c>
      <c r="B64" s="18" t="inlineStr">
        <is>
          <t>Nov 24</t>
        </is>
      </c>
      <c r="C64" s="18" t="inlineStr">
        <is>
          <t>Locked</t>
        </is>
      </c>
      <c r="D64" s="13" t="n">
        <v>23404</v>
      </c>
      <c r="E64" s="13" t="n">
        <v>13526</v>
      </c>
      <c r="F64" s="13">
        <f>D64-E64</f>
        <v/>
      </c>
      <c r="G64" s="14">
        <f>IF(D64=0,"",F64/D64)</f>
        <v/>
      </c>
    </row>
    <row r="65">
      <c r="A65" s="18" t="inlineStr">
        <is>
          <t>Call-outs and repairs</t>
        </is>
      </c>
      <c r="B65" s="18" t="inlineStr">
        <is>
          <t>Dec 24</t>
        </is>
      </c>
      <c r="C65" s="18" t="inlineStr">
        <is>
          <t>Locked</t>
        </is>
      </c>
      <c r="D65" s="13" t="n">
        <v>25886</v>
      </c>
      <c r="E65" s="13" t="n">
        <v>14988</v>
      </c>
      <c r="F65" s="13">
        <f>D65-E65</f>
        <v/>
      </c>
      <c r="G65" s="14">
        <f>IF(D65=0,"",F65/D65)</f>
        <v/>
      </c>
    </row>
    <row r="66">
      <c r="A66" s="18" t="inlineStr">
        <is>
          <t>Call-outs and repairs</t>
        </is>
      </c>
      <c r="B66" s="18" t="inlineStr">
        <is>
          <t>Jan 25</t>
        </is>
      </c>
      <c r="C66" s="18" t="inlineStr">
        <is>
          <t>Locked</t>
        </is>
      </c>
      <c r="D66" s="13" t="n">
        <v>26839</v>
      </c>
      <c r="E66" s="13" t="n">
        <v>15644</v>
      </c>
      <c r="F66" s="13">
        <f>D66-E66</f>
        <v/>
      </c>
      <c r="G66" s="14">
        <f>IF(D66=0,"",F66/D66)</f>
        <v/>
      </c>
    </row>
    <row r="67">
      <c r="A67" s="18" t="inlineStr">
        <is>
          <t>Call-outs and repairs</t>
        </is>
      </c>
      <c r="B67" s="18" t="inlineStr">
        <is>
          <t>Feb 25</t>
        </is>
      </c>
      <c r="C67" s="18" t="inlineStr">
        <is>
          <t>Locked</t>
        </is>
      </c>
      <c r="D67" s="13" t="n">
        <v>27013</v>
      </c>
      <c r="E67" s="13" t="n">
        <v>15600</v>
      </c>
      <c r="F67" s="13">
        <f>D67-E67</f>
        <v/>
      </c>
      <c r="G67" s="14">
        <f>IF(D67=0,"",F67/D67)</f>
        <v/>
      </c>
    </row>
    <row r="68">
      <c r="A68" s="18" t="inlineStr">
        <is>
          <t>Call-outs and repairs</t>
        </is>
      </c>
      <c r="B68" s="18" t="inlineStr">
        <is>
          <t>Mar 25</t>
        </is>
      </c>
      <c r="C68" s="18" t="inlineStr">
        <is>
          <t>Locked</t>
        </is>
      </c>
      <c r="D68" s="13" t="n">
        <v>21052</v>
      </c>
      <c r="E68" s="13" t="n">
        <v>12306</v>
      </c>
      <c r="F68" s="13">
        <f>D68-E68</f>
        <v/>
      </c>
      <c r="G68" s="14">
        <f>IF(D68=0,"",F68/D68)</f>
        <v/>
      </c>
    </row>
    <row r="69">
      <c r="A69" s="18" t="inlineStr">
        <is>
          <t>Call-outs and repairs</t>
        </is>
      </c>
      <c r="B69" s="18" t="inlineStr">
        <is>
          <t>Apr 25</t>
        </is>
      </c>
      <c r="C69" s="18" t="inlineStr">
        <is>
          <t>Locked</t>
        </is>
      </c>
      <c r="D69" s="13" t="n">
        <v>21875</v>
      </c>
      <c r="E69" s="13" t="n">
        <v>12762</v>
      </c>
      <c r="F69" s="13">
        <f>D69-E69</f>
        <v/>
      </c>
      <c r="G69" s="14">
        <f>IF(D69=0,"",F69/D69)</f>
        <v/>
      </c>
    </row>
    <row r="70">
      <c r="A70" s="18" t="inlineStr">
        <is>
          <t>Call-outs and repairs</t>
        </is>
      </c>
      <c r="B70" s="18" t="inlineStr">
        <is>
          <t>May 25</t>
        </is>
      </c>
      <c r="C70" s="18" t="inlineStr">
        <is>
          <t>Locked</t>
        </is>
      </c>
      <c r="D70" s="13" t="n">
        <v>21586</v>
      </c>
      <c r="E70" s="13" t="n">
        <v>12384</v>
      </c>
      <c r="F70" s="13">
        <f>D70-E70</f>
        <v/>
      </c>
      <c r="G70" s="14">
        <f>IF(D70=0,"",F70/D70)</f>
        <v/>
      </c>
    </row>
    <row r="71">
      <c r="A71" s="18" t="inlineStr">
        <is>
          <t>Call-outs and repairs</t>
        </is>
      </c>
      <c r="B71" s="18" t="inlineStr">
        <is>
          <t>Jun 25</t>
        </is>
      </c>
      <c r="C71" s="18" t="inlineStr">
        <is>
          <t>Locked</t>
        </is>
      </c>
      <c r="D71" s="13" t="n">
        <v>19543</v>
      </c>
      <c r="E71" s="13" t="n">
        <v>11162</v>
      </c>
      <c r="F71" s="13">
        <f>D71-E71</f>
        <v/>
      </c>
      <c r="G71" s="14">
        <f>IF(D71=0,"",F71/D71)</f>
        <v/>
      </c>
    </row>
    <row r="72">
      <c r="A72" s="18" t="inlineStr">
        <is>
          <t>Call-outs and repairs</t>
        </is>
      </c>
      <c r="B72" s="18" t="inlineStr">
        <is>
          <t>Jul 25</t>
        </is>
      </c>
      <c r="C72" s="18" t="inlineStr">
        <is>
          <t>Locked</t>
        </is>
      </c>
      <c r="D72" s="13" t="n">
        <v>17760</v>
      </c>
      <c r="E72" s="13" t="n">
        <v>9960</v>
      </c>
      <c r="F72" s="13">
        <f>D72-E72</f>
        <v/>
      </c>
      <c r="G72" s="14">
        <f>IF(D72=0,"",F72/D72)</f>
        <v/>
      </c>
    </row>
    <row r="73">
      <c r="A73" s="18" t="inlineStr">
        <is>
          <t>Call-outs and repairs</t>
        </is>
      </c>
      <c r="B73" s="18" t="inlineStr">
        <is>
          <t>Aug 25</t>
        </is>
      </c>
      <c r="C73" s="18" t="inlineStr">
        <is>
          <t>Locked</t>
        </is>
      </c>
      <c r="D73" s="13" t="n">
        <v>19764</v>
      </c>
      <c r="E73" s="13" t="n">
        <v>11222</v>
      </c>
      <c r="F73" s="13">
        <f>D73-E73</f>
        <v/>
      </c>
      <c r="G73" s="14">
        <f>IF(D73=0,"",F73/D73)</f>
        <v/>
      </c>
    </row>
    <row r="74">
      <c r="A74" s="18" t="inlineStr">
        <is>
          <t>Call-outs and repairs</t>
        </is>
      </c>
      <c r="B74" s="18" t="inlineStr">
        <is>
          <t>Sep 25</t>
        </is>
      </c>
      <c r="C74" s="18" t="inlineStr">
        <is>
          <t>Locked</t>
        </is>
      </c>
      <c r="D74" s="13" t="n">
        <v>19955</v>
      </c>
      <c r="E74" s="13" t="n">
        <v>11168</v>
      </c>
      <c r="F74" s="13">
        <f>D74-E74</f>
        <v/>
      </c>
      <c r="G74" s="14">
        <f>IF(D74=0,"",F74/D74)</f>
        <v/>
      </c>
    </row>
    <row r="75">
      <c r="A75" s="18" t="inlineStr">
        <is>
          <t>Call-outs and repairs</t>
        </is>
      </c>
      <c r="B75" s="18" t="inlineStr">
        <is>
          <t>Oct 25</t>
        </is>
      </c>
      <c r="C75" s="18" t="inlineStr">
        <is>
          <t>Locked</t>
        </is>
      </c>
      <c r="D75" s="13" t="n">
        <v>22298</v>
      </c>
      <c r="E75" s="13" t="n">
        <v>12648</v>
      </c>
      <c r="F75" s="13">
        <f>D75-E75</f>
        <v/>
      </c>
      <c r="G75" s="14">
        <f>IF(D75=0,"",F75/D75)</f>
        <v/>
      </c>
    </row>
    <row r="76">
      <c r="A76" s="18" t="inlineStr">
        <is>
          <t>Call-outs and repairs</t>
        </is>
      </c>
      <c r="B76" s="18" t="inlineStr">
        <is>
          <t>Nov 25</t>
        </is>
      </c>
      <c r="C76" s="18" t="inlineStr">
        <is>
          <t>Locked</t>
        </is>
      </c>
      <c r="D76" s="13" t="n">
        <v>25686</v>
      </c>
      <c r="E76" s="13" t="n">
        <v>14252</v>
      </c>
      <c r="F76" s="13">
        <f>D76-E76</f>
        <v/>
      </c>
      <c r="G76" s="14">
        <f>IF(D76=0,"",F76/D76)</f>
        <v/>
      </c>
    </row>
    <row r="77">
      <c r="A77" s="18" t="inlineStr">
        <is>
          <t>Call-outs and repairs</t>
        </is>
      </c>
      <c r="B77" s="18" t="inlineStr">
        <is>
          <t>Dec 25</t>
        </is>
      </c>
      <c r="C77" s="18" t="inlineStr">
        <is>
          <t>Locked</t>
        </is>
      </c>
      <c r="D77" s="13" t="n">
        <v>29579</v>
      </c>
      <c r="E77" s="13" t="n">
        <v>16702</v>
      </c>
      <c r="F77" s="13">
        <f>D77-E77</f>
        <v/>
      </c>
      <c r="G77" s="14">
        <f>IF(D77=0,"",F77/D77)</f>
        <v/>
      </c>
    </row>
    <row r="78">
      <c r="A78" s="18" t="inlineStr">
        <is>
          <t>Call-outs and repairs</t>
        </is>
      </c>
      <c r="B78" s="18" t="inlineStr">
        <is>
          <t>Jan 26</t>
        </is>
      </c>
      <c r="C78" s="18" t="inlineStr">
        <is>
          <t>Locked</t>
        </is>
      </c>
      <c r="D78" s="13" t="n">
        <v>31480</v>
      </c>
      <c r="E78" s="13" t="n">
        <v>17858</v>
      </c>
      <c r="F78" s="13">
        <f>D78-E78</f>
        <v/>
      </c>
      <c r="G78" s="14">
        <f>IF(D78=0,"",F78/D78)</f>
        <v/>
      </c>
    </row>
    <row r="79">
      <c r="A79" s="18" t="inlineStr">
        <is>
          <t>Call-outs and repairs</t>
        </is>
      </c>
      <c r="B79" s="18" t="inlineStr">
        <is>
          <t>Feb 26</t>
        </is>
      </c>
      <c r="C79" s="18" t="inlineStr">
        <is>
          <t>Locked</t>
        </is>
      </c>
      <c r="D79" s="13" t="n">
        <v>29572</v>
      </c>
      <c r="E79" s="13" t="n">
        <v>16608</v>
      </c>
      <c r="F79" s="13">
        <f>D79-E79</f>
        <v/>
      </c>
      <c r="G79" s="14">
        <f>IF(D79=0,"",F79/D79)</f>
        <v/>
      </c>
    </row>
    <row r="80">
      <c r="A80" s="18" t="inlineStr">
        <is>
          <t>Call-outs and repairs</t>
        </is>
      </c>
      <c r="B80" s="18" t="inlineStr">
        <is>
          <t>Mar 26</t>
        </is>
      </c>
      <c r="C80" s="18" t="inlineStr">
        <is>
          <t>Locked</t>
        </is>
      </c>
      <c r="D80" s="13" t="n">
        <v>24600</v>
      </c>
      <c r="E80" s="13" t="n">
        <v>13894</v>
      </c>
      <c r="F80" s="13">
        <f>D80-E80</f>
        <v/>
      </c>
      <c r="G80" s="14">
        <f>IF(D80=0,"",F80/D80)</f>
        <v/>
      </c>
    </row>
    <row r="81">
      <c r="A81" s="18" t="inlineStr">
        <is>
          <t>Call-outs and repairs</t>
        </is>
      </c>
      <c r="B81" s="18" t="inlineStr">
        <is>
          <t>Apr 26</t>
        </is>
      </c>
      <c r="C81" s="18" t="inlineStr">
        <is>
          <t>Locked</t>
        </is>
      </c>
      <c r="D81" s="13" t="n">
        <v>23087</v>
      </c>
      <c r="E81" s="13" t="n">
        <v>12970</v>
      </c>
      <c r="F81" s="13">
        <f>D81-E81</f>
        <v/>
      </c>
      <c r="G81" s="14">
        <f>IF(D81=0,"",F81/D81)</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4" min="0" max="16383" man="1"/>
    <brk id="43" min="0" max="16383" man="1"/>
    <brk id="6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2026-10-06T07:09:29Z</dcterms:created>
  <dcterms:modified xmlns:dcterms="http://purl.org/dc/terms/" xmlns:xsi="http://www.w3.org/2001/XMLSchema-instance" xsi:type="dcterms:W3CDTF">2026-10-06T07:09:29Z</dcterms:modified>
</cp:coreProperties>
</file>