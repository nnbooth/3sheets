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'Report'!$A$1:$D$73</definedName>
    <definedName name="_xlnm.Print_Area" localSheetId="1">'Workings'!$A$1:$B$80</definedName>
    <definedName name="_xlnm.Print_Titles" localSheetId="2">'Data'!$9:$9</definedName>
    <definedName name="_xlnm.Print_Area" localSheetId="2">'Data'!$A$1:$F$15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April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'Report'!$A$10:$A$15</f>
            </numRef>
          </cat>
          <val>
            <numRef>
              <f>'Report'!$B$10:$B$15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5" headerRowCount="1">
  <autoFilter ref="A9:F15"/>
  <tableColumns count="6">
    <tableColumn id="1" name="Program"/>
    <tableColumn id="2" name="Grant spending, Apr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8 Oct 2026, 9:35am</t>
        </is>
      </c>
    </row>
    <row r="4"/>
    <row r="5" ht="32" customHeight="1">
      <c r="A5" s="3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6"/>
    <row r="7">
      <c r="A7" s="4" t="inlineStr">
        <is>
          <t>Program: All programs</t>
        </is>
      </c>
    </row>
    <row r="8">
      <c r="A8" s="5" t="inlineStr">
        <is>
          <t>Full cost of each program, April 2026</t>
        </is>
      </c>
    </row>
    <row r="9">
      <c r="A9" s="6" t="inlineStr"/>
      <c r="B9" s="7" t="inlineStr">
        <is>
          <t>$</t>
        </is>
      </c>
      <c r="C9" s="7" t="inlineStr">
        <is>
          <t>% of total</t>
        </is>
      </c>
    </row>
    <row r="10">
      <c r="A10" t="inlineStr">
        <is>
          <t>Housing support</t>
        </is>
      </c>
      <c r="B10" s="8">
        <f>Workings!B15</f>
        <v/>
      </c>
      <c r="C10" s="9">
        <f>Workings!B10</f>
        <v/>
      </c>
    </row>
    <row r="11">
      <c r="A11" t="inlineStr">
        <is>
          <t>Youth outreach</t>
        </is>
      </c>
      <c r="B11" s="8">
        <f>Workings!B28</f>
        <v/>
      </c>
      <c r="C11" s="9">
        <f>Workings!B23</f>
        <v/>
      </c>
    </row>
    <row r="12">
      <c r="A12" t="inlineStr">
        <is>
          <t>Mental health first aid</t>
        </is>
      </c>
      <c r="B12" s="8">
        <f>Workings!B41</f>
        <v/>
      </c>
      <c r="C12" s="9">
        <f>Workings!B36</f>
        <v/>
      </c>
    </row>
    <row r="13">
      <c r="A13" t="inlineStr">
        <is>
          <t>Digital literacy</t>
        </is>
      </c>
      <c r="B13" s="8">
        <f>Workings!B54</f>
        <v/>
      </c>
      <c r="C13" s="9">
        <f>Workings!B49</f>
        <v/>
      </c>
    </row>
    <row r="14">
      <c r="A14" t="inlineStr">
        <is>
          <t>Community meals (2025-26)</t>
        </is>
      </c>
      <c r="B14" s="8">
        <f>Workings!B67</f>
        <v/>
      </c>
      <c r="C14" s="9">
        <f>Workings!B62</f>
        <v/>
      </c>
    </row>
    <row r="15">
      <c r="A15" t="inlineStr">
        <is>
          <t>Volunteer coordinator</t>
        </is>
      </c>
      <c r="B15" s="8">
        <f>Workings!B80</f>
        <v/>
      </c>
      <c r="C15" s="9">
        <f>Workings!B75</f>
        <v/>
      </c>
    </row>
    <row r="16"/>
    <row r="17"/>
    <row r="18"/>
    <row r="19"/>
    <row r="20"/>
    <row r="21"/>
    <row r="22"/>
    <row r="23"/>
    <row r="24">
      <c r="A24" s="10" t="inlineStr">
        <is>
          <t>What it shows</t>
        </is>
      </c>
    </row>
    <row r="25" ht="45" customHeight="1">
      <c r="A25" s="3" t="inlineStr">
        <is>
          <t>Housing support is the biggest program: $42,507 in April once its share of untied program costs and administration is added to $23,730 of grant spending. Shared costs add 79.1% on top of grant spending across all programs.</t>
        </is>
      </c>
    </row>
    <row r="26"/>
    <row r="27">
      <c r="A27" s="10" t="inlineStr">
        <is>
          <t>What you'd do about it</t>
        </is>
      </c>
    </row>
    <row r="28" ht="30" customHeight="1">
      <c r="A28" s="3" t="inlineStr">
        <is>
          <t>The full cost (not just the grant line) is the number for renewal applications, where the funder lets you recover a share of overheads. Pick a program above to see it on its own.</t>
        </is>
      </c>
    </row>
    <row r="29"/>
    <row r="30">
      <c r="A30" s="4" t="inlineStr">
        <is>
          <t>Program: Housing support</t>
        </is>
      </c>
    </row>
    <row r="31">
      <c r="A31" s="10" t="inlineStr">
        <is>
          <t>What it shows</t>
        </is>
      </c>
    </row>
    <row r="32" ht="45" customHeight="1">
      <c r="A32" s="3" t="inlineStr">
        <is>
          <t>Housing support cost $42,507 in full in April: $23,730 paid by the State Housing Program grant, and $18,777 of shared costs no grant covers. It has spent 88.0% of its budget to date, with $254,428 left and 8 months to go.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The full cost is $42,507 a month; $18,777 of it is shared cost the grant doesn't pay for. Worth asking for as much of it as the funder allows at renewal.</t>
        </is>
      </c>
    </row>
    <row r="36"/>
    <row r="37">
      <c r="A37" s="4" t="inlineStr">
        <is>
          <t>Program: Youth outreach</t>
        </is>
      </c>
    </row>
    <row r="38">
      <c r="A38" s="10" t="inlineStr">
        <is>
          <t>What it shows</t>
        </is>
      </c>
    </row>
    <row r="39" ht="45" customHeight="1">
      <c r="A39" s="3" t="inlineStr">
        <is>
          <t>Youth outreach cost $36,633 in full in April: $20,451 paid by the State Department of Families grant, and $16,182 of shared costs no grant covers. It has spent 98.6% of its budget to date, with $282,814 left and 14 months to go.</t>
        </is>
      </c>
    </row>
    <row r="40"/>
    <row r="41">
      <c r="A41" s="10" t="inlineStr">
        <is>
          <t>What you'd do about it</t>
        </is>
      </c>
    </row>
    <row r="42" ht="30" customHeight="1">
      <c r="A42" s="3" t="inlineStr">
        <is>
          <t>The full cost is $36,633 a month; $16,182 of it is shared cost the grant doesn't pay for. Worth asking for as much of it as the funder allows at renewal.</t>
        </is>
      </c>
    </row>
    <row r="43"/>
    <row r="44">
      <c r="A44" s="4" t="inlineStr">
        <is>
          <t>Program: Mental health first aid</t>
        </is>
      </c>
    </row>
    <row r="45">
      <c r="A45" s="10" t="inlineStr">
        <is>
          <t>What it shows</t>
        </is>
      </c>
    </row>
    <row r="46" ht="45" customHeight="1">
      <c r="A46" s="3" t="inlineStr">
        <is>
          <t>Mental health first aid cost $17,167 in full in April: $9,584 paid by the Federal health program grant, and $7,583 of shared costs no grant covers. It has spent 95.8% of its budget to date, with $110,416 left and 11 months to go.</t>
        </is>
      </c>
    </row>
    <row r="47"/>
    <row r="48">
      <c r="A48" s="10" t="inlineStr">
        <is>
          <t>What you'd do about it</t>
        </is>
      </c>
    </row>
    <row r="49" ht="30" customHeight="1">
      <c r="A49" s="3" t="inlineStr">
        <is>
          <t>The full cost is $17,167 a month; $7,583 of it is shared cost the grant doesn't pay for. Worth asking for as much of it as the funder allows at renewal.</t>
        </is>
      </c>
    </row>
    <row r="50"/>
    <row r="51">
      <c r="A51" s="4" t="inlineStr">
        <is>
          <t>Program: Digital literacy</t>
        </is>
      </c>
    </row>
    <row r="52">
      <c r="A52" s="10" t="inlineStr">
        <is>
          <t>What it shows</t>
        </is>
      </c>
    </row>
    <row r="53" ht="45" customHeight="1">
      <c r="A53" s="3" t="inlineStr">
        <is>
          <t>Digital literacy cost $9,868 in full in April: $5,509 paid by the Philanthropic foundation grant, and $4,359 of shared costs no grant covers. It has spent 102.1% of its budget to date, with $54,264 left and 11 months to go.</t>
        </is>
      </c>
    </row>
    <row r="54"/>
    <row r="55">
      <c r="A55" s="10" t="inlineStr">
        <is>
          <t>What you'd do about it</t>
        </is>
      </c>
    </row>
    <row r="56" ht="30" customHeight="1">
      <c r="A56" s="3" t="inlineStr">
        <is>
          <t>The full cost is $9,868 a month; $4,359 of it is shared cost the grant doesn't pay for. Worth asking for as much of it as the funder allows at renewal.</t>
        </is>
      </c>
    </row>
    <row r="57"/>
    <row r="58">
      <c r="A58" s="4" t="inlineStr">
        <is>
          <t>Program: Community meals (2025-26)</t>
        </is>
      </c>
    </row>
    <row r="59">
      <c r="A59" s="10" t="inlineStr">
        <is>
          <t>What it shows</t>
        </is>
      </c>
    </row>
    <row r="60" ht="45" customHeight="1">
      <c r="A60" s="3" t="inlineStr">
        <is>
          <t>Community meals (2025-26) cost $6,986 in full in April: $3,900 paid by the Local council community grant grant, and $3,086 of shared costs no grant covers. It has spent 97.6% of its budget to date, with $8,200 left and 2 months to go.</t>
        </is>
      </c>
    </row>
    <row r="61"/>
    <row r="62">
      <c r="A62" s="10" t="inlineStr">
        <is>
          <t>What you'd do about it</t>
        </is>
      </c>
    </row>
    <row r="63" ht="30" customHeight="1">
      <c r="A63" s="3" t="inlineStr">
        <is>
          <t>The full cost is $6,986 a month; $3,086 of it is shared cost the grant doesn't pay for. Worth asking for as much of it as the funder allows at renewal.</t>
        </is>
      </c>
    </row>
    <row r="64"/>
    <row r="65">
      <c r="A65" s="4" t="inlineStr">
        <is>
          <t>Program: Volunteer coordinator</t>
        </is>
      </c>
    </row>
    <row r="66">
      <c r="A66" s="10" t="inlineStr">
        <is>
          <t>What it shows</t>
        </is>
      </c>
    </row>
    <row r="67" ht="45" customHeight="1">
      <c r="A67" s="3" t="inlineStr">
        <is>
          <t>Volunteer coordinator cost $6,368 in full in April: $3,555 paid by the State volunteering grant grant, and $2,813 of shared costs no grant covers. It has spent 108.1% of its budget to date, with $29,513 left and 10 months to go.</t>
        </is>
      </c>
    </row>
    <row r="68"/>
    <row r="69">
      <c r="A69" s="10" t="inlineStr">
        <is>
          <t>What you'd do about it</t>
        </is>
      </c>
    </row>
    <row r="70" ht="30" customHeight="1">
      <c r="A70" s="3" t="inlineStr">
        <is>
          <t>The full cost is $6,368 a month; $2,813 of it is shared cost the grant doesn't pay for. Worth asking for as much of it as the funder allows at renewal.</t>
        </is>
      </c>
    </row>
    <row r="71"/>
    <row r="72">
      <c r="A72" s="4" t="inlineStr">
        <is>
          <t>Every program at once</t>
        </is>
      </c>
    </row>
    <row r="73">
      <c r="A73" s="11" t="inlineStr">
        <is>
          <t>Grant spending, by month: every month is on the Data sheet.</t>
        </is>
      </c>
    </row>
    <row r="74"/>
    <row r="75"/>
  </sheetData>
  <mergeCells count="15">
    <mergeCell ref="A5:D5"/>
    <mergeCell ref="A56:D56"/>
    <mergeCell ref="A67:D67"/>
    <mergeCell ref="A70:D70"/>
    <mergeCell ref="A42:D42"/>
    <mergeCell ref="A53:D53"/>
    <mergeCell ref="A60:D60"/>
    <mergeCell ref="A35:D35"/>
    <mergeCell ref="A63:D63"/>
    <mergeCell ref="A39:D39"/>
    <mergeCell ref="A25:D25"/>
    <mergeCell ref="A49:D49"/>
    <mergeCell ref="A28:D28"/>
    <mergeCell ref="A46:D46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3" manualBreakCount="3">
    <brk id="23" min="0" max="16383" man="1"/>
    <brk id="44" min="0" max="16383" man="1"/>
    <brk id="6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8 Oct 2026, 9:35am</t>
        </is>
      </c>
    </row>
    <row r="4"/>
    <row r="5">
      <c r="A5" s="4" t="inlineStr">
        <is>
          <t>Housing support: full cost, April</t>
        </is>
      </c>
    </row>
    <row r="6">
      <c r="A6" s="11" t="inlineStr">
        <is>
          <t>Grant spending + its share of untied program costs and administration (shared by grant spending)</t>
        </is>
      </c>
    </row>
    <row r="7">
      <c r="A7" s="6" t="inlineStr"/>
      <c r="B7" s="7" t="inlineStr">
        <is>
          <t>Apr 2026</t>
        </is>
      </c>
    </row>
    <row r="8">
      <c r="A8" t="inlineStr">
        <is>
          <t>Grant spending on the program</t>
        </is>
      </c>
      <c r="B8" s="12" t="n">
        <v>23730</v>
      </c>
    </row>
    <row r="9">
      <c r="A9" t="inlineStr">
        <is>
          <t>All grant-funded program spending</t>
        </is>
      </c>
      <c r="B9" s="12" t="n">
        <v>66729</v>
      </c>
    </row>
    <row r="10">
      <c r="A10" t="inlineStr">
        <is>
          <t>Share of program spending</t>
        </is>
      </c>
      <c r="B10" s="13">
        <f>B8/B9</f>
        <v/>
      </c>
    </row>
    <row r="11">
      <c r="A11" t="inlineStr">
        <is>
          <t>Untied program costs (all programs)</t>
        </is>
      </c>
      <c r="B11" s="12" t="n">
        <v>17300</v>
      </c>
    </row>
    <row r="12">
      <c r="A12" t="inlineStr">
        <is>
          <t>Share of untied program costs</t>
        </is>
      </c>
      <c r="B12" s="12">
        <f>B10*B11</f>
        <v/>
      </c>
    </row>
    <row r="13">
      <c r="A13" t="inlineStr">
        <is>
          <t>Administration (all)</t>
        </is>
      </c>
      <c r="B13" s="12" t="n">
        <v>35500</v>
      </c>
    </row>
    <row r="14">
      <c r="A14" t="inlineStr">
        <is>
          <t>Share of administration</t>
        </is>
      </c>
      <c r="B14" s="12">
        <f>B10*B13</f>
        <v/>
      </c>
    </row>
    <row r="15">
      <c r="A15" s="14" t="inlineStr">
        <is>
          <t>Full cost of the program</t>
        </is>
      </c>
      <c r="B15" s="15">
        <f>B8+B12+B14</f>
        <v/>
      </c>
    </row>
    <row r="16"/>
    <row r="17"/>
    <row r="18">
      <c r="A18" s="4" t="inlineStr">
        <is>
          <t>Youth outreach: full cost, April</t>
        </is>
      </c>
    </row>
    <row r="19">
      <c r="A19" s="11" t="inlineStr">
        <is>
          <t>Grant spending + its share of untied program costs and administration (shared by grant spending)</t>
        </is>
      </c>
    </row>
    <row r="20">
      <c r="A20" s="6" t="inlineStr"/>
      <c r="B20" s="7" t="inlineStr">
        <is>
          <t>Apr 2026</t>
        </is>
      </c>
    </row>
    <row r="21">
      <c r="A21" t="inlineStr">
        <is>
          <t>Grant spending on the program</t>
        </is>
      </c>
      <c r="B21" s="12" t="n">
        <v>20451</v>
      </c>
    </row>
    <row r="22">
      <c r="A22" t="inlineStr">
        <is>
          <t>All grant-funded program spending</t>
        </is>
      </c>
      <c r="B22" s="12" t="n">
        <v>66729</v>
      </c>
    </row>
    <row r="23">
      <c r="A23" t="inlineStr">
        <is>
          <t>Share of program spending</t>
        </is>
      </c>
      <c r="B23" s="13">
        <f>B21/B22</f>
        <v/>
      </c>
    </row>
    <row r="24">
      <c r="A24" t="inlineStr">
        <is>
          <t>Untied program costs (all programs)</t>
        </is>
      </c>
      <c r="B24" s="12" t="n">
        <v>17300</v>
      </c>
    </row>
    <row r="25">
      <c r="A25" t="inlineStr">
        <is>
          <t>Share of untied program costs</t>
        </is>
      </c>
      <c r="B25" s="12">
        <f>B23*B24</f>
        <v/>
      </c>
    </row>
    <row r="26">
      <c r="A26" t="inlineStr">
        <is>
          <t>Administration (all)</t>
        </is>
      </c>
      <c r="B26" s="12" t="n">
        <v>35500</v>
      </c>
    </row>
    <row r="27">
      <c r="A27" t="inlineStr">
        <is>
          <t>Share of administration</t>
        </is>
      </c>
      <c r="B27" s="12">
        <f>B23*B26</f>
        <v/>
      </c>
    </row>
    <row r="28">
      <c r="A28" s="14" t="inlineStr">
        <is>
          <t>Full cost of the program</t>
        </is>
      </c>
      <c r="B28" s="15">
        <f>B21+B25+B27</f>
        <v/>
      </c>
    </row>
    <row r="29"/>
    <row r="30"/>
    <row r="31">
      <c r="A31" s="4" t="inlineStr">
        <is>
          <t>Mental health first aid: full cost, April</t>
        </is>
      </c>
    </row>
    <row r="32">
      <c r="A32" s="11" t="inlineStr">
        <is>
          <t>Grant spending + its share of untied program costs and administration (shared by grant spending)</t>
        </is>
      </c>
    </row>
    <row r="33">
      <c r="A33" s="6" t="inlineStr"/>
      <c r="B33" s="7" t="inlineStr">
        <is>
          <t>Apr 2026</t>
        </is>
      </c>
    </row>
    <row r="34">
      <c r="A34" t="inlineStr">
        <is>
          <t>Grant spending on the program</t>
        </is>
      </c>
      <c r="B34" s="12" t="n">
        <v>9584</v>
      </c>
    </row>
    <row r="35">
      <c r="A35" t="inlineStr">
        <is>
          <t>All grant-funded program spending</t>
        </is>
      </c>
      <c r="B35" s="12" t="n">
        <v>66729</v>
      </c>
    </row>
    <row r="36">
      <c r="A36" t="inlineStr">
        <is>
          <t>Share of program spending</t>
        </is>
      </c>
      <c r="B36" s="13">
        <f>B34/B35</f>
        <v/>
      </c>
    </row>
    <row r="37">
      <c r="A37" t="inlineStr">
        <is>
          <t>Untied program costs (all programs)</t>
        </is>
      </c>
      <c r="B37" s="12" t="n">
        <v>17300</v>
      </c>
    </row>
    <row r="38">
      <c r="A38" t="inlineStr">
        <is>
          <t>Share of untied program costs</t>
        </is>
      </c>
      <c r="B38" s="12">
        <f>B36*B37</f>
        <v/>
      </c>
    </row>
    <row r="39">
      <c r="A39" t="inlineStr">
        <is>
          <t>Administration (all)</t>
        </is>
      </c>
      <c r="B39" s="12" t="n">
        <v>35500</v>
      </c>
    </row>
    <row r="40">
      <c r="A40" t="inlineStr">
        <is>
          <t>Share of administration</t>
        </is>
      </c>
      <c r="B40" s="12">
        <f>B36*B39</f>
        <v/>
      </c>
    </row>
    <row r="41">
      <c r="A41" s="14" t="inlineStr">
        <is>
          <t>Full cost of the program</t>
        </is>
      </c>
      <c r="B41" s="15">
        <f>B34+B38+B40</f>
        <v/>
      </c>
    </row>
    <row r="42"/>
    <row r="43"/>
    <row r="44">
      <c r="A44" s="4" t="inlineStr">
        <is>
          <t>Digital literacy: full cost, April</t>
        </is>
      </c>
    </row>
    <row r="45">
      <c r="A45" s="11" t="inlineStr">
        <is>
          <t>Grant spending + its share of untied program costs and administration (shared by grant spending)</t>
        </is>
      </c>
    </row>
    <row r="46">
      <c r="A46" s="6" t="inlineStr"/>
      <c r="B46" s="7" t="inlineStr">
        <is>
          <t>Apr 2026</t>
        </is>
      </c>
    </row>
    <row r="47">
      <c r="A47" t="inlineStr">
        <is>
          <t>Grant spending on the program</t>
        </is>
      </c>
      <c r="B47" s="12" t="n">
        <v>5509</v>
      </c>
    </row>
    <row r="48">
      <c r="A48" t="inlineStr">
        <is>
          <t>All grant-funded program spending</t>
        </is>
      </c>
      <c r="B48" s="12" t="n">
        <v>66729</v>
      </c>
    </row>
    <row r="49">
      <c r="A49" t="inlineStr">
        <is>
          <t>Share of program spending</t>
        </is>
      </c>
      <c r="B49" s="13">
        <f>B47/B48</f>
        <v/>
      </c>
    </row>
    <row r="50">
      <c r="A50" t="inlineStr">
        <is>
          <t>Untied program costs (all programs)</t>
        </is>
      </c>
      <c r="B50" s="12" t="n">
        <v>17300</v>
      </c>
    </row>
    <row r="51">
      <c r="A51" t="inlineStr">
        <is>
          <t>Share of untied program costs</t>
        </is>
      </c>
      <c r="B51" s="12">
        <f>B49*B50</f>
        <v/>
      </c>
    </row>
    <row r="52">
      <c r="A52" t="inlineStr">
        <is>
          <t>Administration (all)</t>
        </is>
      </c>
      <c r="B52" s="12" t="n">
        <v>35500</v>
      </c>
    </row>
    <row r="53">
      <c r="A53" t="inlineStr">
        <is>
          <t>Share of administration</t>
        </is>
      </c>
      <c r="B53" s="12">
        <f>B49*B52</f>
        <v/>
      </c>
    </row>
    <row r="54">
      <c r="A54" s="14" t="inlineStr">
        <is>
          <t>Full cost of the program</t>
        </is>
      </c>
      <c r="B54" s="15">
        <f>B47+B51+B53</f>
        <v/>
      </c>
    </row>
    <row r="55"/>
    <row r="56"/>
    <row r="57">
      <c r="A57" s="4" t="inlineStr">
        <is>
          <t>Community meals (2025-26): full cost, April</t>
        </is>
      </c>
    </row>
    <row r="58">
      <c r="A58" s="11" t="inlineStr">
        <is>
          <t>Grant spending + its share of untied program costs and administration (shared by grant spending)</t>
        </is>
      </c>
    </row>
    <row r="59">
      <c r="A59" s="6" t="inlineStr"/>
      <c r="B59" s="7" t="inlineStr">
        <is>
          <t>Apr 2026</t>
        </is>
      </c>
    </row>
    <row r="60">
      <c r="A60" t="inlineStr">
        <is>
          <t>Grant spending on the program</t>
        </is>
      </c>
      <c r="B60" s="12" t="n">
        <v>3900</v>
      </c>
    </row>
    <row r="61">
      <c r="A61" t="inlineStr">
        <is>
          <t>All grant-funded program spending</t>
        </is>
      </c>
      <c r="B61" s="12" t="n">
        <v>66729</v>
      </c>
    </row>
    <row r="62">
      <c r="A62" t="inlineStr">
        <is>
          <t>Share of program spending</t>
        </is>
      </c>
      <c r="B62" s="13">
        <f>B60/B61</f>
        <v/>
      </c>
    </row>
    <row r="63">
      <c r="A63" t="inlineStr">
        <is>
          <t>Untied program costs (all programs)</t>
        </is>
      </c>
      <c r="B63" s="12" t="n">
        <v>17300</v>
      </c>
    </row>
    <row r="64">
      <c r="A64" t="inlineStr">
        <is>
          <t>Share of untied program costs</t>
        </is>
      </c>
      <c r="B64" s="12">
        <f>B62*B63</f>
        <v/>
      </c>
    </row>
    <row r="65">
      <c r="A65" t="inlineStr">
        <is>
          <t>Administration (all)</t>
        </is>
      </c>
      <c r="B65" s="12" t="n">
        <v>35500</v>
      </c>
    </row>
    <row r="66">
      <c r="A66" t="inlineStr">
        <is>
          <t>Share of administration</t>
        </is>
      </c>
      <c r="B66" s="12">
        <f>B62*B65</f>
        <v/>
      </c>
    </row>
    <row r="67">
      <c r="A67" s="14" t="inlineStr">
        <is>
          <t>Full cost of the program</t>
        </is>
      </c>
      <c r="B67" s="15">
        <f>B60+B64+B66</f>
        <v/>
      </c>
    </row>
    <row r="68"/>
    <row r="69"/>
    <row r="70">
      <c r="A70" s="4" t="inlineStr">
        <is>
          <t>Volunteer coordinator: full cost, April</t>
        </is>
      </c>
    </row>
    <row r="71">
      <c r="A71" s="11" t="inlineStr">
        <is>
          <t>Grant spending + its share of untied program costs and administration (shared by grant spending)</t>
        </is>
      </c>
    </row>
    <row r="72">
      <c r="A72" s="6" t="inlineStr"/>
      <c r="B72" s="7" t="inlineStr">
        <is>
          <t>Apr 2026</t>
        </is>
      </c>
    </row>
    <row r="73">
      <c r="A73" t="inlineStr">
        <is>
          <t>Grant spending on the program</t>
        </is>
      </c>
      <c r="B73" s="12" t="n">
        <v>3555</v>
      </c>
    </row>
    <row r="74">
      <c r="A74" t="inlineStr">
        <is>
          <t>All grant-funded program spending</t>
        </is>
      </c>
      <c r="B74" s="12" t="n">
        <v>66729</v>
      </c>
    </row>
    <row r="75">
      <c r="A75" t="inlineStr">
        <is>
          <t>Share of program spending</t>
        </is>
      </c>
      <c r="B75" s="13">
        <f>B73/B74</f>
        <v/>
      </c>
    </row>
    <row r="76">
      <c r="A76" t="inlineStr">
        <is>
          <t>Untied program costs (all programs)</t>
        </is>
      </c>
      <c r="B76" s="12" t="n">
        <v>17300</v>
      </c>
    </row>
    <row r="77">
      <c r="A77" t="inlineStr">
        <is>
          <t>Share of untied program costs</t>
        </is>
      </c>
      <c r="B77" s="12">
        <f>B75*B76</f>
        <v/>
      </c>
    </row>
    <row r="78">
      <c r="A78" t="inlineStr">
        <is>
          <t>Administration (all)</t>
        </is>
      </c>
      <c r="B78" s="12" t="n">
        <v>35500</v>
      </c>
    </row>
    <row r="79">
      <c r="A79" t="inlineStr">
        <is>
          <t>Share of administration</t>
        </is>
      </c>
      <c r="B79" s="12">
        <f>B75*B78</f>
        <v/>
      </c>
    </row>
    <row r="80">
      <c r="A80" s="14" t="inlineStr">
        <is>
          <t>Full cost of the program</t>
        </is>
      </c>
      <c r="B80" s="15">
        <f>B73+B77+B79</f>
        <v/>
      </c>
    </row>
    <row r="81"/>
    <row r="82"/>
    <row r="8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8 Oct 2026, 9:35am</t>
        </is>
      </c>
    </row>
    <row r="4"/>
    <row r="5">
      <c r="A5" t="inlineStr">
        <is>
          <t>All grant-funded program spending, April 2026</t>
        </is>
      </c>
      <c r="B5" s="8" t="n">
        <v>66729</v>
      </c>
    </row>
    <row r="6">
      <c r="A6" t="inlineStr">
        <is>
          <t>Untied program costs, April 2026 (all programs)</t>
        </is>
      </c>
      <c r="B6" s="8" t="n">
        <v>17300</v>
      </c>
    </row>
    <row r="7">
      <c r="A7" t="inlineStr">
        <is>
          <t>Administration, April 2026 (all)</t>
        </is>
      </c>
      <c r="B7" s="8" t="n">
        <v>35500</v>
      </c>
    </row>
    <row r="8"/>
    <row r="9">
      <c r="A9" s="6" t="inlineStr">
        <is>
          <t>Program</t>
        </is>
      </c>
      <c r="B9" s="7" t="inlineStr">
        <is>
          <t>Grant spending, Apr 2026</t>
        </is>
      </c>
      <c r="C9" s="7" t="inlineStr">
        <is>
          <t>Share</t>
        </is>
      </c>
      <c r="D9" s="7" t="inlineStr">
        <is>
          <t>Untied costs share</t>
        </is>
      </c>
      <c r="E9" s="7" t="inlineStr">
        <is>
          <t>Administration share</t>
        </is>
      </c>
      <c r="F9" s="7" t="inlineStr">
        <is>
          <t>Full cost</t>
        </is>
      </c>
    </row>
    <row r="10">
      <c r="A10" s="16" t="inlineStr">
        <is>
          <t>Housing support</t>
        </is>
      </c>
      <c r="B10" s="12" t="n">
        <v>23730</v>
      </c>
      <c r="C10" s="13">
        <f>B10/$B$5</f>
        <v/>
      </c>
      <c r="D10" s="12">
        <f>C10*$B$6</f>
        <v/>
      </c>
      <c r="E10" s="12">
        <f>C10*$B$7</f>
        <v/>
      </c>
      <c r="F10" s="12">
        <f>B10+D10+E10</f>
        <v/>
      </c>
    </row>
    <row r="11">
      <c r="A11" s="16" t="inlineStr">
        <is>
          <t>Youth outreach</t>
        </is>
      </c>
      <c r="B11" s="12" t="n">
        <v>20451</v>
      </c>
      <c r="C11" s="13">
        <f>B11/$B$5</f>
        <v/>
      </c>
      <c r="D11" s="12">
        <f>C11*$B$6</f>
        <v/>
      </c>
      <c r="E11" s="12">
        <f>C11*$B$7</f>
        <v/>
      </c>
      <c r="F11" s="12">
        <f>B11+D11+E11</f>
        <v/>
      </c>
    </row>
    <row r="12">
      <c r="A12" s="16" t="inlineStr">
        <is>
          <t>Mental health first aid</t>
        </is>
      </c>
      <c r="B12" s="12" t="n">
        <v>9584</v>
      </c>
      <c r="C12" s="13">
        <f>B12/$B$5</f>
        <v/>
      </c>
      <c r="D12" s="12">
        <f>C12*$B$6</f>
        <v/>
      </c>
      <c r="E12" s="12">
        <f>C12*$B$7</f>
        <v/>
      </c>
      <c r="F12" s="12">
        <f>B12+D12+E12</f>
        <v/>
      </c>
    </row>
    <row r="13">
      <c r="A13" s="16" t="inlineStr">
        <is>
          <t>Digital literacy</t>
        </is>
      </c>
      <c r="B13" s="12" t="n">
        <v>5509</v>
      </c>
      <c r="C13" s="13">
        <f>B13/$B$5</f>
        <v/>
      </c>
      <c r="D13" s="12">
        <f>C13*$B$6</f>
        <v/>
      </c>
      <c r="E13" s="12">
        <f>C13*$B$7</f>
        <v/>
      </c>
      <c r="F13" s="12">
        <f>B13+D13+E13</f>
        <v/>
      </c>
    </row>
    <row r="14">
      <c r="A14" s="16" t="inlineStr">
        <is>
          <t>Community meals (2025-26)</t>
        </is>
      </c>
      <c r="B14" s="12" t="n">
        <v>3900</v>
      </c>
      <c r="C14" s="13">
        <f>B14/$B$5</f>
        <v/>
      </c>
      <c r="D14" s="12">
        <f>C14*$B$6</f>
        <v/>
      </c>
      <c r="E14" s="12">
        <f>C14*$B$7</f>
        <v/>
      </c>
      <c r="F14" s="12">
        <f>B14+D14+E14</f>
        <v/>
      </c>
    </row>
    <row r="15">
      <c r="A15" s="16" t="inlineStr">
        <is>
          <t>Volunteer coordinator</t>
        </is>
      </c>
      <c r="B15" s="12" t="n">
        <v>3555</v>
      </c>
      <c r="C15" s="13">
        <f>B15/$B$5</f>
        <v/>
      </c>
      <c r="D15" s="12">
        <f>C15*$B$6</f>
        <v/>
      </c>
      <c r="E15" s="12">
        <f>C15*$B$7</f>
        <v/>
      </c>
      <c r="F15" s="12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8 Oct 2026, 9:35am&amp;R&amp;"Roboto,Regular"&amp;8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2026-10-07T23:36:03Z</dcterms:created>
  <dcterms:modified xmlns:dcterms="http://purl.org/dc/terms/" xmlns:xsi="http://www.w3.org/2001/XMLSchema-instance" xsi:type="dcterms:W3CDTF">2026-10-07T23:36:03Z</dcterms:modified>
</cp:coreProperties>
</file>