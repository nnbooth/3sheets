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April_all_fundraising">'Report'!$B$10</definedName>
    <definedName name="Year_to_date_Jul_to_Apr_2026">'Report'!$B$11</definedName>
    <definedName name="April_Grants">'Report'!$B$35</definedName>
    <definedName name="Year_to_date_Jul_to_Apr_2026_2">'Report'!$B$36</definedName>
    <definedName name="April_Donations">'Report'!$B$46</definedName>
    <definedName name="Year_to_date_Jul_to_Apr_2026_3">'Report'!$B$47</definedName>
    <definedName name="April_Fundraising_events">'Report'!$B$57</definedName>
    <definedName name="Year_to_date_Jul_to_Apr_2026_4">'Report'!$B$58</definedName>
    <definedName name="_xlnm.Print_Area" localSheetId="0">'Report'!$A$1:$D$67</definedName>
    <definedName name="_xlnm.Print_Area" localSheetId="1">'Workings'!$A$1:$C$82</definedName>
    <definedName name="_xlnm.Print_Titles" localSheetId="2">'Data'!$5:$5</definedName>
    <definedName name="_xlnm.Print_Area" localSheetId="2">'Data'!$A$1:$I$24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April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'Data'!$A$6:$A$24</f>
            </numRef>
          </cat>
          <val>
            <numRef>
              <f>'Data'!$C$6:$C$24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4" headerRowCount="1">
  <autoFilter ref="A5:I24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11¢ in April, and 14¢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April · all fundraising</t>
        </is>
      </c>
      <c r="B10" s="8">
        <f>Workings!B10</f>
        <v/>
      </c>
      <c r="C10" s="9" t="inlineStr">
        <is>
          <t>March 13¢</t>
        </is>
      </c>
    </row>
    <row r="11">
      <c r="A11" t="inlineStr">
        <is>
          <t>Year to date (Jul to Apr 2026)</t>
        </is>
      </c>
      <c r="B11" s="8">
        <f>Workings!B18</f>
        <v/>
      </c>
      <c r="C11" s="9" t="inlineStr">
        <is>
          <t>same period last year: not in the data</t>
        </is>
      </c>
    </row>
    <row r="12"/>
    <row r="13">
      <c r="A13" s="10" t="inlineStr">
        <is>
          <t>Cost to raise a dollar, by source, April 2026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11</v>
      </c>
    </row>
    <row r="16">
      <c r="A16" t="inlineStr">
        <is>
          <t>Donations</t>
        </is>
      </c>
      <c r="B16" s="8" t="n">
        <v>13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April cost 11¢ to raise each dollar, against 13¢ in March. This financial year to date it has cost 14¢ a dollar.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April · Grants</t>
        </is>
      </c>
      <c r="B35" s="8">
        <f>Workings!B39</f>
        <v/>
      </c>
      <c r="C35" s="9" t="inlineStr">
        <is>
          <t>March 13¢</t>
        </is>
      </c>
    </row>
    <row r="36">
      <c r="A36" t="inlineStr">
        <is>
          <t>Year to date (Jul to Apr 2026)</t>
        </is>
      </c>
      <c r="B36" s="8">
        <f>Workings!B47</f>
        <v/>
      </c>
      <c r="C36" s="9" t="inlineStr">
        <is>
          <t>same period last year: not in the data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11¢ to raise each dollar this financial year to date ($71,000 of grant writing and reporting for $626,965).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April · Donations</t>
        </is>
      </c>
      <c r="B46" s="8">
        <f>Workings!B56</f>
        <v/>
      </c>
      <c r="C46" s="9" t="inlineStr">
        <is>
          <t>March 13¢</t>
        </is>
      </c>
    </row>
    <row r="47">
      <c r="A47" t="inlineStr">
        <is>
          <t>Year to date (Jul to Apr 2026)</t>
        </is>
      </c>
      <c r="B47" s="8">
        <f>Workings!B64</f>
        <v/>
      </c>
      <c r="C47" s="9" t="inlineStr">
        <is>
          <t>same period last year: not in the data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15¢ to raise each dollar this financial year to date ($25,100 of donor campaigns for $169,200).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April · Fundraising events</t>
        </is>
      </c>
      <c r="B57" t="inlineStr">
        <is>
          <t>–</t>
        </is>
      </c>
      <c r="C57" s="9" t="inlineStr">
        <is>
          <t>March none raised</t>
        </is>
      </c>
    </row>
    <row r="58">
      <c r="A58" t="inlineStr">
        <is>
          <t>Year to date (Jul to Apr 2026)</t>
        </is>
      </c>
      <c r="B58" s="8">
        <f>Workings!B81</f>
        <v/>
      </c>
      <c r="C58" s="9" t="inlineStr">
        <is>
          <t>same period last year: not in the data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41¢ to raise each dollar this financial year to date ($17,800 of event costs for $43,000).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April and March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Apr 26</t>
        </is>
      </c>
      <c r="C7" s="7" t="inlineStr">
        <is>
          <t>Mar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83329</v>
      </c>
      <c r="C9" s="13" t="n">
        <v>70306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113900</v>
      </c>
    </row>
    <row r="17">
      <c r="A17" t="inlineStr">
        <is>
          <t>Raised, year to date</t>
        </is>
      </c>
      <c r="B17" s="13" t="n">
        <v>839165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5" t="inlineStr">
        <is>
          <t>Cost to raise a dollar, by source, April 2026</t>
        </is>
      </c>
    </row>
    <row r="23">
      <c r="A23" s="12" t="inlineStr">
        <is>
          <t>Fundraising cost ÷ money raised, for each source, in cents</t>
        </is>
      </c>
    </row>
    <row r="24">
      <c r="A24" s="6" t="inlineStr"/>
      <c r="B24" s="7" t="inlineStr">
        <is>
          <t>Apr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66729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16600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April. </t>
        </is>
      </c>
    </row>
    <row r="32"/>
    <row r="33"/>
    <row r="34">
      <c r="A34" s="5" t="inlineStr">
        <is>
          <t>Cost to raise a dollar, grants, April and March</t>
        </is>
      </c>
    </row>
    <row r="35">
      <c r="A35" s="12" t="inlineStr">
        <is>
          <t>Cost of raising it ÷ money raised, in cents</t>
        </is>
      </c>
    </row>
    <row r="36">
      <c r="A36" s="6" t="inlineStr"/>
      <c r="B36" s="7" t="inlineStr">
        <is>
          <t>Apr 26</t>
        </is>
      </c>
      <c r="C36" s="7" t="inlineStr">
        <is>
          <t>Mar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66729</v>
      </c>
      <c r="C38" s="13" t="n">
        <v>53806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5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6" t="inlineStr"/>
      <c r="B44" s="7" t="inlineStr">
        <is>
          <t>Year to date</t>
        </is>
      </c>
    </row>
    <row r="45">
      <c r="A45" t="inlineStr">
        <is>
          <t>Cost, year to date</t>
        </is>
      </c>
      <c r="B45" s="13" t="n">
        <v>71000</v>
      </c>
    </row>
    <row r="46">
      <c r="A46" t="inlineStr">
        <is>
          <t>Raised, year to date</t>
        </is>
      </c>
      <c r="B46" s="13" t="n">
        <v>626965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5" t="inlineStr">
        <is>
          <t>Cost to raise a dollar, donations, April and March</t>
        </is>
      </c>
    </row>
    <row r="52">
      <c r="A52" s="12" t="inlineStr">
        <is>
          <t>Cost of raising it ÷ money raised, in cents</t>
        </is>
      </c>
    </row>
    <row r="53">
      <c r="A53" s="6" t="inlineStr"/>
      <c r="B53" s="7" t="inlineStr">
        <is>
          <t>Apr 26</t>
        </is>
      </c>
      <c r="C53" s="7" t="inlineStr">
        <is>
          <t>Mar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16600</v>
      </c>
      <c r="C55" s="13" t="n">
        <v>16500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5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6" t="inlineStr"/>
      <c r="B61" s="7" t="inlineStr">
        <is>
          <t>Year to date</t>
        </is>
      </c>
    </row>
    <row r="62">
      <c r="A62" t="inlineStr">
        <is>
          <t>Cost, year to date</t>
        </is>
      </c>
      <c r="B62" s="13" t="n">
        <v>25100</v>
      </c>
    </row>
    <row r="63">
      <c r="A63" t="inlineStr">
        <is>
          <t>Raised, year to date</t>
        </is>
      </c>
      <c r="B63" s="13" t="n">
        <v>169200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5" t="inlineStr">
        <is>
          <t>Cost to raise a dollar, fundraising events, April and March</t>
        </is>
      </c>
    </row>
    <row r="69">
      <c r="A69" s="12" t="inlineStr">
        <is>
          <t>Cost of raising it ÷ money raised, in cents</t>
        </is>
      </c>
    </row>
    <row r="70">
      <c r="A70" s="6" t="inlineStr"/>
      <c r="B70" s="7" t="inlineStr">
        <is>
          <t>Apr 26</t>
        </is>
      </c>
      <c r="C70" s="7" t="inlineStr">
        <is>
          <t>Mar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5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6" t="inlineStr"/>
      <c r="B78" s="7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2026-10-10T11:56:57Z</dcterms:created>
  <dcterms:modified xmlns:dcterms="http://purl.org/dc/terms/" xmlns:xsi="http://www.w3.org/2001/XMLSchema-instance" xsi:type="dcterms:W3CDTF">2026-10-10T11:56:57Z</dcterms:modified>
</cp:coreProperties>
</file>