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April 2026</t>
        </is>
      </c>
      <c r="B8" s="6">
        <f>Workings!B10</f>
        <v/>
      </c>
      <c r="C8" s="7" t="inlineStr">
        <is>
          <t>March $227</t>
        </is>
      </c>
    </row>
    <row r="9">
      <c r="A9" t="inlineStr">
        <is>
          <t>April last year</t>
        </is>
      </c>
      <c r="B9" s="6">
        <f>Workings!B18</f>
        <v/>
      </c>
      <c r="C9" s="7" t="inlineStr">
        <is>
          <t>30 new customers from $8,400</t>
        </is>
      </c>
    </row>
    <row r="10">
      <c r="A10" t="inlineStr">
        <is>
          <t>Year to date (Jul to Apr 2026)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35 new customers came from $8,400 of marketing in April, against 37 from $8,400 in March: $240 each, up from $227.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Worth knowing which channels brought this month's customers in: recording the source of each new customer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10" t="inlineStr">
        <is>
          <t>Cost to win a customer, April and March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Apr 26</t>
        </is>
      </c>
      <c r="C7" s="5" t="inlineStr">
        <is>
          <t>Mar 26</t>
        </is>
      </c>
    </row>
    <row r="8">
      <c r="A8" t="inlineStr">
        <is>
          <t>Marketing spend (ledger)</t>
        </is>
      </c>
      <c r="B8" s="11" t="n">
        <v>8400</v>
      </c>
      <c r="C8" s="11" t="n">
        <v>8400</v>
      </c>
    </row>
    <row r="9">
      <c r="A9" t="inlineStr">
        <is>
          <t>New customers (first job ever)</t>
        </is>
      </c>
      <c r="B9" s="11" t="n">
        <v>35</v>
      </c>
      <c r="C9" s="11" t="n">
        <v>37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Apr 25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Apr 25</t>
        </is>
      </c>
    </row>
    <row r="16">
      <c r="A16" t="inlineStr">
        <is>
          <t>Marketing spend (ledger)</t>
        </is>
      </c>
      <c r="B16" s="11" t="n">
        <v>8400</v>
      </c>
    </row>
    <row r="17">
      <c r="A17" t="inlineStr">
        <is>
          <t>New customers (first job ever)</t>
        </is>
      </c>
      <c r="B17" s="11" t="n">
        <v>30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Apr 2026</t>
        </is>
      </c>
      <c r="B24" s="11" t="n">
        <v>83600</v>
      </c>
    </row>
    <row r="25">
      <c r="A25" t="inlineStr">
        <is>
          <t>New customers, Jul to Apr 2026</t>
        </is>
      </c>
      <c r="B25" s="11" t="n">
        <v>366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  <row r="21">
      <c r="A21" s="14" t="inlineStr">
        <is>
          <t>Jan 26</t>
        </is>
      </c>
      <c r="B21" s="14" t="inlineStr">
        <is>
          <t>Locked</t>
        </is>
      </c>
      <c r="C21" s="11" t="n">
        <v>8000</v>
      </c>
      <c r="D21" s="11" t="n">
        <v>44</v>
      </c>
      <c r="E21" s="11">
        <f>C21/D21</f>
        <v/>
      </c>
    </row>
    <row r="22">
      <c r="A22" s="14" t="inlineStr">
        <is>
          <t>Feb 26</t>
        </is>
      </c>
      <c r="B22" s="14" t="inlineStr">
        <is>
          <t>Locked</t>
        </is>
      </c>
      <c r="C22" s="11" t="n">
        <v>8600</v>
      </c>
      <c r="D22" s="11" t="n">
        <v>39</v>
      </c>
      <c r="E22" s="11">
        <f>C22/D22</f>
        <v/>
      </c>
    </row>
    <row r="23">
      <c r="A23" s="14" t="inlineStr">
        <is>
          <t>Mar 26</t>
        </is>
      </c>
      <c r="B23" s="14" t="inlineStr">
        <is>
          <t>Locked</t>
        </is>
      </c>
      <c r="C23" s="11" t="n">
        <v>8400</v>
      </c>
      <c r="D23" s="11" t="n">
        <v>37</v>
      </c>
      <c r="E23" s="11">
        <f>C23/D23</f>
        <v/>
      </c>
    </row>
    <row r="24">
      <c r="A24" s="14" t="inlineStr">
        <is>
          <t>Apr 26</t>
        </is>
      </c>
      <c r="B24" s="14" t="inlineStr">
        <is>
          <t>Locked</t>
        </is>
      </c>
      <c r="C24" s="11" t="n">
        <v>8400</v>
      </c>
      <c r="D24" s="11" t="n">
        <v>35</v>
      </c>
      <c r="E24" s="11">
        <f>C24/D24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2026-10-07T07:37:07Z</dcterms:created>
  <dcterms:modified xmlns:dcterms="http://purl.org/dc/terms/" xmlns:xsi="http://www.w3.org/2001/XMLSchema-instance" xsi:type="dcterms:W3CDTF">2026-10-07T07:37:07Z</dcterms:modified>
</cp:coreProperties>
</file>