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25342A"/>
    </font>
    <font>
      <b val="1"/>
      <color rgb="00FFFFFF"/>
    </font>
    <font>
      <i val="1"/>
      <color rgb="005F6F63"/>
    </font>
    <font>
      <b val="1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January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Digital literacy</t>
        </is>
      </c>
      <c r="B12" s="8">
        <f>Workings!B41</f>
        <v/>
      </c>
      <c r="C12" s="9">
        <f>Workings!B36</f>
        <v/>
      </c>
    </row>
    <row r="13">
      <c r="A13" t="inlineStr">
        <is>
          <t>Community meals (2025-26)</t>
        </is>
      </c>
      <c r="B13" s="8">
        <f>Workings!B54</f>
        <v/>
      </c>
      <c r="C13" s="9">
        <f>Workings!B49</f>
        <v/>
      </c>
    </row>
    <row r="14"/>
    <row r="15">
      <c r="A15" s="10" t="inlineStr">
        <is>
          <t>What it shows</t>
        </is>
      </c>
    </row>
    <row r="16" ht="45" customHeight="1">
      <c r="A16" s="3" t="inlineStr">
        <is>
          <t>Housing support is the biggest program: $57,236 in January once its share of untied program costs and administration is added to $30,502 of grant spending. Shared costs add 87.6% on top of grant spending across all programs.</t>
        </is>
      </c>
    </row>
    <row r="17"/>
    <row r="18">
      <c r="A18" s="10" t="inlineStr">
        <is>
          <t>What you'd do about it</t>
        </is>
      </c>
    </row>
    <row r="19" ht="30" customHeight="1">
      <c r="A19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0"/>
    <row r="21">
      <c r="A21" s="4" t="inlineStr">
        <is>
          <t>Program: Housing support</t>
        </is>
      </c>
    </row>
    <row r="22">
      <c r="A22" s="10" t="inlineStr">
        <is>
          <t>What it shows</t>
        </is>
      </c>
    </row>
    <row r="23" ht="45" customHeight="1">
      <c r="A23" s="3" t="inlineStr">
        <is>
          <t>Housing support cost $57,236 in full in January: $30,502 paid by the State Housing Program grant, and $26,734 of shared costs no grant covers. It has spent 101.7% of its budget to date, with $329,498 left and 11 months to go.</t>
        </is>
      </c>
    </row>
    <row r="24"/>
    <row r="25">
      <c r="A25" s="10" t="inlineStr">
        <is>
          <t>What you'd do about it</t>
        </is>
      </c>
    </row>
    <row r="26" ht="30" customHeight="1">
      <c r="A26" s="3" t="inlineStr">
        <is>
          <t>The full cost is $57,236 a month; $26,734 of it is shared cost the grant doesn't pay for. Worth asking for as much of it as the funder allows at renewal.</t>
        </is>
      </c>
    </row>
    <row r="27"/>
    <row r="28">
      <c r="A28" s="4" t="inlineStr">
        <is>
          <t>Program: Youth outreach</t>
        </is>
      </c>
    </row>
    <row r="29">
      <c r="A29" s="10" t="inlineStr">
        <is>
          <t>What it shows</t>
        </is>
      </c>
    </row>
    <row r="30" ht="45" customHeight="1">
      <c r="A30" s="3" t="inlineStr">
        <is>
          <t>Youth outreach cost $39,701 in full in January: $21,157 paid by the State Department of Families grant, and $18,544 of shared costs no grant covers. It has spent 99.6% of its budget to date, with $340,523 left and 17 months to go.</t>
        </is>
      </c>
    </row>
    <row r="31"/>
    <row r="32">
      <c r="A32" s="10" t="inlineStr">
        <is>
          <t>What you'd do about it</t>
        </is>
      </c>
    </row>
    <row r="33" ht="30" customHeight="1">
      <c r="A33" s="3" t="inlineStr">
        <is>
          <t>The full cost is $39,701 a month; $18,544 of it is shared cost the grant doesn't pay for. Worth asking for as much of it as the funder allows at renewal.</t>
        </is>
      </c>
    </row>
    <row r="34"/>
    <row r="35">
      <c r="A35" s="4" t="inlineStr">
        <is>
          <t>Program: Digital literacy</t>
        </is>
      </c>
    </row>
    <row r="36">
      <c r="A36" s="10" t="inlineStr">
        <is>
          <t>What it shows</t>
        </is>
      </c>
    </row>
    <row r="37" ht="45" customHeight="1">
      <c r="A37" s="3" t="inlineStr">
        <is>
          <t>Digital literacy cost $8,305 in full in January: $4,426 paid by the Philanthropic foundation grant, and $3,879 of shared costs no grant covers. It has spent 97.0% of its budget to date, with $70,608 left and 14 months to go.</t>
        </is>
      </c>
    </row>
    <row r="38"/>
    <row r="39">
      <c r="A39" s="10" t="inlineStr">
        <is>
          <t>What you'd do about it</t>
        </is>
      </c>
    </row>
    <row r="40" ht="30" customHeight="1">
      <c r="A40" s="3" t="inlineStr">
        <is>
          <t>The full cost is $8,305 a month; $3,879 of it is shared cost the grant doesn't pay for. Worth asking for as much of it as the funder allows at renewal.</t>
        </is>
      </c>
    </row>
    <row r="41"/>
    <row r="42">
      <c r="A42" s="4" t="inlineStr">
        <is>
          <t>Program: Community meals (2025-26)</t>
        </is>
      </c>
    </row>
    <row r="43">
      <c r="A43" s="10" t="inlineStr">
        <is>
          <t>What it shows</t>
        </is>
      </c>
    </row>
    <row r="44" ht="45" customHeight="1">
      <c r="A44" s="3" t="inlineStr">
        <is>
          <t>Community meals (2025-26) cost $6,943 in full in January: $3,700 paid by the Local council community grant grant, and $3,243 of shared costs no grant covers. It has spent 96.2% of its budget to date, with $19,300 left and 5 months to go.</t>
        </is>
      </c>
    </row>
    <row r="45"/>
    <row r="46">
      <c r="A46" s="10" t="inlineStr">
        <is>
          <t>What you'd do about it</t>
        </is>
      </c>
    </row>
    <row r="47" ht="30" customHeight="1">
      <c r="A47" s="3" t="inlineStr">
        <is>
          <t>The full cost is $6,943 a month; $3,243 of it is shared cost the grant doesn't pay for. Worth asking for as much of it as the funder allows at renewal.</t>
        </is>
      </c>
    </row>
    <row r="48"/>
    <row r="49">
      <c r="A49" s="4" t="inlineStr">
        <is>
          <t>Every program at once</t>
        </is>
      </c>
    </row>
    <row r="50">
      <c r="A50" s="11" t="inlineStr">
        <is>
          <t>Grant spending, by month: every month is on the Data sheet.</t>
        </is>
      </c>
    </row>
    <row r="51"/>
    <row r="52"/>
  </sheetData>
  <mergeCells count="11">
    <mergeCell ref="A5:D5"/>
    <mergeCell ref="A23:D23"/>
    <mergeCell ref="A37:D37"/>
    <mergeCell ref="A40:D40"/>
    <mergeCell ref="A26:D26"/>
    <mergeCell ref="A30:D30"/>
    <mergeCell ref="A19:D19"/>
    <mergeCell ref="A16:D16"/>
    <mergeCell ref="A33:D33"/>
    <mergeCell ref="A47:D47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2" manualBreakCount="2">
    <brk id="21" min="0" max="16383" man="1"/>
    <brk id="4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s="4" t="inlineStr">
        <is>
          <t>Housing support: full cost, January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Jan 2026</t>
        </is>
      </c>
    </row>
    <row r="8">
      <c r="A8" t="inlineStr">
        <is>
          <t>Grant spending on the program</t>
        </is>
      </c>
      <c r="B8" s="12" t="n">
        <v>30502</v>
      </c>
    </row>
    <row r="9">
      <c r="A9" t="inlineStr">
        <is>
          <t>All grant-funded program spending</t>
        </is>
      </c>
      <c r="B9" s="12" t="n">
        <v>59785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17000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35400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January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Jan 2026</t>
        </is>
      </c>
    </row>
    <row r="21">
      <c r="A21" t="inlineStr">
        <is>
          <t>Grant spending on the program</t>
        </is>
      </c>
      <c r="B21" s="12" t="n">
        <v>21157</v>
      </c>
    </row>
    <row r="22">
      <c r="A22" t="inlineStr">
        <is>
          <t>All grant-funded program spending</t>
        </is>
      </c>
      <c r="B22" s="12" t="n">
        <v>59785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17000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35400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Digital literacy: full cost, January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Jan 2026</t>
        </is>
      </c>
    </row>
    <row r="34">
      <c r="A34" t="inlineStr">
        <is>
          <t>Grant spending on the program</t>
        </is>
      </c>
      <c r="B34" s="12" t="n">
        <v>4426</v>
      </c>
    </row>
    <row r="35">
      <c r="A35" t="inlineStr">
        <is>
          <t>All grant-funded program spending</t>
        </is>
      </c>
      <c r="B35" s="12" t="n">
        <v>59785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17000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35400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Community meals (2025-26): full cost, January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Jan 2026</t>
        </is>
      </c>
    </row>
    <row r="47">
      <c r="A47" t="inlineStr">
        <is>
          <t>Grant spending on the program</t>
        </is>
      </c>
      <c r="B47" s="12" t="n">
        <v>3700</v>
      </c>
    </row>
    <row r="48">
      <c r="A48" t="inlineStr">
        <is>
          <t>All grant-funded program spending</t>
        </is>
      </c>
      <c r="B48" s="12" t="n">
        <v>59785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17000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35400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January 2026 · Data status: Dec 2025 locked · Jan 2026 locked · Oct 2026 incomplete (data retrieved 2pm, Tue 6 Oct 2026)</t>
        </is>
      </c>
    </row>
    <row r="4"/>
    <row r="5">
      <c r="A5" t="inlineStr">
        <is>
          <t>All grant-funded program spending, January 2026</t>
        </is>
      </c>
      <c r="B5" s="8" t="n">
        <v>59785</v>
      </c>
    </row>
    <row r="6">
      <c r="A6" t="inlineStr">
        <is>
          <t>Untied program costs, January 2026 (all programs)</t>
        </is>
      </c>
      <c r="B6" s="8" t="n">
        <v>17000</v>
      </c>
    </row>
    <row r="7">
      <c r="A7" t="inlineStr">
        <is>
          <t>Administration, January 2026 (all)</t>
        </is>
      </c>
      <c r="B7" s="8" t="n">
        <v>35400</v>
      </c>
    </row>
    <row r="8"/>
    <row r="9">
      <c r="A9" s="6" t="inlineStr">
        <is>
          <t>Program</t>
        </is>
      </c>
      <c r="B9" s="7" t="inlineStr">
        <is>
          <t>Grant spending, Jan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30502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21157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Digital literacy</t>
        </is>
      </c>
      <c r="B12" s="12" t="n">
        <v>4426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Community meals (2025-26)</t>
        </is>
      </c>
      <c r="B13" s="12" t="n">
        <v>3700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2026-10-06T07:09:35Z</dcterms:created>
  <dcterms:modified xmlns:dcterms="http://purl.org/dc/terms/" xmlns:xsi="http://www.w3.org/2001/XMLSchema-instance" xsi:type="dcterms:W3CDTF">2026-10-06T07:09:35Z</dcterms:modified>
</cp:coreProperties>
</file>