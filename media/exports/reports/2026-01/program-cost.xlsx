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'Report'!$A$1:$D$57</definedName>
    <definedName name="_xlnm.Print_Area" localSheetId="1">'Workings'!$A$1:$B$54</definedName>
    <definedName name="_xlnm.Print_Titles" localSheetId="2">'Data'!$9:$9</definedName>
    <definedName name="_xlnm.Print_Area" localSheetId="2">'Data'!$A$1:$F$13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'Report'!$A$10:$A$13</f>
            </numRef>
          </cat>
          <val>
            <numRef>
              <f>'Report'!$B$10:$B$13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3" headerRowCount="1">
  <autoFilter ref="A9:F13"/>
  <tableColumns count="6">
    <tableColumn id="1" name="Program"/>
    <tableColumn id="2" name="Grant spending, Jan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January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/>
    <row r="15"/>
    <row r="16"/>
    <row r="17"/>
    <row r="18"/>
    <row r="19"/>
    <row r="20"/>
    <row r="21"/>
    <row r="22">
      <c r="A22" s="10" t="inlineStr">
        <is>
          <t>What it shows</t>
        </is>
      </c>
    </row>
    <row r="23" ht="45" customHeight="1">
      <c r="A23" s="3" t="inlineStr">
        <is>
          <t>Housing support is the biggest program: $57,236 in January once its share of untied program costs and administration is added to $30,502 of grant spending. Shared costs add 87.6% on top of grant spending across all programs.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7"/>
    <row r="28">
      <c r="A28" s="4" t="inlineStr">
        <is>
          <t>Program: Housing support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Housing support cost $57,236 in full in January: $30,502 paid by the State Housing Program grant, and $26,734 of shared costs no grant covers. It has spent 101.7% of its budget to date, with $329,498 left and 11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$57,236 a month; $26,734 of it is shared cost the grant doesn't pay for. Worth asking for as much of it as the funder allows at renewal.</t>
        </is>
      </c>
    </row>
    <row r="34"/>
    <row r="35">
      <c r="A35" s="4" t="inlineStr">
        <is>
          <t>Program: Youth outreach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Youth outreach cost $39,701 in full in January: $21,157 paid by the State Department of Families grant, and $18,544 of shared costs no grant covers. It has spent 99.6% of its budget to date, with $340,523 left and 17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$39,701 a month; $18,544 of it is shared cost the grant doesn't pay for. Worth asking for as much of it as the funder allows at renewal.</t>
        </is>
      </c>
    </row>
    <row r="41"/>
    <row r="42">
      <c r="A42" s="4" t="inlineStr">
        <is>
          <t>Program: Digital literacy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Digital literacy cost $8,305 in full in January: $4,426 paid by the Philanthropic foundation grant, and $3,879 of shared costs no grant covers. It has spent 97.0% of its budget to date, with $70,608 left and 14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$8,305 a month; $3,879 of it is shared cost the grant doesn't pay for. Worth asking for as much of it as the funder allows at renewal.</t>
        </is>
      </c>
    </row>
    <row r="48"/>
    <row r="49">
      <c r="A49" s="4" t="inlineStr">
        <is>
          <t>Program: Community meals (2025-26)</t>
        </is>
      </c>
    </row>
    <row r="50">
      <c r="A50" s="10" t="inlineStr">
        <is>
          <t>What it shows</t>
        </is>
      </c>
    </row>
    <row r="51" ht="45" customHeight="1">
      <c r="A51" s="3" t="inlineStr">
        <is>
          <t>Community meals (2025-26) cost $6,943 in full in January: $3,700 paid by the Local council community grant grant, and $3,243 of shared costs no grant covers. It has spent 96.2% of its budget to date, with $19,300 left and 5 months to go.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The full cost is $6,943 a month; $3,243 of it is shared cost the grant doesn't pay for. Worth asking for as much of it as the funder allows at renewal.</t>
        </is>
      </c>
    </row>
    <row r="55"/>
    <row r="56">
      <c r="A56" s="4" t="inlineStr">
        <is>
          <t>Every program at once</t>
        </is>
      </c>
    </row>
    <row r="57">
      <c r="A57" s="11" t="inlineStr">
        <is>
          <t>Grant spending, by month: every month is on the Data sheet.</t>
        </is>
      </c>
    </row>
    <row r="58"/>
    <row r="59"/>
  </sheetData>
  <mergeCells count="11">
    <mergeCell ref="A5:D5"/>
    <mergeCell ref="A23:D23"/>
    <mergeCell ref="A37:D37"/>
    <mergeCell ref="A40:D40"/>
    <mergeCell ref="A26:D26"/>
    <mergeCell ref="A30:D30"/>
    <mergeCell ref="A54:D54"/>
    <mergeCell ref="A33:D33"/>
    <mergeCell ref="A51:D51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4" t="inlineStr">
        <is>
          <t>Housing support: full cost, January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Jan 2026</t>
        </is>
      </c>
    </row>
    <row r="8">
      <c r="A8" t="inlineStr">
        <is>
          <t>Grant spending on the program</t>
        </is>
      </c>
      <c r="B8" s="12" t="n">
        <v>30502</v>
      </c>
    </row>
    <row r="9">
      <c r="A9" t="inlineStr">
        <is>
          <t>All grant-funded program spending</t>
        </is>
      </c>
      <c r="B9" s="12" t="n">
        <v>59785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17000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January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Jan 2026</t>
        </is>
      </c>
    </row>
    <row r="21">
      <c r="A21" t="inlineStr">
        <is>
          <t>Grant spending on the program</t>
        </is>
      </c>
      <c r="B21" s="12" t="n">
        <v>21157</v>
      </c>
    </row>
    <row r="22">
      <c r="A22" t="inlineStr">
        <is>
          <t>All grant-funded program spending</t>
        </is>
      </c>
      <c r="B22" s="12" t="n">
        <v>59785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17000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January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Jan 2026</t>
        </is>
      </c>
    </row>
    <row r="34">
      <c r="A34" t="inlineStr">
        <is>
          <t>Grant spending on the program</t>
        </is>
      </c>
      <c r="B34" s="12" t="n">
        <v>4426</v>
      </c>
    </row>
    <row r="35">
      <c r="A35" t="inlineStr">
        <is>
          <t>All grant-funded program spending</t>
        </is>
      </c>
      <c r="B35" s="12" t="n">
        <v>59785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17000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January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Jan 2026</t>
        </is>
      </c>
    </row>
    <row r="47">
      <c r="A47" t="inlineStr">
        <is>
          <t>Grant spending on the program</t>
        </is>
      </c>
      <c r="B47" s="12" t="n">
        <v>3700</v>
      </c>
    </row>
    <row r="48">
      <c r="A48" t="inlineStr">
        <is>
          <t>All grant-funded program spending</t>
        </is>
      </c>
      <c r="B48" s="12" t="n">
        <v>59785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17000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t="inlineStr">
        <is>
          <t>All grant-funded program spending, January 2026</t>
        </is>
      </c>
      <c r="B5" s="8" t="n">
        <v>59785</v>
      </c>
    </row>
    <row r="6">
      <c r="A6" t="inlineStr">
        <is>
          <t>Untied program costs, January 2026 (all programs)</t>
        </is>
      </c>
      <c r="B6" s="8" t="n">
        <v>17000</v>
      </c>
    </row>
    <row r="7">
      <c r="A7" t="inlineStr">
        <is>
          <t>Administration, January 2026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Jan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30502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21157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4426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3700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