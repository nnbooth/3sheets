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Volunteer_hours_January">'Report'!$B$8</definedName>
    <definedName name="Volunteers_who_did_a_shift_January">'Report'!$B$9</definedName>
    <definedName name="Hours_per_volunteer_January">'Report'!$B$10</definedName>
    <definedName name="January_last_year">'Report'!$B$11</definedName>
    <definedName name="_xlnm.Print_Area" localSheetId="0">'Report'!$A$1:$D$35</definedName>
    <definedName name="_xlnm.Print_Area" localSheetId="1">'Workings'!$A$1:$C$82</definedName>
    <definedName name="_xlnm.Print_Titles" localSheetId="2">'Data'!$5:$5</definedName>
    <definedName name="_xlnm.Print_Area" localSheetId="2">'Data'!$A$1:$E$21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;[Red](#,##0.0);&quot;-&quot;"/>
    <numFmt numFmtId="165" formatCode="#,##0;[Red](#,##0);&quot;-&quot;"/>
    <numFmt numFmtId="166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5342A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0" fontId="8" fillId="0" borderId="0" applyAlignment="1" pivotButton="0" quotePrefix="0" xfId="0">
      <alignment indent="1"/>
    </xf>
    <xf numFmtId="0" fontId="9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5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Volunteer hours by program, January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Volunteer hours by program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'Report'!$A$15:$A$20</f>
            </numRef>
          </cat>
          <val>
            <numRef>
              <f>'Report'!$B$15:$B$20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volunteers_Data" displayName="volunteers_Data" ref="A5:E21" headerRowCount="1">
  <autoFilter ref="A5:E21"/>
  <tableColumns count="5">
    <tableColumn id="1" name="Month"/>
    <tableColumn id="2" name="Status"/>
    <tableColumn id="3" name="Volunteer hours"/>
    <tableColumn id="4" name="Volunteers"/>
    <tableColumn id="5" name="Hours per volunteer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How many volunteer hours go into each program?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8 Oct 2026, 6:29pm</t>
        </is>
      </c>
    </row>
    <row r="4"/>
    <row r="5" ht="32" customHeight="1">
      <c r="A5" s="3" t="inlineStr">
        <is>
          <t>Every volunteer shift: who (a code, not a name), which program, and how many hours.</t>
        </is>
      </c>
    </row>
    <row r="6"/>
    <row r="7">
      <c r="A7" s="4" t="inlineStr">
        <is>
          <t>Headline number</t>
        </is>
      </c>
      <c r="B7" s="5" t="inlineStr">
        <is>
          <t>Value</t>
        </is>
      </c>
      <c r="C7" s="5" t="inlineStr">
        <is>
          <t>Compared with</t>
        </is>
      </c>
    </row>
    <row r="8">
      <c r="A8" t="inlineStr">
        <is>
          <t>Volunteer hours, January</t>
        </is>
      </c>
      <c r="B8" s="6">
        <f>Workings!B10</f>
        <v/>
      </c>
      <c r="C8" s="7" t="inlineStr">
        <is>
          <t>December 683.0 h</t>
        </is>
      </c>
    </row>
    <row r="9">
      <c r="A9" t="inlineStr">
        <is>
          <t>Volunteers who did a shift, January</t>
        </is>
      </c>
      <c r="B9" s="6">
        <f>Workings!B18</f>
        <v/>
      </c>
      <c r="C9" s="7" t="inlineStr">
        <is>
          <t>December 46</t>
        </is>
      </c>
    </row>
    <row r="10">
      <c r="A10" t="inlineStr">
        <is>
          <t>Hours per volunteer, January</t>
        </is>
      </c>
      <c r="B10" s="6">
        <f>Workings!B26</f>
        <v/>
      </c>
      <c r="C10" s="7" t="inlineStr">
        <is>
          <t>average</t>
        </is>
      </c>
    </row>
    <row r="11">
      <c r="A11" t="inlineStr">
        <is>
          <t>January last year</t>
        </is>
      </c>
      <c r="B11" s="6">
        <f>Workings!B34</f>
        <v/>
      </c>
      <c r="C11" s="7" t="inlineStr">
        <is>
          <t>28 volunteers</t>
        </is>
      </c>
    </row>
    <row r="12"/>
    <row r="13">
      <c r="A13" s="8" t="inlineStr">
        <is>
          <t>Volunteer hours by program, January 2026</t>
        </is>
      </c>
    </row>
    <row r="14">
      <c r="A14" s="4" t="inlineStr"/>
      <c r="B14" s="5" t="inlineStr">
        <is>
          <t>Volunteer hours by program</t>
        </is>
      </c>
    </row>
    <row r="15">
      <c r="A15" t="inlineStr">
        <is>
          <t>Housing support</t>
        </is>
      </c>
      <c r="B15" s="6">
        <f>Workings!B41</f>
        <v/>
      </c>
    </row>
    <row r="16">
      <c r="A16" t="inlineStr">
        <is>
          <t>Youth outreach</t>
        </is>
      </c>
      <c r="B16" s="6">
        <f>Workings!B49</f>
        <v/>
      </c>
    </row>
    <row r="17">
      <c r="A17" t="inlineStr">
        <is>
          <t>Community meals</t>
        </is>
      </c>
      <c r="B17" s="6">
        <f>Workings!B57</f>
        <v/>
      </c>
    </row>
    <row r="18">
      <c r="A18" t="inlineStr">
        <is>
          <t>Volunteer coordinator</t>
        </is>
      </c>
      <c r="B18" s="6">
        <f>Workings!B65</f>
        <v/>
      </c>
    </row>
    <row r="19">
      <c r="A19" t="inlineStr">
        <is>
          <t>Digital literacy</t>
        </is>
      </c>
      <c r="B19" s="6">
        <f>Workings!B73</f>
        <v/>
      </c>
    </row>
    <row r="20">
      <c r="A20" t="inlineStr">
        <is>
          <t>Mental health first aid</t>
        </is>
      </c>
      <c r="B20" s="6">
        <f>Workings!B81</f>
        <v/>
      </c>
    </row>
    <row r="21"/>
    <row r="22"/>
    <row r="23"/>
    <row r="24"/>
    <row r="25"/>
    <row r="26"/>
    <row r="27"/>
    <row r="28"/>
    <row r="29">
      <c r="A29" s="9" t="inlineStr">
        <is>
          <t>Volunteer hours by month: every month is on the Data sheet.</t>
        </is>
      </c>
    </row>
    <row r="30"/>
    <row r="31">
      <c r="A31" s="10" t="inlineStr">
        <is>
          <t>What it shows</t>
        </is>
      </c>
    </row>
    <row r="32" ht="30" customHeight="1">
      <c r="A32" s="3" t="inlineStr">
        <is>
          <t>48 volunteers gave 711.5 h in January, against 683.0 h in December. Housing support drew the most (139.0 h, 19.5%).</t>
        </is>
      </c>
    </row>
    <row r="33"/>
    <row r="34">
      <c r="A34" s="10" t="inlineStr">
        <is>
          <t>What you'd do about it</t>
        </is>
      </c>
    </row>
    <row r="35" ht="30" customHeight="1">
      <c r="A35" s="3" t="inlineStr">
        <is>
          <t>Mental health first aid had the fewest volunteer hours (73.5 h). Hours are up 78.3% on January last year.</t>
        </is>
      </c>
    </row>
    <row r="36"/>
    <row r="37"/>
  </sheetData>
  <mergeCells count="3">
    <mergeCell ref="A5:D5"/>
    <mergeCell ref="A35:D35"/>
    <mergeCell ref="A32:D32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85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8 Oct 2026, 6:29pm</t>
        </is>
      </c>
    </row>
    <row r="4"/>
    <row r="5">
      <c r="A5" s="11" t="inlineStr">
        <is>
          <t>Volunteer hours, January and December</t>
        </is>
      </c>
    </row>
    <row r="6">
      <c r="A6" s="9" t="inlineStr">
        <is>
          <t>Hours from every volunteer shift</t>
        </is>
      </c>
    </row>
    <row r="7">
      <c r="A7" s="4" t="inlineStr"/>
      <c r="B7" s="5" t="inlineStr">
        <is>
          <t>Jan 26</t>
        </is>
      </c>
      <c r="C7" s="5" t="inlineStr">
        <is>
          <t>Dec 25</t>
        </is>
      </c>
    </row>
    <row r="8">
      <c r="A8" t="inlineStr">
        <is>
          <t>Volunteer hours</t>
        </is>
      </c>
      <c r="B8" s="12" t="n">
        <v>711.5</v>
      </c>
      <c r="C8" s="12" t="n">
        <v>683</v>
      </c>
    </row>
    <row r="9">
      <c r="A9" t="inlineStr">
        <is>
          <t>Volunteers who did a shift</t>
        </is>
      </c>
      <c r="B9" s="13" t="n">
        <v>48</v>
      </c>
      <c r="C9" s="13" t="n">
        <v>46</v>
      </c>
    </row>
    <row r="10">
      <c r="A10" s="14" t="inlineStr">
        <is>
          <t>Hours per volunteer</t>
        </is>
      </c>
      <c r="B10" s="15">
        <f>B8/B9</f>
        <v/>
      </c>
      <c r="C10" s="15">
        <f>C8/C9</f>
        <v/>
      </c>
    </row>
    <row r="11"/>
    <row r="12"/>
    <row r="13">
      <c r="A13" s="11" t="inlineStr">
        <is>
          <t>Volunteer hours, January and December</t>
        </is>
      </c>
    </row>
    <row r="14">
      <c r="A14" s="9" t="inlineStr">
        <is>
          <t>Hours from every volunteer shift</t>
        </is>
      </c>
    </row>
    <row r="15">
      <c r="A15" s="4" t="inlineStr"/>
      <c r="B15" s="5" t="inlineStr">
        <is>
          <t>Jan 26</t>
        </is>
      </c>
      <c r="C15" s="5" t="inlineStr">
        <is>
          <t>Dec 25</t>
        </is>
      </c>
    </row>
    <row r="16">
      <c r="A16" t="inlineStr">
        <is>
          <t>Volunteer hours</t>
        </is>
      </c>
      <c r="B16" s="12" t="n">
        <v>711.5</v>
      </c>
      <c r="C16" s="12" t="n">
        <v>683</v>
      </c>
    </row>
    <row r="17">
      <c r="A17" t="inlineStr">
        <is>
          <t>Volunteers who did a shift</t>
        </is>
      </c>
      <c r="B17" s="13" t="n">
        <v>48</v>
      </c>
      <c r="C17" s="13" t="n">
        <v>46</v>
      </c>
    </row>
    <row r="18">
      <c r="A18" s="14" t="inlineStr">
        <is>
          <t>Hours per volunteer</t>
        </is>
      </c>
      <c r="B18" s="15">
        <f>B16/B17</f>
        <v/>
      </c>
      <c r="C18" s="15">
        <f>C16/C17</f>
        <v/>
      </c>
    </row>
    <row r="19"/>
    <row r="20"/>
    <row r="21">
      <c r="A21" s="11" t="inlineStr">
        <is>
          <t>Volunteer hours, January and December</t>
        </is>
      </c>
    </row>
    <row r="22">
      <c r="A22" s="9" t="inlineStr">
        <is>
          <t>Hours from every volunteer shift</t>
        </is>
      </c>
    </row>
    <row r="23">
      <c r="A23" s="4" t="inlineStr"/>
      <c r="B23" s="5" t="inlineStr">
        <is>
          <t>Jan 26</t>
        </is>
      </c>
      <c r="C23" s="5" t="inlineStr">
        <is>
          <t>Dec 25</t>
        </is>
      </c>
    </row>
    <row r="24">
      <c r="A24" t="inlineStr">
        <is>
          <t>Volunteer hours</t>
        </is>
      </c>
      <c r="B24" s="12" t="n">
        <v>711.5</v>
      </c>
      <c r="C24" s="12" t="n">
        <v>683</v>
      </c>
    </row>
    <row r="25">
      <c r="A25" t="inlineStr">
        <is>
          <t>Volunteers who did a shift</t>
        </is>
      </c>
      <c r="B25" s="13" t="n">
        <v>48</v>
      </c>
      <c r="C25" s="13" t="n">
        <v>46</v>
      </c>
    </row>
    <row r="26">
      <c r="A26" s="14" t="inlineStr">
        <is>
          <t>Hours per volunteer</t>
        </is>
      </c>
      <c r="B26" s="15">
        <f>B24/B25</f>
        <v/>
      </c>
      <c r="C26" s="15">
        <f>C24/C25</f>
        <v/>
      </c>
    </row>
    <row r="27"/>
    <row r="28"/>
    <row r="29">
      <c r="A29" s="11" t="inlineStr">
        <is>
          <t>Volunteer hours, Jan 25</t>
        </is>
      </c>
    </row>
    <row r="30">
      <c r="A30" s="9" t="inlineStr">
        <is>
          <t>Hours from every volunteer shift</t>
        </is>
      </c>
    </row>
    <row r="31">
      <c r="A31" s="4" t="inlineStr"/>
      <c r="B31" s="5" t="inlineStr">
        <is>
          <t>Jan 25</t>
        </is>
      </c>
    </row>
    <row r="32">
      <c r="A32" t="inlineStr">
        <is>
          <t>Volunteer hours</t>
        </is>
      </c>
      <c r="B32" s="12" t="n">
        <v>399</v>
      </c>
    </row>
    <row r="33">
      <c r="A33" t="inlineStr">
        <is>
          <t>Volunteers who did a shift</t>
        </is>
      </c>
      <c r="B33" s="13" t="n">
        <v>28</v>
      </c>
    </row>
    <row r="34">
      <c r="A34" s="14" t="inlineStr">
        <is>
          <t>Hours per volunteer</t>
        </is>
      </c>
      <c r="B34" s="15">
        <f>B32/B33</f>
        <v/>
      </c>
    </row>
    <row r="35"/>
    <row r="36"/>
    <row r="37">
      <c r="A37" s="11" t="inlineStr">
        <is>
          <t>Housing support: volunteer hours, January 2026</t>
        </is>
      </c>
    </row>
    <row r="38">
      <c r="A38" s="9" t="inlineStr">
        <is>
          <t>Hours from shifts on this program</t>
        </is>
      </c>
    </row>
    <row r="39">
      <c r="A39" s="4" t="inlineStr"/>
      <c r="B39" s="5" t="inlineStr">
        <is>
          <t>Jan 2026</t>
        </is>
      </c>
    </row>
    <row r="40">
      <c r="A40" t="inlineStr">
        <is>
          <t>Volunteer hours</t>
        </is>
      </c>
      <c r="B40" s="12" t="n">
        <v>139</v>
      </c>
    </row>
    <row r="41">
      <c r="A41" t="inlineStr">
        <is>
          <t>All volunteer hours</t>
        </is>
      </c>
      <c r="B41" s="12" t="n">
        <v>711.5</v>
      </c>
    </row>
    <row r="42">
      <c r="A42" s="14" t="inlineStr">
        <is>
          <t>Share</t>
        </is>
      </c>
      <c r="B42" s="16">
        <f>B40/B41</f>
        <v/>
      </c>
    </row>
    <row r="43"/>
    <row r="44"/>
    <row r="45">
      <c r="A45" s="11" t="inlineStr">
        <is>
          <t>Youth outreach: volunteer hours, January 2026</t>
        </is>
      </c>
    </row>
    <row r="46">
      <c r="A46" s="9" t="inlineStr">
        <is>
          <t>Hours from shifts on this program</t>
        </is>
      </c>
    </row>
    <row r="47">
      <c r="A47" s="4" t="inlineStr"/>
      <c r="B47" s="5" t="inlineStr">
        <is>
          <t>Jan 2026</t>
        </is>
      </c>
    </row>
    <row r="48">
      <c r="A48" t="inlineStr">
        <is>
          <t>Volunteer hours</t>
        </is>
      </c>
      <c r="B48" s="12" t="n">
        <v>132</v>
      </c>
    </row>
    <row r="49">
      <c r="A49" t="inlineStr">
        <is>
          <t>All volunteer hours</t>
        </is>
      </c>
      <c r="B49" s="12" t="n">
        <v>711.5</v>
      </c>
    </row>
    <row r="50">
      <c r="A50" s="14" t="inlineStr">
        <is>
          <t>Share</t>
        </is>
      </c>
      <c r="B50" s="16">
        <f>B48/B49</f>
        <v/>
      </c>
    </row>
    <row r="51"/>
    <row r="52"/>
    <row r="53">
      <c r="A53" s="11" t="inlineStr">
        <is>
          <t>Community meals: volunteer hours, January 2026</t>
        </is>
      </c>
    </row>
    <row r="54">
      <c r="A54" s="9" t="inlineStr">
        <is>
          <t>Hours from shifts on this program</t>
        </is>
      </c>
    </row>
    <row r="55">
      <c r="A55" s="4" t="inlineStr"/>
      <c r="B55" s="5" t="inlineStr">
        <is>
          <t>Jan 2026</t>
        </is>
      </c>
    </row>
    <row r="56">
      <c r="A56" t="inlineStr">
        <is>
          <t>Volunteer hours</t>
        </is>
      </c>
      <c r="B56" s="12" t="n">
        <v>129</v>
      </c>
    </row>
    <row r="57">
      <c r="A57" t="inlineStr">
        <is>
          <t>All volunteer hours</t>
        </is>
      </c>
      <c r="B57" s="12" t="n">
        <v>711.5</v>
      </c>
    </row>
    <row r="58">
      <c r="A58" s="14" t="inlineStr">
        <is>
          <t>Share</t>
        </is>
      </c>
      <c r="B58" s="16">
        <f>B56/B57</f>
        <v/>
      </c>
    </row>
    <row r="59"/>
    <row r="60"/>
    <row r="61">
      <c r="A61" s="11" t="inlineStr">
        <is>
          <t>Volunteer coordinator: volunteer hours, January 2026</t>
        </is>
      </c>
    </row>
    <row r="62">
      <c r="A62" s="9" t="inlineStr">
        <is>
          <t>Hours from shifts on this program</t>
        </is>
      </c>
    </row>
    <row r="63">
      <c r="A63" s="4" t="inlineStr"/>
      <c r="B63" s="5" t="inlineStr">
        <is>
          <t>Jan 2026</t>
        </is>
      </c>
    </row>
    <row r="64">
      <c r="A64" t="inlineStr">
        <is>
          <t>Volunteer hours</t>
        </is>
      </c>
      <c r="B64" s="12" t="n">
        <v>121</v>
      </c>
    </row>
    <row r="65">
      <c r="A65" t="inlineStr">
        <is>
          <t>All volunteer hours</t>
        </is>
      </c>
      <c r="B65" s="12" t="n">
        <v>711.5</v>
      </c>
    </row>
    <row r="66">
      <c r="A66" s="14" t="inlineStr">
        <is>
          <t>Share</t>
        </is>
      </c>
      <c r="B66" s="16">
        <f>B64/B65</f>
        <v/>
      </c>
    </row>
    <row r="67"/>
    <row r="68"/>
    <row r="69">
      <c r="A69" s="11" t="inlineStr">
        <is>
          <t>Digital literacy: volunteer hours, January 2026</t>
        </is>
      </c>
    </row>
    <row r="70">
      <c r="A70" s="9" t="inlineStr">
        <is>
          <t>Hours from shifts on this program</t>
        </is>
      </c>
    </row>
    <row r="71">
      <c r="A71" s="4" t="inlineStr"/>
      <c r="B71" s="5" t="inlineStr">
        <is>
          <t>Jan 2026</t>
        </is>
      </c>
    </row>
    <row r="72">
      <c r="A72" t="inlineStr">
        <is>
          <t>Volunteer hours</t>
        </is>
      </c>
      <c r="B72" s="12" t="n">
        <v>117</v>
      </c>
    </row>
    <row r="73">
      <c r="A73" t="inlineStr">
        <is>
          <t>All volunteer hours</t>
        </is>
      </c>
      <c r="B73" s="12" t="n">
        <v>711.5</v>
      </c>
    </row>
    <row r="74">
      <c r="A74" s="14" t="inlineStr">
        <is>
          <t>Share</t>
        </is>
      </c>
      <c r="B74" s="16">
        <f>B72/B73</f>
        <v/>
      </c>
    </row>
    <row r="75"/>
    <row r="76"/>
    <row r="77">
      <c r="A77" s="11" t="inlineStr">
        <is>
          <t>Mental health first aid: volunteer hours, January 2026</t>
        </is>
      </c>
    </row>
    <row r="78">
      <c r="A78" s="9" t="inlineStr">
        <is>
          <t>Hours from shifts on this program</t>
        </is>
      </c>
    </row>
    <row r="79">
      <c r="A79" s="4" t="inlineStr"/>
      <c r="B79" s="5" t="inlineStr">
        <is>
          <t>Jan 2026</t>
        </is>
      </c>
    </row>
    <row r="80">
      <c r="A80" t="inlineStr">
        <is>
          <t>Volunteer hours</t>
        </is>
      </c>
      <c r="B80" s="12" t="n">
        <v>73.5</v>
      </c>
    </row>
    <row r="81">
      <c r="A81" t="inlineStr">
        <is>
          <t>All volunteer hours</t>
        </is>
      </c>
      <c r="B81" s="12" t="n">
        <v>711.5</v>
      </c>
    </row>
    <row r="82">
      <c r="A82" s="14" t="inlineStr">
        <is>
          <t>Share</t>
        </is>
      </c>
      <c r="B82" s="16">
        <f>B80/B81</f>
        <v/>
      </c>
    </row>
    <row r="83"/>
    <row r="84"/>
    <row r="85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rowBreaks count="2" manualBreakCount="2">
    <brk id="28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January 2026 · Data status: Dec 2025 locked · Jan 2026 locked · Oct 2026 incomplete (data retrieved 2pm, Tue 6 Oct 2026) · Generated 8 Oct 2026, 6:29pm</t>
        </is>
      </c>
    </row>
    <row r="4"/>
    <row r="5">
      <c r="A5" s="4" t="inlineStr">
        <is>
          <t>Month</t>
        </is>
      </c>
      <c r="B5" s="5" t="inlineStr">
        <is>
          <t>Status</t>
        </is>
      </c>
      <c r="C5" s="5" t="inlineStr">
        <is>
          <t>Volunteer hours</t>
        </is>
      </c>
      <c r="D5" s="5" t="inlineStr">
        <is>
          <t>Volunteers</t>
        </is>
      </c>
      <c r="E5" s="5" t="inlineStr">
        <is>
          <t>Hours per volunteer</t>
        </is>
      </c>
    </row>
    <row r="6">
      <c r="A6" s="17" t="inlineStr">
        <is>
          <t>Oct 24</t>
        </is>
      </c>
      <c r="B6" s="17" t="inlineStr">
        <is>
          <t>Locked</t>
        </is>
      </c>
      <c r="C6" s="12" t="n">
        <v>317.5</v>
      </c>
      <c r="D6" s="13" t="n">
        <v>23</v>
      </c>
      <c r="E6" s="12">
        <f>IF(D6=0,"",C6/D6)</f>
        <v/>
      </c>
    </row>
    <row r="7">
      <c r="A7" s="17" t="inlineStr">
        <is>
          <t>Nov 24</t>
        </is>
      </c>
      <c r="B7" s="17" t="inlineStr">
        <is>
          <t>Locked</t>
        </is>
      </c>
      <c r="C7" s="12" t="n">
        <v>392</v>
      </c>
      <c r="D7" s="13" t="n">
        <v>28</v>
      </c>
      <c r="E7" s="12">
        <f>IF(D7=0,"",C7/D7)</f>
        <v/>
      </c>
    </row>
    <row r="8">
      <c r="A8" s="17" t="inlineStr">
        <is>
          <t>Dec 24</t>
        </is>
      </c>
      <c r="B8" s="17" t="inlineStr">
        <is>
          <t>Locked</t>
        </is>
      </c>
      <c r="C8" s="12" t="n">
        <v>363.5</v>
      </c>
      <c r="D8" s="13" t="n">
        <v>28</v>
      </c>
      <c r="E8" s="12">
        <f>IF(D8=0,"",C8/D8)</f>
        <v/>
      </c>
    </row>
    <row r="9">
      <c r="A9" s="17" t="inlineStr">
        <is>
          <t>Jan 25</t>
        </is>
      </c>
      <c r="B9" s="17" t="inlineStr">
        <is>
          <t>Locked</t>
        </is>
      </c>
      <c r="C9" s="12" t="n">
        <v>399</v>
      </c>
      <c r="D9" s="13" t="n">
        <v>28</v>
      </c>
      <c r="E9" s="12">
        <f>IF(D9=0,"",C9/D9)</f>
        <v/>
      </c>
    </row>
    <row r="10">
      <c r="A10" s="17" t="inlineStr">
        <is>
          <t>Feb 25</t>
        </is>
      </c>
      <c r="B10" s="17" t="inlineStr">
        <is>
          <t>Locked</t>
        </is>
      </c>
      <c r="C10" s="12" t="n">
        <v>422</v>
      </c>
      <c r="D10" s="13" t="n">
        <v>31</v>
      </c>
      <c r="E10" s="12">
        <f>IF(D10=0,"",C10/D10)</f>
        <v/>
      </c>
    </row>
    <row r="11">
      <c r="A11" s="17" t="inlineStr">
        <is>
          <t>Mar 25</t>
        </is>
      </c>
      <c r="B11" s="17" t="inlineStr">
        <is>
          <t>Locked</t>
        </is>
      </c>
      <c r="C11" s="12" t="n">
        <v>451.5</v>
      </c>
      <c r="D11" s="13" t="n">
        <v>33</v>
      </c>
      <c r="E11" s="12">
        <f>IF(D11=0,"",C11/D11)</f>
        <v/>
      </c>
    </row>
    <row r="12">
      <c r="A12" s="17" t="inlineStr">
        <is>
          <t>Apr 25</t>
        </is>
      </c>
      <c r="B12" s="17" t="inlineStr">
        <is>
          <t>Locked</t>
        </is>
      </c>
      <c r="C12" s="12" t="n">
        <v>445</v>
      </c>
      <c r="D12" s="13" t="n">
        <v>34</v>
      </c>
      <c r="E12" s="12">
        <f>IF(D12=0,"",C12/D12)</f>
        <v/>
      </c>
    </row>
    <row r="13">
      <c r="A13" s="17" t="inlineStr">
        <is>
          <t>May 25</t>
        </is>
      </c>
      <c r="B13" s="17" t="inlineStr">
        <is>
          <t>Locked</t>
        </is>
      </c>
      <c r="C13" s="12" t="n">
        <v>513</v>
      </c>
      <c r="D13" s="13" t="n">
        <v>35</v>
      </c>
      <c r="E13" s="12">
        <f>IF(D13=0,"",C13/D13)</f>
        <v/>
      </c>
    </row>
    <row r="14">
      <c r="A14" s="17" t="inlineStr">
        <is>
          <t>Jun 25</t>
        </is>
      </c>
      <c r="B14" s="17" t="inlineStr">
        <is>
          <t>Locked</t>
        </is>
      </c>
      <c r="C14" s="12" t="n">
        <v>529</v>
      </c>
      <c r="D14" s="13" t="n">
        <v>36</v>
      </c>
      <c r="E14" s="12">
        <f>IF(D14=0,"",C14/D14)</f>
        <v/>
      </c>
    </row>
    <row r="15">
      <c r="A15" s="17" t="inlineStr">
        <is>
          <t>Jul 25</t>
        </is>
      </c>
      <c r="B15" s="17" t="inlineStr">
        <is>
          <t>Locked</t>
        </is>
      </c>
      <c r="C15" s="12" t="n">
        <v>586</v>
      </c>
      <c r="D15" s="13" t="n">
        <v>38</v>
      </c>
      <c r="E15" s="12">
        <f>IF(D15=0,"",C15/D15)</f>
        <v/>
      </c>
    </row>
    <row r="16">
      <c r="A16" s="17" t="inlineStr">
        <is>
          <t>Aug 25</t>
        </is>
      </c>
      <c r="B16" s="17" t="inlineStr">
        <is>
          <t>Locked</t>
        </is>
      </c>
      <c r="C16" s="12" t="n">
        <v>560.5</v>
      </c>
      <c r="D16" s="13" t="n">
        <v>41</v>
      </c>
      <c r="E16" s="12">
        <f>IF(D16=0,"",C16/D16)</f>
        <v/>
      </c>
    </row>
    <row r="17">
      <c r="A17" s="17" t="inlineStr">
        <is>
          <t>Sep 25</t>
        </is>
      </c>
      <c r="B17" s="17" t="inlineStr">
        <is>
          <t>Locked</t>
        </is>
      </c>
      <c r="C17" s="12" t="n">
        <v>625.5</v>
      </c>
      <c r="D17" s="13" t="n">
        <v>43</v>
      </c>
      <c r="E17" s="12">
        <f>IF(D17=0,"",C17/D17)</f>
        <v/>
      </c>
    </row>
    <row r="18">
      <c r="A18" s="17" t="inlineStr">
        <is>
          <t>Oct 25</t>
        </is>
      </c>
      <c r="B18" s="17" t="inlineStr">
        <is>
          <t>Locked</t>
        </is>
      </c>
      <c r="C18" s="12" t="n">
        <v>669.5</v>
      </c>
      <c r="D18" s="13" t="n">
        <v>44</v>
      </c>
      <c r="E18" s="12">
        <f>IF(D18=0,"",C18/D18)</f>
        <v/>
      </c>
    </row>
    <row r="19">
      <c r="A19" s="17" t="inlineStr">
        <is>
          <t>Nov 25</t>
        </is>
      </c>
      <c r="B19" s="17" t="inlineStr">
        <is>
          <t>Locked</t>
        </is>
      </c>
      <c r="C19" s="12" t="n">
        <v>626.5</v>
      </c>
      <c r="D19" s="13" t="n">
        <v>43</v>
      </c>
      <c r="E19" s="12">
        <f>IF(D19=0,"",C19/D19)</f>
        <v/>
      </c>
    </row>
    <row r="20">
      <c r="A20" s="17" t="inlineStr">
        <is>
          <t>Dec 25</t>
        </is>
      </c>
      <c r="B20" s="17" t="inlineStr">
        <is>
          <t>Locked</t>
        </is>
      </c>
      <c r="C20" s="12" t="n">
        <v>683</v>
      </c>
      <c r="D20" s="13" t="n">
        <v>46</v>
      </c>
      <c r="E20" s="12">
        <f>IF(D20=0,"",C20/D20)</f>
        <v/>
      </c>
    </row>
    <row r="21">
      <c r="A21" s="17" t="inlineStr">
        <is>
          <t>Jan 26</t>
        </is>
      </c>
      <c r="B21" s="17" t="inlineStr">
        <is>
          <t>Locked</t>
        </is>
      </c>
      <c r="C21" s="12" t="n">
        <v>711.5</v>
      </c>
      <c r="D21" s="13" t="n">
        <v>48</v>
      </c>
      <c r="E21" s="12">
        <f>IF(D21=0,"",C21/D21)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volunteers.xlsx&amp;C&amp;"Roboto,Regular"&amp;8 Data retrieved 2pm, Tue 6 Oct 2026 · Generated 8 Oct 2026, 6:29pm&amp;R&amp;"Roboto,Regular"&amp;8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2026-10-08T08:30:58Z</dcterms:created>
  <dcterms:modified xmlns:dcterms="http://purl.org/dc/terms/" xmlns:xsi="http://www.w3.org/2001/XMLSchema-instance" xsi:type="dcterms:W3CDTF">2026-10-08T08:30:58Z</dcterms:modified>
</cp:coreProperties>
</file>