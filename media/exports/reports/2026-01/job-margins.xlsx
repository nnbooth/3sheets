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December 37.4%</t>
        </is>
      </c>
    </row>
    <row r="16"/>
    <row r="17">
      <c r="A17" s="10" t="inlineStr">
        <is>
          <t>Job gross margin by type of job, January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January maintenance contracts made a 59.5% job gross margin, installations made a 23.9% job gross margin, call-outs and repairs made a 43.3% job gross margin (technician time at $68 an hour, wages and all on-costs). Jobs need 38.4% just to cover overheads.</t>
        </is>
      </c>
    </row>
    <row r="25"/>
    <row r="26">
      <c r="A26" s="4" t="inlineStr">
        <is>
          <t>What you'd do about it</t>
        </is>
      </c>
    </row>
    <row r="27" ht="30" customHeight="1">
      <c r="A27" s="3" t="inlineStr">
        <is>
          <t>Maintenance contracts: 59.5% gross margin, the most profitable work you do. Installations: 23.9% gross margin, below the 38.4%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January · Maintenance contracts</t>
        </is>
      </c>
      <c r="B31" s="8">
        <f>Workings!B64</f>
        <v/>
      </c>
      <c r="C31" s="9" t="inlineStr">
        <is>
          <t>December 59.5%</t>
        </is>
      </c>
    </row>
    <row r="32"/>
    <row r="33">
      <c r="A33" s="10" t="inlineStr">
        <is>
          <t>Job gross margin on each maintenance contract, January 2026</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19.8 points clear of the 38.4%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January · Installations</t>
        </is>
      </c>
      <c r="B56" s="8">
        <f>Workings!B229</f>
        <v/>
      </c>
      <c r="C56" s="9" t="inlineStr">
        <is>
          <t>December 23.4%</t>
        </is>
      </c>
    </row>
    <row r="57"/>
    <row r="58">
      <c r="A58" s="10" t="inlineStr">
        <is>
          <t>Job gross margin on each installation invoiced in January 2026</t>
        </is>
      </c>
    </row>
    <row r="59">
      <c r="A59" s="6" t="inlineStr"/>
      <c r="B59" s="7" t="inlineStr">
        <is>
          <t>Gross margin %</t>
        </is>
      </c>
      <c r="C59" s="7" t="inlineStr">
        <is>
          <t>Gross margin $</t>
        </is>
      </c>
    </row>
    <row r="60">
      <c r="A60" t="inlineStr">
        <is>
          <t>Chermside shop data cabling</t>
        </is>
      </c>
      <c r="B60" s="8">
        <f>Workings!B242</f>
        <v/>
      </c>
      <c r="C60" s="11">
        <f>Workings!B241</f>
        <v/>
      </c>
    </row>
    <row r="61">
      <c r="A61" t="inlineStr">
        <is>
          <t>Wynnum office data cabling</t>
        </is>
      </c>
      <c r="B61" s="8">
        <f>Workings!B255</f>
        <v/>
      </c>
      <c r="C61" s="11">
        <f>Workings!B254</f>
        <v/>
      </c>
    </row>
    <row r="62">
      <c r="A62" t="inlineStr">
        <is>
          <t>Milton townhouses switchboard upgrade</t>
        </is>
      </c>
      <c r="B62" s="8">
        <f>Workings!B268</f>
        <v/>
      </c>
      <c r="C62" s="11">
        <f>Workings!B267</f>
        <v/>
      </c>
    </row>
    <row r="63">
      <c r="A63" t="inlineStr">
        <is>
          <t>West End factory switchboard upgrade</t>
        </is>
      </c>
      <c r="B63" s="8">
        <f>Workings!B281</f>
        <v/>
      </c>
      <c r="C63" s="11">
        <f>Workings!B280</f>
        <v/>
      </c>
    </row>
    <row r="64">
      <c r="A64" t="inlineStr">
        <is>
          <t>Mount Gravatt clinic solar and battery</t>
        </is>
      </c>
      <c r="B64" s="8">
        <f>Workings!B294</f>
        <v/>
      </c>
      <c r="C64" s="11">
        <f>Workings!B293</f>
        <v/>
      </c>
    </row>
    <row r="65"/>
    <row r="66">
      <c r="A66" s="4" t="inlineStr">
        <is>
          <t>What it shows</t>
        </is>
      </c>
    </row>
    <row r="67" ht="60" customHeight="1">
      <c r="A67"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68"/>
    <row r="69">
      <c r="A69" s="4" t="inlineStr">
        <is>
          <t>What you'd do about it</t>
        </is>
      </c>
    </row>
    <row r="70" ht="45" customHeight="1">
      <c r="A70" s="3" t="inlineStr">
        <is>
          <t>Below the 38.4% overheads need: Wynnum office data cabling (31.0%), Milton townhouses switchboard upgrade (24.7%), West End factory switchboard upgrade (24.0%), Mount Gravatt clinic solar and battery (10.1%). Most profitable: Chermside shop data cabling (38.9%).</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January · Call-outs and repairs</t>
        </is>
      </c>
      <c r="B74" s="8">
        <f>Workings!B303</f>
        <v/>
      </c>
      <c r="C74" s="9" t="inlineStr">
        <is>
          <t>December 43.5%</t>
        </is>
      </c>
    </row>
    <row r="75">
      <c r="A75" t="inlineStr">
        <is>
          <t>Technician time charged, January</t>
        </is>
      </c>
      <c r="B75" s="8">
        <f>Workings!B315</f>
        <v/>
      </c>
      <c r="C75" s="9" t="inlineStr">
        <is>
          <t>67.3% of call-out revenue</t>
        </is>
      </c>
    </row>
    <row r="76">
      <c r="A76" t="inlineStr">
        <is>
          <t>Materials charged, January</t>
        </is>
      </c>
      <c r="B76" s="8">
        <f>Workings!B327</f>
        <v/>
      </c>
      <c r="C76" s="9" t="inlineStr">
        <is>
          <t>$7,930 at cost, plus 30%</t>
        </is>
      </c>
    </row>
    <row r="77"/>
    <row r="78">
      <c r="A78" s="10" t="inlineStr">
        <is>
          <t>Job gross margin on call-outs by length, January 2026</t>
        </is>
      </c>
    </row>
    <row r="79">
      <c r="A79" s="6" t="inlineStr"/>
      <c r="B79" s="7" t="inlineStr">
        <is>
          <t>Gross margin %</t>
        </is>
      </c>
      <c r="C79" s="7" t="inlineStr">
        <is>
          <t>Gross margin $</t>
        </is>
      </c>
    </row>
    <row r="80">
      <c r="A80" t="inlineStr">
        <is>
          <t>1-hour call-outs (7)</t>
        </is>
      </c>
      <c r="B80" s="8">
        <f>Workings!B340</f>
        <v/>
      </c>
      <c r="C80" s="11">
        <f>Workings!B339</f>
        <v/>
      </c>
    </row>
    <row r="81">
      <c r="A81" t="inlineStr">
        <is>
          <t>1.5-hour call-outs (11)</t>
        </is>
      </c>
      <c r="B81" s="8">
        <f>Workings!B353</f>
        <v/>
      </c>
      <c r="C81" s="11">
        <f>Workings!B352</f>
        <v/>
      </c>
    </row>
    <row r="82">
      <c r="A82" t="inlineStr">
        <is>
          <t>2-hour call-outs (8)</t>
        </is>
      </c>
      <c r="B82" s="8">
        <f>Workings!B366</f>
        <v/>
      </c>
      <c r="C82" s="11">
        <f>Workings!B365</f>
        <v/>
      </c>
    </row>
    <row r="83">
      <c r="A83" t="inlineStr">
        <is>
          <t>2.5-hour call-outs (11)</t>
        </is>
      </c>
      <c r="B83" s="8">
        <f>Workings!B379</f>
        <v/>
      </c>
      <c r="C83" s="11">
        <f>Workings!B378</f>
        <v/>
      </c>
    </row>
    <row r="84">
      <c r="A84" t="inlineStr">
        <is>
          <t>3-hour call-outs (21)</t>
        </is>
      </c>
      <c r="B84" s="8">
        <f>Workings!B392</f>
        <v/>
      </c>
      <c r="C84" s="11">
        <f>Workings!B391</f>
        <v/>
      </c>
    </row>
    <row r="85">
      <c r="A85" t="inlineStr">
        <is>
          <t>4-hour call-outs (4)</t>
        </is>
      </c>
      <c r="B85" s="8">
        <f>Workings!B405</f>
        <v/>
      </c>
      <c r="C85" s="11">
        <f>Workings!B404</f>
        <v/>
      </c>
    </row>
    <row r="86"/>
    <row r="87">
      <c r="A87" s="4" t="inlineStr">
        <is>
          <t>What it shows</t>
        </is>
      </c>
    </row>
    <row r="88" ht="60" customHeight="1">
      <c r="A88" s="3" t="inlineStr">
        <is>
          <t>62 call-outs in January billed $21,171 of technician time and $10,309 of materials ($7,930 at cost plus 30%), and made a 43.3% job gross margin between them. Gross margins run from 37.2% to 46.1% by length: the hourly rate covers technician time comfortably, so the gross margin mostly moves with how much material goes on the van.</t>
        </is>
      </c>
    </row>
    <row r="89"/>
    <row r="90">
      <c r="A90" s="4" t="inlineStr">
        <is>
          <t>What you'd do about it</t>
        </is>
      </c>
    </row>
    <row r="91" ht="30" customHeight="1">
      <c r="A91" s="3" t="inlineStr">
        <is>
          <t>Call-outs: 43.3% gross margin, 4.8 points clear of the 38.4% overheads need.</t>
        </is>
      </c>
    </row>
    <row r="92"/>
    <row r="93">
      <c r="A93" s="5" t="inlineStr">
        <is>
          <t>Every type of job at once</t>
        </is>
      </c>
    </row>
    <row r="94">
      <c r="A94" s="12" t="inlineStr">
        <is>
          <t>Job gross margin by month: every month is on the Data sheet.</t>
        </is>
      </c>
    </row>
    <row r="95"/>
    <row r="96"/>
  </sheetData>
  <mergeCells count="11">
    <mergeCell ref="A5:D5"/>
    <mergeCell ref="A70:D70"/>
    <mergeCell ref="A27:D27"/>
    <mergeCell ref="A8:D8"/>
    <mergeCell ref="A67:D67"/>
    <mergeCell ref="A88:D88"/>
    <mergeCell ref="A91:D91"/>
    <mergeCell ref="A52:D52"/>
    <mergeCell ref="A24:D24"/>
    <mergeCell ref="A11:D11"/>
    <mergeCell ref="A49:D4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7"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40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5" t="inlineStr">
        <is>
          <t>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January</t>
        </is>
      </c>
    </row>
    <row r="32">
      <c r="A32" s="12" t="inlineStr">
        <is>
          <t>Revenue less direct cost (materials, subcontractors, technician time at cost)</t>
        </is>
      </c>
    </row>
    <row r="33">
      <c r="A33" s="6" t="inlineStr"/>
      <c r="B33" s="7" t="inlineStr">
        <is>
          <t>Jan 2026</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January</t>
        </is>
      </c>
    </row>
    <row r="41">
      <c r="A41" s="12" t="inlineStr">
        <is>
          <t>Revenue less direct cost (materials, subcontractors, technician time at cost)</t>
        </is>
      </c>
    </row>
    <row r="42">
      <c r="A42" s="6" t="inlineStr"/>
      <c r="B42" s="7" t="inlineStr">
        <is>
          <t>Jan 2026</t>
        </is>
      </c>
    </row>
    <row r="43">
      <c r="A43" t="inlineStr">
        <is>
          <t>Revenue</t>
        </is>
      </c>
      <c r="B43" s="13" t="n">
        <v>97500</v>
      </c>
    </row>
    <row r="44">
      <c r="A44" t="inlineStr">
        <is>
          <t>Direct cost</t>
        </is>
      </c>
      <c r="B44" s="13" t="n">
        <v>74216</v>
      </c>
    </row>
    <row r="45">
      <c r="A45" t="inlineStr">
        <is>
          <t>Gross margin</t>
        </is>
      </c>
      <c r="B45" s="13">
        <f>B43-B44</f>
        <v/>
      </c>
    </row>
    <row r="46">
      <c r="A46" s="15" t="inlineStr">
        <is>
          <t>Gross margin %</t>
        </is>
      </c>
      <c r="B46" s="16">
        <f>B45/B43</f>
        <v/>
      </c>
    </row>
    <row r="47"/>
    <row r="48"/>
    <row r="49">
      <c r="A49" s="5" t="inlineStr">
        <is>
          <t>Call-outs and repairs, January</t>
        </is>
      </c>
    </row>
    <row r="50">
      <c r="A50" s="12" t="inlineStr">
        <is>
          <t>Revenue less direct cost (materials, subcontractors, technician time at cost)</t>
        </is>
      </c>
    </row>
    <row r="51">
      <c r="A51" s="6" t="inlineStr"/>
      <c r="B51" s="7" t="inlineStr">
        <is>
          <t>Jan 2026</t>
        </is>
      </c>
    </row>
    <row r="52">
      <c r="A52" t="inlineStr">
        <is>
          <t>Revenue</t>
        </is>
      </c>
      <c r="B52" s="13" t="n">
        <v>31480</v>
      </c>
    </row>
    <row r="53">
      <c r="A53" t="inlineStr">
        <is>
          <t>Direct cost</t>
        </is>
      </c>
      <c r="B53" s="13" t="n">
        <v>17858</v>
      </c>
    </row>
    <row r="54">
      <c r="A54" t="inlineStr">
        <is>
          <t>Gross margin</t>
        </is>
      </c>
      <c r="B54" s="13">
        <f>B52-B53</f>
        <v/>
      </c>
    </row>
    <row r="55">
      <c r="A55" s="15" t="inlineStr">
        <is>
          <t>Gross margin %</t>
        </is>
      </c>
      <c r="B55" s="16">
        <f>B54/B52</f>
        <v/>
      </c>
    </row>
    <row r="56"/>
    <row r="57"/>
    <row r="58">
      <c r="A58" s="5" t="inlineStr">
        <is>
          <t>Maintenance contracts: gross margin, January and December</t>
        </is>
      </c>
    </row>
    <row r="59">
      <c r="A59" s="12" t="inlineStr">
        <is>
          <t>Revenue less direct cost, over revenue. Before overheads.</t>
        </is>
      </c>
    </row>
    <row r="60">
      <c r="A60" s="6" t="inlineStr"/>
      <c r="B60" s="7" t="inlineStr">
        <is>
          <t>Jan 26</t>
        </is>
      </c>
      <c r="C60" s="7" t="inlineStr">
        <is>
          <t>Dec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January and December</t>
        </is>
      </c>
    </row>
    <row r="224">
      <c r="A224" s="12" t="inlineStr">
        <is>
          <t>Revenue less direct cost, over revenue. Before overheads.</t>
        </is>
      </c>
    </row>
    <row r="225">
      <c r="A225" s="6" t="inlineStr"/>
      <c r="B225" s="7" t="inlineStr">
        <is>
          <t>Jan 26</t>
        </is>
      </c>
      <c r="C225" s="7" t="inlineStr">
        <is>
          <t>Dec 25</t>
        </is>
      </c>
    </row>
    <row r="226">
      <c r="A226" t="inlineStr">
        <is>
          <t>Revenue</t>
        </is>
      </c>
      <c r="B226" s="13" t="n">
        <v>97500</v>
      </c>
      <c r="C226" s="13" t="n">
        <v>69700</v>
      </c>
    </row>
    <row r="227">
      <c r="A227" t="inlineStr">
        <is>
          <t>Direct cost</t>
        </is>
      </c>
      <c r="B227" s="13" t="n">
        <v>74216</v>
      </c>
      <c r="C227" s="13" t="n">
        <v>53408</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Chermside shop data cabling</t>
        </is>
      </c>
    </row>
    <row r="233">
      <c r="A233" s="12" t="inlineStr">
        <is>
          <t>Job gross margin ÷ revenue for this job (before overheads)</t>
        </is>
      </c>
    </row>
    <row r="234">
      <c r="A234" s="6" t="inlineStr"/>
      <c r="B234" s="7" t="inlineStr">
        <is>
          <t>This job</t>
        </is>
      </c>
    </row>
    <row r="235">
      <c r="A235" t="inlineStr">
        <is>
          <t>Revenue</t>
        </is>
      </c>
      <c r="B235" s="13" t="n">
        <v>18700</v>
      </c>
    </row>
    <row r="236">
      <c r="A236" t="inlineStr">
        <is>
          <t>Materials</t>
        </is>
      </c>
      <c r="B236" s="13" t="n">
        <v>-4300</v>
      </c>
    </row>
    <row r="237">
      <c r="A237" t="inlineStr">
        <is>
          <t>Subcontractors</t>
        </is>
      </c>
      <c r="B237" s="13" t="n">
        <v>-2200</v>
      </c>
    </row>
    <row r="238">
      <c r="A238" t="inlineStr">
        <is>
          <t>Technician hours</t>
        </is>
      </c>
      <c r="B238" s="17" t="n">
        <v>72.5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Wynnum office data cabling</t>
        </is>
      </c>
    </row>
    <row r="246">
      <c r="A246" s="12" t="inlineStr">
        <is>
          <t>Job gross margin ÷ revenue for this job (before overheads)</t>
        </is>
      </c>
    </row>
    <row r="247">
      <c r="A247" s="6" t="inlineStr"/>
      <c r="B247" s="7" t="inlineStr">
        <is>
          <t>This job</t>
        </is>
      </c>
    </row>
    <row r="248">
      <c r="A248" t="inlineStr">
        <is>
          <t>Revenue</t>
        </is>
      </c>
      <c r="B248" s="13" t="n">
        <v>11000</v>
      </c>
    </row>
    <row r="249">
      <c r="A249" t="inlineStr">
        <is>
          <t>Materials</t>
        </is>
      </c>
      <c r="B249" s="13" t="n">
        <v>-3300</v>
      </c>
    </row>
    <row r="250">
      <c r="A250" t="inlineStr">
        <is>
          <t>Subcontractors</t>
        </is>
      </c>
      <c r="B250" s="13" t="n">
        <v>-1300</v>
      </c>
    </row>
    <row r="251">
      <c r="A251" t="inlineStr">
        <is>
          <t>Technician hours</t>
        </is>
      </c>
      <c r="B251" s="17" t="n">
        <v>44</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Milton townhouses switchboard upgrade</t>
        </is>
      </c>
    </row>
    <row r="259">
      <c r="A259" s="12" t="inlineStr">
        <is>
          <t>Job gross margin ÷ revenue for this job (before overheads)</t>
        </is>
      </c>
    </row>
    <row r="260">
      <c r="A260" s="6" t="inlineStr"/>
      <c r="B260" s="7" t="inlineStr">
        <is>
          <t>This job</t>
        </is>
      </c>
    </row>
    <row r="261">
      <c r="A261" t="inlineStr">
        <is>
          <t>Revenue</t>
        </is>
      </c>
      <c r="B261" s="13" t="n">
        <v>13100</v>
      </c>
    </row>
    <row r="262">
      <c r="A262" t="inlineStr">
        <is>
          <t>Materials</t>
        </is>
      </c>
      <c r="B262" s="13" t="n">
        <v>-5200</v>
      </c>
    </row>
    <row r="263">
      <c r="A263" t="inlineStr">
        <is>
          <t>Subcontractors</t>
        </is>
      </c>
      <c r="B263" s="13" t="n">
        <v>-1300</v>
      </c>
    </row>
    <row r="264">
      <c r="A264" t="inlineStr">
        <is>
          <t>Technician hours</t>
        </is>
      </c>
      <c r="B264" s="17" t="n">
        <v>49.5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West End factory switchboard upgrade</t>
        </is>
      </c>
    </row>
    <row r="272">
      <c r="A272" s="12" t="inlineStr">
        <is>
          <t>Job gross margin ÷ revenue for this job (before overheads)</t>
        </is>
      </c>
    </row>
    <row r="273">
      <c r="A273" s="6" t="inlineStr"/>
      <c r="B273" s="7" t="inlineStr">
        <is>
          <t>This job</t>
        </is>
      </c>
    </row>
    <row r="274">
      <c r="A274" t="inlineStr">
        <is>
          <t>Revenue</t>
        </is>
      </c>
      <c r="B274" s="13" t="n">
        <v>27700</v>
      </c>
    </row>
    <row r="275">
      <c r="A275" t="inlineStr">
        <is>
          <t>Materials</t>
        </is>
      </c>
      <c r="B275" s="13" t="n">
        <v>-10700</v>
      </c>
    </row>
    <row r="276">
      <c r="A276" t="inlineStr">
        <is>
          <t>Subcontractors</t>
        </is>
      </c>
      <c r="B276" s="13" t="n">
        <v>-2800</v>
      </c>
    </row>
    <row r="277">
      <c r="A277" t="inlineStr">
        <is>
          <t>Technician hours</t>
        </is>
      </c>
      <c r="B277" s="17" t="n">
        <v>111</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Mount Gravatt clinic solar and battery</t>
        </is>
      </c>
    </row>
    <row r="285">
      <c r="A285" s="12" t="inlineStr">
        <is>
          <t>Job gross margin ÷ revenue for this job (before overheads)</t>
        </is>
      </c>
    </row>
    <row r="286">
      <c r="A286" s="6" t="inlineStr"/>
      <c r="B286" s="7" t="inlineStr">
        <is>
          <t>This job</t>
        </is>
      </c>
    </row>
    <row r="287">
      <c r="A287" t="inlineStr">
        <is>
          <t>Revenue</t>
        </is>
      </c>
      <c r="B287" s="13" t="n">
        <v>27000</v>
      </c>
    </row>
    <row r="288">
      <c r="A288" t="inlineStr">
        <is>
          <t>Materials</t>
        </is>
      </c>
      <c r="B288" s="13" t="n">
        <v>-13800</v>
      </c>
    </row>
    <row r="289">
      <c r="A289" t="inlineStr">
        <is>
          <t>Subcontractors</t>
        </is>
      </c>
      <c r="B289" s="13" t="n">
        <v>-3000</v>
      </c>
    </row>
    <row r="290">
      <c r="A290" t="inlineStr">
        <is>
          <t>Technician hours</t>
        </is>
      </c>
      <c r="B290" s="17" t="n">
        <v>110</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January and December</t>
        </is>
      </c>
    </row>
    <row r="298">
      <c r="A298" s="12" t="inlineStr">
        <is>
          <t>Revenue less direct cost, over revenue. Before overheads.</t>
        </is>
      </c>
    </row>
    <row r="299">
      <c r="A299" s="6" t="inlineStr"/>
      <c r="B299" s="7" t="inlineStr">
        <is>
          <t>Jan 26</t>
        </is>
      </c>
      <c r="C299" s="7" t="inlineStr">
        <is>
          <t>Dec 25</t>
        </is>
      </c>
    </row>
    <row r="300">
      <c r="A300" t="inlineStr">
        <is>
          <t>Revenue</t>
        </is>
      </c>
      <c r="B300" s="13" t="n">
        <v>31480</v>
      </c>
      <c r="C300" s="13" t="n">
        <v>29579</v>
      </c>
    </row>
    <row r="301">
      <c r="A301" t="inlineStr">
        <is>
          <t>Direct cost</t>
        </is>
      </c>
      <c r="B301" s="13" t="n">
        <v>17858</v>
      </c>
      <c r="C301" s="13" t="n">
        <v>16702</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Call-out revenue, January</t>
        </is>
      </c>
    </row>
    <row r="307">
      <c r="A307" s="12" t="inlineStr">
        <is>
          <t>Technician time charged at $145/hour + materials charged at cost × 1.3</t>
        </is>
      </c>
    </row>
    <row r="308">
      <c r="A308" s="6" t="inlineStr"/>
      <c r="B308" s="7" t="inlineStr">
        <is>
          <t>Jan 2026</t>
        </is>
      </c>
    </row>
    <row r="309">
      <c r="A309" t="inlineStr">
        <is>
          <t>Technician time charged ($145/hour)</t>
        </is>
      </c>
      <c r="B309" s="13" t="n">
        <v>21171</v>
      </c>
    </row>
    <row r="310">
      <c r="A310" t="inlineStr">
        <is>
          <t>Materials at cost</t>
        </is>
      </c>
      <c r="B310" s="13" t="n">
        <v>7930</v>
      </c>
    </row>
    <row r="311">
      <c r="A311" t="inlineStr">
        <is>
          <t>Mark-up on materials</t>
        </is>
      </c>
      <c r="B311" s="14" t="n">
        <v>0.3</v>
      </c>
    </row>
    <row r="312">
      <c r="A312" t="inlineStr">
        <is>
          <t>Materials charged (cost × 1.3)</t>
        </is>
      </c>
      <c r="B312" s="13">
        <f>B310*(1+B311)</f>
        <v/>
      </c>
    </row>
    <row r="313">
      <c r="A313" t="inlineStr">
        <is>
          <t>Materials charged (as invoiced, rounded per call-out)</t>
        </is>
      </c>
      <c r="B313" s="13" t="n">
        <v>10309</v>
      </c>
    </row>
    <row r="314">
      <c r="A314" t="inlineStr">
        <is>
          <t>Call-out revenue</t>
        </is>
      </c>
      <c r="B314" s="13">
        <f>B309+B313</f>
        <v/>
      </c>
    </row>
    <row r="315">
      <c r="A315" s="15" t="inlineStr">
        <is>
          <t>Technician time, % of call-out revenue</t>
        </is>
      </c>
      <c r="B315" s="16">
        <f>B309/B314</f>
        <v/>
      </c>
    </row>
    <row r="316"/>
    <row r="317"/>
    <row r="318">
      <c r="A318" s="5" t="inlineStr">
        <is>
          <t>Call-out revenue, January</t>
        </is>
      </c>
    </row>
    <row r="319">
      <c r="A319" s="12" t="inlineStr">
        <is>
          <t>Technician time charged at $145/hour + materials charged at cost × 1.3</t>
        </is>
      </c>
    </row>
    <row r="320">
      <c r="A320" s="6" t="inlineStr"/>
      <c r="B320" s="7" t="inlineStr">
        <is>
          <t>Jan 2026</t>
        </is>
      </c>
    </row>
    <row r="321">
      <c r="A321" t="inlineStr">
        <is>
          <t>Technician time charged ($145/hour)</t>
        </is>
      </c>
      <c r="B321" s="13" t="n">
        <v>21171</v>
      </c>
    </row>
    <row r="322">
      <c r="A322" t="inlineStr">
        <is>
          <t>Materials at cost</t>
        </is>
      </c>
      <c r="B322" s="13" t="n">
        <v>7930</v>
      </c>
    </row>
    <row r="323">
      <c r="A323" t="inlineStr">
        <is>
          <t>Mark-up on materials</t>
        </is>
      </c>
      <c r="B323" s="14" t="n">
        <v>0.3</v>
      </c>
    </row>
    <row r="324">
      <c r="A324" t="inlineStr">
        <is>
          <t>Materials charged (cost × 1.3)</t>
        </is>
      </c>
      <c r="B324" s="13">
        <f>B322*(1+B323)</f>
        <v/>
      </c>
    </row>
    <row r="325">
      <c r="A325" t="inlineStr">
        <is>
          <t>Materials charged (as invoiced, rounded per call-out)</t>
        </is>
      </c>
      <c r="B325" s="13" t="n">
        <v>10309</v>
      </c>
    </row>
    <row r="326">
      <c r="A326" t="inlineStr">
        <is>
          <t>Call-out revenue</t>
        </is>
      </c>
      <c r="B326" s="13">
        <f>B321+B325</f>
        <v/>
      </c>
    </row>
    <row r="327">
      <c r="A327" s="15" t="inlineStr">
        <is>
          <t>Technician time, % of call-out revenue</t>
        </is>
      </c>
      <c r="B327" s="16">
        <f>B321/B326</f>
        <v/>
      </c>
    </row>
    <row r="328"/>
    <row r="329"/>
    <row r="330">
      <c r="A330" s="5" t="inlineStr">
        <is>
          <t>1-hour call-outs (7)</t>
        </is>
      </c>
    </row>
    <row r="331">
      <c r="A331" s="12" t="inlineStr">
        <is>
          <t>Call-outs of this length in January, added together</t>
        </is>
      </c>
    </row>
    <row r="332">
      <c r="A332" s="6" t="inlineStr"/>
      <c r="B332" s="7" t="inlineStr">
        <is>
          <t>Jan 2026</t>
        </is>
      </c>
    </row>
    <row r="333">
      <c r="A333" t="inlineStr">
        <is>
          <t>Call-outs</t>
        </is>
      </c>
      <c r="B333" s="13" t="n">
        <v>7</v>
      </c>
    </row>
    <row r="334">
      <c r="A334" t="inlineStr">
        <is>
          <t>Technician time charged ($145/hour)</t>
        </is>
      </c>
      <c r="B334" s="13" t="n">
        <v>1015</v>
      </c>
    </row>
    <row r="335">
      <c r="A335" t="inlineStr">
        <is>
          <t>Materials charged (cost × 1.3)</t>
        </is>
      </c>
      <c r="B335" s="13" t="n">
        <v>1144</v>
      </c>
    </row>
    <row r="336">
      <c r="A336" t="inlineStr">
        <is>
          <t>Revenue</t>
        </is>
      </c>
      <c r="B336" s="13">
        <f>B334+B335</f>
        <v/>
      </c>
    </row>
    <row r="337">
      <c r="A337" t="inlineStr">
        <is>
          <t>Materials at cost</t>
        </is>
      </c>
      <c r="B337" s="13" t="n">
        <v>-880</v>
      </c>
    </row>
    <row r="338">
      <c r="A338" t="inlineStr">
        <is>
          <t>Technician time at cost</t>
        </is>
      </c>
      <c r="B338" s="13" t="n">
        <v>-476</v>
      </c>
    </row>
    <row r="339">
      <c r="A339" t="inlineStr">
        <is>
          <t>Job gross margin</t>
        </is>
      </c>
      <c r="B339" s="13">
        <f>B336+B337+B338</f>
        <v/>
      </c>
    </row>
    <row r="340">
      <c r="A340" s="15" t="inlineStr">
        <is>
          <t>Job gross margin %</t>
        </is>
      </c>
      <c r="B340" s="16">
        <f>B339/B336</f>
        <v/>
      </c>
    </row>
    <row r="341"/>
    <row r="342"/>
    <row r="343">
      <c r="A343" s="5" t="inlineStr">
        <is>
          <t>1.5-hour call-outs (11)</t>
        </is>
      </c>
    </row>
    <row r="344">
      <c r="A344" s="12" t="inlineStr">
        <is>
          <t>Call-outs of this length in January, added together</t>
        </is>
      </c>
    </row>
    <row r="345">
      <c r="A345" s="6" t="inlineStr"/>
      <c r="B345" s="7" t="inlineStr">
        <is>
          <t>Jan 2026</t>
        </is>
      </c>
    </row>
    <row r="346">
      <c r="A346" t="inlineStr">
        <is>
          <t>Call-outs</t>
        </is>
      </c>
      <c r="B346" s="13" t="n">
        <v>11</v>
      </c>
    </row>
    <row r="347">
      <c r="A347" t="inlineStr">
        <is>
          <t>Technician time charged ($145/hour)</t>
        </is>
      </c>
      <c r="B347" s="13" t="n">
        <v>2396</v>
      </c>
    </row>
    <row r="348">
      <c r="A348" t="inlineStr">
        <is>
          <t>Materials charged (cost × 1.3)</t>
        </is>
      </c>
      <c r="B348" s="13" t="n">
        <v>2132</v>
      </c>
    </row>
    <row r="349">
      <c r="A349" t="inlineStr">
        <is>
          <t>Revenue</t>
        </is>
      </c>
      <c r="B349" s="13">
        <f>B347+B348</f>
        <v/>
      </c>
    </row>
    <row r="350">
      <c r="A350" t="inlineStr">
        <is>
          <t>Materials at cost</t>
        </is>
      </c>
      <c r="B350" s="13" t="n">
        <v>-1640</v>
      </c>
    </row>
    <row r="351">
      <c r="A351" t="inlineStr">
        <is>
          <t>Technician time at cost</t>
        </is>
      </c>
      <c r="B351" s="13" t="n">
        <v>-1122</v>
      </c>
    </row>
    <row r="352">
      <c r="A352" t="inlineStr">
        <is>
          <t>Job gross margin</t>
        </is>
      </c>
      <c r="B352" s="13">
        <f>B349+B350+B351</f>
        <v/>
      </c>
    </row>
    <row r="353">
      <c r="A353" s="15" t="inlineStr">
        <is>
          <t>Job gross margin %</t>
        </is>
      </c>
      <c r="B353" s="16">
        <f>B352/B349</f>
        <v/>
      </c>
    </row>
    <row r="354"/>
    <row r="355"/>
    <row r="356">
      <c r="A356" s="5" t="inlineStr">
        <is>
          <t>2-hour call-outs (8)</t>
        </is>
      </c>
    </row>
    <row r="357">
      <c r="A357" s="12" t="inlineStr">
        <is>
          <t>Call-outs of this length in January, added together</t>
        </is>
      </c>
    </row>
    <row r="358">
      <c r="A358" s="6" t="inlineStr"/>
      <c r="B358" s="7" t="inlineStr">
        <is>
          <t>Jan 2026</t>
        </is>
      </c>
    </row>
    <row r="359">
      <c r="A359" t="inlineStr">
        <is>
          <t>Call-outs</t>
        </is>
      </c>
      <c r="B359" s="13" t="n">
        <v>8</v>
      </c>
    </row>
    <row r="360">
      <c r="A360" t="inlineStr">
        <is>
          <t>Technician time charged ($145/hour)</t>
        </is>
      </c>
      <c r="B360" s="13" t="n">
        <v>2320</v>
      </c>
    </row>
    <row r="361">
      <c r="A361" t="inlineStr">
        <is>
          <t>Materials charged (cost × 1.3)</t>
        </is>
      </c>
      <c r="B361" s="13" t="n">
        <v>1131</v>
      </c>
    </row>
    <row r="362">
      <c r="A362" t="inlineStr">
        <is>
          <t>Revenue</t>
        </is>
      </c>
      <c r="B362" s="13">
        <f>B360+B361</f>
        <v/>
      </c>
    </row>
    <row r="363">
      <c r="A363" t="inlineStr">
        <is>
          <t>Materials at cost</t>
        </is>
      </c>
      <c r="B363" s="13" t="n">
        <v>-870</v>
      </c>
    </row>
    <row r="364">
      <c r="A364" t="inlineStr">
        <is>
          <t>Technician time at cost</t>
        </is>
      </c>
      <c r="B364" s="13" t="n">
        <v>-1088</v>
      </c>
    </row>
    <row r="365">
      <c r="A365" t="inlineStr">
        <is>
          <t>Job gross margin</t>
        </is>
      </c>
      <c r="B365" s="13">
        <f>B362+B363+B364</f>
        <v/>
      </c>
    </row>
    <row r="366">
      <c r="A366" s="15" t="inlineStr">
        <is>
          <t>Job gross margin %</t>
        </is>
      </c>
      <c r="B366" s="16">
        <f>B365/B362</f>
        <v/>
      </c>
    </row>
    <row r="367"/>
    <row r="368"/>
    <row r="369">
      <c r="A369" s="5" t="inlineStr">
        <is>
          <t>2.5-hour call-outs (11)</t>
        </is>
      </c>
    </row>
    <row r="370">
      <c r="A370" s="12" t="inlineStr">
        <is>
          <t>Call-outs of this length in January, added together</t>
        </is>
      </c>
    </row>
    <row r="371">
      <c r="A371" s="6" t="inlineStr"/>
      <c r="B371" s="7" t="inlineStr">
        <is>
          <t>Jan 2026</t>
        </is>
      </c>
    </row>
    <row r="372">
      <c r="A372" t="inlineStr">
        <is>
          <t>Call-outs</t>
        </is>
      </c>
      <c r="B372" s="13" t="n">
        <v>11</v>
      </c>
    </row>
    <row r="373">
      <c r="A373" t="inlineStr">
        <is>
          <t>Technician time charged ($145/hour)</t>
        </is>
      </c>
      <c r="B373" s="13" t="n">
        <v>3985</v>
      </c>
    </row>
    <row r="374">
      <c r="A374" t="inlineStr">
        <is>
          <t>Materials charged (cost × 1.3)</t>
        </is>
      </c>
      <c r="B374" s="13" t="n">
        <v>2301</v>
      </c>
    </row>
    <row r="375">
      <c r="A375" t="inlineStr">
        <is>
          <t>Revenue</t>
        </is>
      </c>
      <c r="B375" s="13">
        <f>B373+B374</f>
        <v/>
      </c>
    </row>
    <row r="376">
      <c r="A376" t="inlineStr">
        <is>
          <t>Materials at cost</t>
        </is>
      </c>
      <c r="B376" s="13" t="n">
        <v>-1770</v>
      </c>
    </row>
    <row r="377">
      <c r="A377" t="inlineStr">
        <is>
          <t>Technician time at cost</t>
        </is>
      </c>
      <c r="B377" s="13" t="n">
        <v>-1870</v>
      </c>
    </row>
    <row r="378">
      <c r="A378" t="inlineStr">
        <is>
          <t>Job gross margin</t>
        </is>
      </c>
      <c r="B378" s="13">
        <f>B375+B376+B377</f>
        <v/>
      </c>
    </row>
    <row r="379">
      <c r="A379" s="15" t="inlineStr">
        <is>
          <t>Job gross margin %</t>
        </is>
      </c>
      <c r="B379" s="16">
        <f>B378/B375</f>
        <v/>
      </c>
    </row>
    <row r="380"/>
    <row r="381"/>
    <row r="382">
      <c r="A382" s="5" t="inlineStr">
        <is>
          <t>3-hour call-outs (21)</t>
        </is>
      </c>
    </row>
    <row r="383">
      <c r="A383" s="12" t="inlineStr">
        <is>
          <t>Call-outs of this length in January, added together</t>
        </is>
      </c>
    </row>
    <row r="384">
      <c r="A384" s="6" t="inlineStr"/>
      <c r="B384" s="7" t="inlineStr">
        <is>
          <t>Jan 2026</t>
        </is>
      </c>
    </row>
    <row r="385">
      <c r="A385" t="inlineStr">
        <is>
          <t>Call-outs</t>
        </is>
      </c>
      <c r="B385" s="13" t="n">
        <v>21</v>
      </c>
    </row>
    <row r="386">
      <c r="A386" t="inlineStr">
        <is>
          <t>Technician time charged ($145/hour)</t>
        </is>
      </c>
      <c r="B386" s="13" t="n">
        <v>9135</v>
      </c>
    </row>
    <row r="387">
      <c r="A387" t="inlineStr">
        <is>
          <t>Materials charged (cost × 1.3)</t>
        </is>
      </c>
      <c r="B387" s="13" t="n">
        <v>2899</v>
      </c>
    </row>
    <row r="388">
      <c r="A388" t="inlineStr">
        <is>
          <t>Revenue</t>
        </is>
      </c>
      <c r="B388" s="13">
        <f>B386+B387</f>
        <v/>
      </c>
    </row>
    <row r="389">
      <c r="A389" t="inlineStr">
        <is>
          <t>Materials at cost</t>
        </is>
      </c>
      <c r="B389" s="13" t="n">
        <v>-2230</v>
      </c>
    </row>
    <row r="390">
      <c r="A390" t="inlineStr">
        <is>
          <t>Technician time at cost</t>
        </is>
      </c>
      <c r="B390" s="13" t="n">
        <v>-4284</v>
      </c>
    </row>
    <row r="391">
      <c r="A391" t="inlineStr">
        <is>
          <t>Job gross margin</t>
        </is>
      </c>
      <c r="B391" s="13">
        <f>B388+B389+B390</f>
        <v/>
      </c>
    </row>
    <row r="392">
      <c r="A392" s="15" t="inlineStr">
        <is>
          <t>Job gross margin %</t>
        </is>
      </c>
      <c r="B392" s="16">
        <f>B391/B388</f>
        <v/>
      </c>
    </row>
    <row r="393"/>
    <row r="394"/>
    <row r="395">
      <c r="A395" s="5" t="inlineStr">
        <is>
          <t>4-hour call-outs (4)</t>
        </is>
      </c>
    </row>
    <row r="396">
      <c r="A396" s="12" t="inlineStr">
        <is>
          <t>Call-outs of this length in January, added together</t>
        </is>
      </c>
    </row>
    <row r="397">
      <c r="A397" s="6" t="inlineStr"/>
      <c r="B397" s="7" t="inlineStr">
        <is>
          <t>Jan 2026</t>
        </is>
      </c>
    </row>
    <row r="398">
      <c r="A398" t="inlineStr">
        <is>
          <t>Call-outs</t>
        </is>
      </c>
      <c r="B398" s="13" t="n">
        <v>4</v>
      </c>
    </row>
    <row r="399">
      <c r="A399" t="inlineStr">
        <is>
          <t>Technician time charged ($145/hour)</t>
        </is>
      </c>
      <c r="B399" s="13" t="n">
        <v>2320</v>
      </c>
    </row>
    <row r="400">
      <c r="A400" t="inlineStr">
        <is>
          <t>Materials charged (cost × 1.3)</t>
        </is>
      </c>
      <c r="B400" s="13" t="n">
        <v>702</v>
      </c>
    </row>
    <row r="401">
      <c r="A401" t="inlineStr">
        <is>
          <t>Revenue</t>
        </is>
      </c>
      <c r="B401" s="13">
        <f>B399+B400</f>
        <v/>
      </c>
    </row>
    <row r="402">
      <c r="A402" t="inlineStr">
        <is>
          <t>Materials at cost</t>
        </is>
      </c>
      <c r="B402" s="13" t="n">
        <v>-540</v>
      </c>
    </row>
    <row r="403">
      <c r="A403" t="inlineStr">
        <is>
          <t>Technician time at cost</t>
        </is>
      </c>
      <c r="B403" s="13" t="n">
        <v>-1088</v>
      </c>
    </row>
    <row r="404">
      <c r="A404" t="inlineStr">
        <is>
          <t>Job gross margin</t>
        </is>
      </c>
      <c r="B404" s="13">
        <f>B401+B402+B403</f>
        <v/>
      </c>
    </row>
    <row r="405">
      <c r="A405" s="15" t="inlineStr">
        <is>
          <t>Job gross margin %</t>
        </is>
      </c>
      <c r="B405" s="16">
        <f>B404/B401</f>
        <v/>
      </c>
    </row>
    <row r="406"/>
    <row r="407"/>
    <row r="40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05"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2026-10-07T07:37:11Z</dcterms:created>
  <dcterms:modified xmlns:dcterms="http://purl.org/dc/terms/" xmlns:xsi="http://www.w3.org/2001/XMLSchema-instance" xsi:type="dcterms:W3CDTF">2026-10-07T07:37:11Z</dcterms:modified>
</cp:coreProperties>
</file>