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December 37.4%</t>
        </is>
      </c>
    </row>
    <row r="16"/>
    <row r="17">
      <c r="A17" s="10" t="inlineStr">
        <is>
          <t>Job gross margin by type of job, January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January maintenance contracts made a 59.5% job gross margin, installations made a 23.9% job gross margin, call-outs and repairs made a 43.3% job gross margin (technician time at $68 an hour, wages and all on-costs). Jobs need 38.4% just to cover overheads.</t>
        </is>
      </c>
    </row>
    <row r="25"/>
    <row r="26">
      <c r="A26" s="4" t="inlineStr">
        <is>
          <t>What you'd do about it</t>
        </is>
      </c>
    </row>
    <row r="27" ht="30" customHeight="1">
      <c r="A27" s="3" t="inlineStr">
        <is>
          <t>Maintenance contracts: 59.5% gross margin, the most profitable work you do. Installations: 23.9% gross margin, below the 38.4%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January · Maintenance contracts</t>
        </is>
      </c>
      <c r="B31" s="8">
        <f>Workings!B64</f>
        <v/>
      </c>
      <c r="C31" s="9" t="inlineStr">
        <is>
          <t>December 59.5%</t>
        </is>
      </c>
    </row>
    <row r="32"/>
    <row r="33">
      <c r="A33" s="10" t="inlineStr">
        <is>
          <t>Job gross margin on each maintenance contract, January 2026</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19.8 points clear of the 38.4%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January · Installations</t>
        </is>
      </c>
      <c r="B56" s="8">
        <f>Workings!B229</f>
        <v/>
      </c>
      <c r="C56" s="9" t="inlineStr">
        <is>
          <t>December 23.4%</t>
        </is>
      </c>
    </row>
    <row r="57"/>
    <row r="58">
      <c r="A58" s="10" t="inlineStr">
        <is>
          <t>Job gross margin on each installation invoiced in January 2026</t>
        </is>
      </c>
    </row>
    <row r="59">
      <c r="A59" s="6" t="inlineStr"/>
      <c r="B59" s="7" t="inlineStr">
        <is>
          <t>Gross margin %</t>
        </is>
      </c>
      <c r="C59" s="7" t="inlineStr">
        <is>
          <t>Gross margin $</t>
        </is>
      </c>
    </row>
    <row r="60">
      <c r="A60" t="inlineStr">
        <is>
          <t>Chermside shop data cabling</t>
        </is>
      </c>
      <c r="B60" s="8">
        <f>Workings!B242</f>
        <v/>
      </c>
      <c r="C60" s="11">
        <f>Workings!B241</f>
        <v/>
      </c>
    </row>
    <row r="61">
      <c r="A61" t="inlineStr">
        <is>
          <t>Wynnum office data cabling</t>
        </is>
      </c>
      <c r="B61" s="8">
        <f>Workings!B255</f>
        <v/>
      </c>
      <c r="C61" s="11">
        <f>Workings!B254</f>
        <v/>
      </c>
    </row>
    <row r="62">
      <c r="A62" t="inlineStr">
        <is>
          <t>Milton townhouses switchboard upgrade</t>
        </is>
      </c>
      <c r="B62" s="8">
        <f>Workings!B268</f>
        <v/>
      </c>
      <c r="C62" s="11">
        <f>Workings!B267</f>
        <v/>
      </c>
    </row>
    <row r="63">
      <c r="A63" t="inlineStr">
        <is>
          <t>West End factory switchboard upgrade</t>
        </is>
      </c>
      <c r="B63" s="8">
        <f>Workings!B281</f>
        <v/>
      </c>
      <c r="C63" s="11">
        <f>Workings!B280</f>
        <v/>
      </c>
    </row>
    <row r="64">
      <c r="A64" t="inlineStr">
        <is>
          <t>Mount Gravatt clinic solar and battery</t>
        </is>
      </c>
      <c r="B64" s="8">
        <f>Workings!B294</f>
        <v/>
      </c>
      <c r="C64" s="11">
        <f>Workings!B293</f>
        <v/>
      </c>
    </row>
    <row r="65"/>
    <row r="66">
      <c r="A66" s="4" t="inlineStr">
        <is>
          <t>What it shows</t>
        </is>
      </c>
    </row>
    <row r="67" ht="60" customHeight="1">
      <c r="A67" s="3" t="inlineStr">
        <is>
          <t>4 of the 5 installation jobs invoiced in January made less than the 35.0% job gross margin target. The Mount Gravatt clinic solar and battery made a 10.1% job gross margin: 110.0 h of technician time ($7,480) and $3,000 of subcontractors on a $27,000 job. Jobs need 38.4% gross margin just to cover overheads.</t>
        </is>
      </c>
    </row>
    <row r="68"/>
    <row r="69">
      <c r="A69" s="4" t="inlineStr">
        <is>
          <t>What you'd do about it</t>
        </is>
      </c>
    </row>
    <row r="70" ht="45" customHeight="1">
      <c r="A70" s="3" t="inlineStr">
        <is>
          <t>Below the 38.4% overheads need: Wynnum office data cabling (31.0%), Milton townhouses switchboard upgrade (24.7%), West End factory switchboard upgrade (24.0%), Mount Gravatt clinic solar and battery (10.1%). Most profitable: Chermside shop data cabling (38.9%).</t>
        </is>
      </c>
    </row>
    <row r="71"/>
    <row r="72">
      <c r="A72" s="5" t="inlineStr">
        <is>
          <t>Type of job: Call-outs and repairs</t>
        </is>
      </c>
    </row>
    <row r="73">
      <c r="A73" s="6" t="inlineStr">
        <is>
          <t>Headline number</t>
        </is>
      </c>
      <c r="B73" s="7" t="inlineStr">
        <is>
          <t>Value</t>
        </is>
      </c>
      <c r="C73" s="7" t="inlineStr">
        <is>
          <t>Compared with</t>
        </is>
      </c>
    </row>
    <row r="74">
      <c r="A74" t="inlineStr">
        <is>
          <t>Job gross margin, January · Call-outs and repairs</t>
        </is>
      </c>
      <c r="B74" s="8">
        <f>Workings!B303</f>
        <v/>
      </c>
      <c r="C74" s="9" t="inlineStr">
        <is>
          <t>December 43.5%</t>
        </is>
      </c>
    </row>
    <row r="75"/>
    <row r="76">
      <c r="A76" s="10" t="inlineStr">
        <is>
          <t>Job gross margin on call-outs by length, January 2026</t>
        </is>
      </c>
    </row>
    <row r="77">
      <c r="A77" s="6" t="inlineStr"/>
      <c r="B77" s="7" t="inlineStr">
        <is>
          <t>Gross margin %</t>
        </is>
      </c>
      <c r="C77" s="7" t="inlineStr">
        <is>
          <t>Gross margin $</t>
        </is>
      </c>
    </row>
    <row r="78">
      <c r="A78" t="inlineStr">
        <is>
          <t>1-hour call-outs (7)</t>
        </is>
      </c>
      <c r="B78" s="8">
        <f>Workings!B314</f>
        <v/>
      </c>
      <c r="C78" s="11">
        <f>Workings!B313</f>
        <v/>
      </c>
    </row>
    <row r="79">
      <c r="A79" t="inlineStr">
        <is>
          <t>1.5-hour call-outs (11)</t>
        </is>
      </c>
      <c r="B79" s="8">
        <f>Workings!B325</f>
        <v/>
      </c>
      <c r="C79" s="11">
        <f>Workings!B324</f>
        <v/>
      </c>
    </row>
    <row r="80">
      <c r="A80" t="inlineStr">
        <is>
          <t>2-hour call-outs (8)</t>
        </is>
      </c>
      <c r="B80" s="8">
        <f>Workings!B336</f>
        <v/>
      </c>
      <c r="C80" s="11">
        <f>Workings!B335</f>
        <v/>
      </c>
    </row>
    <row r="81">
      <c r="A81" t="inlineStr">
        <is>
          <t>2.5-hour call-outs (11)</t>
        </is>
      </c>
      <c r="B81" s="8">
        <f>Workings!B347</f>
        <v/>
      </c>
      <c r="C81" s="11">
        <f>Workings!B346</f>
        <v/>
      </c>
    </row>
    <row r="82">
      <c r="A82" t="inlineStr">
        <is>
          <t>3-hour call-outs (21)</t>
        </is>
      </c>
      <c r="B82" s="8">
        <f>Workings!B358</f>
        <v/>
      </c>
      <c r="C82" s="11">
        <f>Workings!B357</f>
        <v/>
      </c>
    </row>
    <row r="83">
      <c r="A83" t="inlineStr">
        <is>
          <t>4-hour call-outs (4)</t>
        </is>
      </c>
      <c r="B83" s="8">
        <f>Workings!B369</f>
        <v/>
      </c>
      <c r="C83" s="11">
        <f>Workings!B368</f>
        <v/>
      </c>
    </row>
    <row r="84"/>
    <row r="85">
      <c r="A85" s="4" t="inlineStr">
        <is>
          <t>What it shows</t>
        </is>
      </c>
    </row>
    <row r="86" ht="45" customHeight="1">
      <c r="A86" s="3" t="inlineStr">
        <is>
          <t>62 call-outs in January made a 43.3% job gross margin between them. Gross margins run from 37.2% to 46.1% by length: the hourly rate covers technician time comfortably, so the gross margin mostly moves with how much material goes on the van.</t>
        </is>
      </c>
    </row>
    <row r="87"/>
    <row r="88">
      <c r="A88" s="4" t="inlineStr">
        <is>
          <t>What you'd do about it</t>
        </is>
      </c>
    </row>
    <row r="89" ht="30" customHeight="1">
      <c r="A89" s="3" t="inlineStr">
        <is>
          <t>Call-outs: 43.3% gross margin, 4.8 points clear of the 38.4% overheads need.</t>
        </is>
      </c>
    </row>
    <row r="90"/>
    <row r="91">
      <c r="A91" s="5" t="inlineStr">
        <is>
          <t>Every type of job at once</t>
        </is>
      </c>
    </row>
    <row r="92">
      <c r="A92" s="12" t="inlineStr">
        <is>
          <t>Job gross margin by month: every month is on the Data sheet.</t>
        </is>
      </c>
    </row>
    <row r="93"/>
    <row r="94"/>
  </sheetData>
  <mergeCells count="11">
    <mergeCell ref="A5:D5"/>
    <mergeCell ref="A70:D70"/>
    <mergeCell ref="A27:D27"/>
    <mergeCell ref="A8:D8"/>
    <mergeCell ref="A67:D67"/>
    <mergeCell ref="A89:D89"/>
    <mergeCell ref="A86:D86"/>
    <mergeCell ref="A52:D52"/>
    <mergeCell ref="A24:D24"/>
    <mergeCell ref="A11:D11"/>
    <mergeCell ref="A49:D49"/>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2" min="0" max="16383" man="1"/>
  </rowBreaks>
</worksheet>
</file>

<file path=xl/worksheets/sheet2.xml><?xml version="1.0" encoding="utf-8"?>
<worksheet xmlns="http://schemas.openxmlformats.org/spreadsheetml/2006/main">
  <sheetPr>
    <outlinePr summaryBelow="1" summaryRight="1"/>
    <pageSetUpPr fitToPage="1"/>
  </sheetPr>
  <dimension ref="A1:C37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5" t="inlineStr">
        <is>
          <t>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58190</v>
      </c>
    </row>
    <row r="9">
      <c r="A9" t="inlineStr">
        <is>
          <t>Technician wages and on-costs</t>
        </is>
      </c>
      <c r="B9" s="13" t="n">
        <v>54600</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164780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always include all on-costs: super, payroll tax, workers' compensation insurance and leave.</t>
        </is>
      </c>
    </row>
    <row r="20"/>
    <row r="21"/>
    <row r="22">
      <c r="A22" s="5" t="inlineStr">
        <is>
          <t>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164780</v>
      </c>
      <c r="C25" s="13" t="n">
        <v>135079</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January</t>
        </is>
      </c>
    </row>
    <row r="32">
      <c r="A32" s="12" t="inlineStr">
        <is>
          <t>Revenue less direct cost (materials, subcontractors, technician time at cost)</t>
        </is>
      </c>
    </row>
    <row r="33">
      <c r="A33" s="6" t="inlineStr"/>
      <c r="B33" s="7" t="inlineStr">
        <is>
          <t>Jan 2026</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January</t>
        </is>
      </c>
    </row>
    <row r="41">
      <c r="A41" s="12" t="inlineStr">
        <is>
          <t>Revenue less direct cost (materials, subcontractors, technician time at cost)</t>
        </is>
      </c>
    </row>
    <row r="42">
      <c r="A42" s="6" t="inlineStr"/>
      <c r="B42" s="7" t="inlineStr">
        <is>
          <t>Jan 2026</t>
        </is>
      </c>
    </row>
    <row r="43">
      <c r="A43" t="inlineStr">
        <is>
          <t>Revenue</t>
        </is>
      </c>
      <c r="B43" s="13" t="n">
        <v>97500</v>
      </c>
    </row>
    <row r="44">
      <c r="A44" t="inlineStr">
        <is>
          <t>Direct cost</t>
        </is>
      </c>
      <c r="B44" s="13" t="n">
        <v>74216</v>
      </c>
    </row>
    <row r="45">
      <c r="A45" t="inlineStr">
        <is>
          <t>Gross margin</t>
        </is>
      </c>
      <c r="B45" s="13">
        <f>B43-B44</f>
        <v/>
      </c>
    </row>
    <row r="46">
      <c r="A46" s="15" t="inlineStr">
        <is>
          <t>Gross margin %</t>
        </is>
      </c>
      <c r="B46" s="16">
        <f>B45/B43</f>
        <v/>
      </c>
    </row>
    <row r="47"/>
    <row r="48"/>
    <row r="49">
      <c r="A49" s="5" t="inlineStr">
        <is>
          <t>Call-outs and repairs, January</t>
        </is>
      </c>
    </row>
    <row r="50">
      <c r="A50" s="12" t="inlineStr">
        <is>
          <t>Revenue less direct cost (materials, subcontractors, technician time at cost)</t>
        </is>
      </c>
    </row>
    <row r="51">
      <c r="A51" s="6" t="inlineStr"/>
      <c r="B51" s="7" t="inlineStr">
        <is>
          <t>Jan 2026</t>
        </is>
      </c>
    </row>
    <row r="52">
      <c r="A52" t="inlineStr">
        <is>
          <t>Revenue</t>
        </is>
      </c>
      <c r="B52" s="13" t="n">
        <v>31480</v>
      </c>
    </row>
    <row r="53">
      <c r="A53" t="inlineStr">
        <is>
          <t>Direct cost</t>
        </is>
      </c>
      <c r="B53" s="13" t="n">
        <v>17858</v>
      </c>
    </row>
    <row r="54">
      <c r="A54" t="inlineStr">
        <is>
          <t>Gross margin</t>
        </is>
      </c>
      <c r="B54" s="13">
        <f>B52-B53</f>
        <v/>
      </c>
    </row>
    <row r="55">
      <c r="A55" s="15" t="inlineStr">
        <is>
          <t>Gross margin %</t>
        </is>
      </c>
      <c r="B55" s="16">
        <f>B54/B52</f>
        <v/>
      </c>
    </row>
    <row r="56"/>
    <row r="57"/>
    <row r="58">
      <c r="A58" s="5" t="inlineStr">
        <is>
          <t>Maintenance contracts: gross margin, January and December</t>
        </is>
      </c>
    </row>
    <row r="59">
      <c r="A59" s="12" t="inlineStr">
        <is>
          <t>Revenue less direct cost, over revenue. Before overheads.</t>
        </is>
      </c>
    </row>
    <row r="60">
      <c r="A60" s="6" t="inlineStr"/>
      <c r="B60" s="7" t="inlineStr">
        <is>
          <t>Jan 26</t>
        </is>
      </c>
      <c r="C60" s="7" t="inlineStr">
        <is>
          <t>Dec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January and December</t>
        </is>
      </c>
    </row>
    <row r="224">
      <c r="A224" s="12" t="inlineStr">
        <is>
          <t>Revenue less direct cost, over revenue. Before overheads.</t>
        </is>
      </c>
    </row>
    <row r="225">
      <c r="A225" s="6" t="inlineStr"/>
      <c r="B225" s="7" t="inlineStr">
        <is>
          <t>Jan 26</t>
        </is>
      </c>
      <c r="C225" s="7" t="inlineStr">
        <is>
          <t>Dec 25</t>
        </is>
      </c>
    </row>
    <row r="226">
      <c r="A226" t="inlineStr">
        <is>
          <t>Revenue</t>
        </is>
      </c>
      <c r="B226" s="13" t="n">
        <v>97500</v>
      </c>
      <c r="C226" s="13" t="n">
        <v>69700</v>
      </c>
    </row>
    <row r="227">
      <c r="A227" t="inlineStr">
        <is>
          <t>Direct cost</t>
        </is>
      </c>
      <c r="B227" s="13" t="n">
        <v>74216</v>
      </c>
      <c r="C227" s="13" t="n">
        <v>53408</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Chermside shop data cabling</t>
        </is>
      </c>
    </row>
    <row r="233">
      <c r="A233" s="12" t="inlineStr">
        <is>
          <t>Job gross margin ÷ revenue for this job (before overheads)</t>
        </is>
      </c>
    </row>
    <row r="234">
      <c r="A234" s="6" t="inlineStr"/>
      <c r="B234" s="7" t="inlineStr">
        <is>
          <t>This job</t>
        </is>
      </c>
    </row>
    <row r="235">
      <c r="A235" t="inlineStr">
        <is>
          <t>Revenue</t>
        </is>
      </c>
      <c r="B235" s="13" t="n">
        <v>18700</v>
      </c>
    </row>
    <row r="236">
      <c r="A236" t="inlineStr">
        <is>
          <t>Materials</t>
        </is>
      </c>
      <c r="B236" s="13" t="n">
        <v>-4300</v>
      </c>
    </row>
    <row r="237">
      <c r="A237" t="inlineStr">
        <is>
          <t>Subcontractors</t>
        </is>
      </c>
      <c r="B237" s="13" t="n">
        <v>-2200</v>
      </c>
    </row>
    <row r="238">
      <c r="A238" t="inlineStr">
        <is>
          <t>Technician hours</t>
        </is>
      </c>
      <c r="B238" s="17" t="n">
        <v>72.5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Wynnum office data cabling</t>
        </is>
      </c>
    </row>
    <row r="246">
      <c r="A246" s="12" t="inlineStr">
        <is>
          <t>Job gross margin ÷ revenue for this job (before overheads)</t>
        </is>
      </c>
    </row>
    <row r="247">
      <c r="A247" s="6" t="inlineStr"/>
      <c r="B247" s="7" t="inlineStr">
        <is>
          <t>This job</t>
        </is>
      </c>
    </row>
    <row r="248">
      <c r="A248" t="inlineStr">
        <is>
          <t>Revenue</t>
        </is>
      </c>
      <c r="B248" s="13" t="n">
        <v>11000</v>
      </c>
    </row>
    <row r="249">
      <c r="A249" t="inlineStr">
        <is>
          <t>Materials</t>
        </is>
      </c>
      <c r="B249" s="13" t="n">
        <v>-3300</v>
      </c>
    </row>
    <row r="250">
      <c r="A250" t="inlineStr">
        <is>
          <t>Subcontractors</t>
        </is>
      </c>
      <c r="B250" s="13" t="n">
        <v>-1300</v>
      </c>
    </row>
    <row r="251">
      <c r="A251" t="inlineStr">
        <is>
          <t>Technician hours</t>
        </is>
      </c>
      <c r="B251" s="17" t="n">
        <v>44</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Milton townhouses switchboard upgrade</t>
        </is>
      </c>
    </row>
    <row r="259">
      <c r="A259" s="12" t="inlineStr">
        <is>
          <t>Job gross margin ÷ revenue for this job (before overheads)</t>
        </is>
      </c>
    </row>
    <row r="260">
      <c r="A260" s="6" t="inlineStr"/>
      <c r="B260" s="7" t="inlineStr">
        <is>
          <t>This job</t>
        </is>
      </c>
    </row>
    <row r="261">
      <c r="A261" t="inlineStr">
        <is>
          <t>Revenue</t>
        </is>
      </c>
      <c r="B261" s="13" t="n">
        <v>13100</v>
      </c>
    </row>
    <row r="262">
      <c r="A262" t="inlineStr">
        <is>
          <t>Materials</t>
        </is>
      </c>
      <c r="B262" s="13" t="n">
        <v>-5200</v>
      </c>
    </row>
    <row r="263">
      <c r="A263" t="inlineStr">
        <is>
          <t>Subcontractors</t>
        </is>
      </c>
      <c r="B263" s="13" t="n">
        <v>-1300</v>
      </c>
    </row>
    <row r="264">
      <c r="A264" t="inlineStr">
        <is>
          <t>Technician hours</t>
        </is>
      </c>
      <c r="B264" s="17" t="n">
        <v>49.5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West End factory switchboard upgrade</t>
        </is>
      </c>
    </row>
    <row r="272">
      <c r="A272" s="12" t="inlineStr">
        <is>
          <t>Job gross margin ÷ revenue for this job (before overheads)</t>
        </is>
      </c>
    </row>
    <row r="273">
      <c r="A273" s="6" t="inlineStr"/>
      <c r="B273" s="7" t="inlineStr">
        <is>
          <t>This job</t>
        </is>
      </c>
    </row>
    <row r="274">
      <c r="A274" t="inlineStr">
        <is>
          <t>Revenue</t>
        </is>
      </c>
      <c r="B274" s="13" t="n">
        <v>27700</v>
      </c>
    </row>
    <row r="275">
      <c r="A275" t="inlineStr">
        <is>
          <t>Materials</t>
        </is>
      </c>
      <c r="B275" s="13" t="n">
        <v>-10700</v>
      </c>
    </row>
    <row r="276">
      <c r="A276" t="inlineStr">
        <is>
          <t>Subcontractors</t>
        </is>
      </c>
      <c r="B276" s="13" t="n">
        <v>-2800</v>
      </c>
    </row>
    <row r="277">
      <c r="A277" t="inlineStr">
        <is>
          <t>Technician hours</t>
        </is>
      </c>
      <c r="B277" s="17" t="n">
        <v>111</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Mount Gravatt clinic solar and battery</t>
        </is>
      </c>
    </row>
    <row r="285">
      <c r="A285" s="12" t="inlineStr">
        <is>
          <t>Job gross margin ÷ revenue for this job (before overheads)</t>
        </is>
      </c>
    </row>
    <row r="286">
      <c r="A286" s="6" t="inlineStr"/>
      <c r="B286" s="7" t="inlineStr">
        <is>
          <t>This job</t>
        </is>
      </c>
    </row>
    <row r="287">
      <c r="A287" t="inlineStr">
        <is>
          <t>Revenue</t>
        </is>
      </c>
      <c r="B287" s="13" t="n">
        <v>27000</v>
      </c>
    </row>
    <row r="288">
      <c r="A288" t="inlineStr">
        <is>
          <t>Materials</t>
        </is>
      </c>
      <c r="B288" s="13" t="n">
        <v>-13800</v>
      </c>
    </row>
    <row r="289">
      <c r="A289" t="inlineStr">
        <is>
          <t>Subcontractors</t>
        </is>
      </c>
      <c r="B289" s="13" t="n">
        <v>-3000</v>
      </c>
    </row>
    <row r="290">
      <c r="A290" t="inlineStr">
        <is>
          <t>Technician hours</t>
        </is>
      </c>
      <c r="B290" s="17" t="n">
        <v>110</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Call-outs and repairs: gross margin, January and December</t>
        </is>
      </c>
    </row>
    <row r="298">
      <c r="A298" s="12" t="inlineStr">
        <is>
          <t>Revenue less direct cost, over revenue. Before overheads.</t>
        </is>
      </c>
    </row>
    <row r="299">
      <c r="A299" s="6" t="inlineStr"/>
      <c r="B299" s="7" t="inlineStr">
        <is>
          <t>Jan 26</t>
        </is>
      </c>
      <c r="C299" s="7" t="inlineStr">
        <is>
          <t>Dec 25</t>
        </is>
      </c>
    </row>
    <row r="300">
      <c r="A300" t="inlineStr">
        <is>
          <t>Revenue</t>
        </is>
      </c>
      <c r="B300" s="13" t="n">
        <v>31480</v>
      </c>
      <c r="C300" s="13" t="n">
        <v>29579</v>
      </c>
    </row>
    <row r="301">
      <c r="A301" t="inlineStr">
        <is>
          <t>Direct cost</t>
        </is>
      </c>
      <c r="B301" s="13" t="n">
        <v>17858</v>
      </c>
      <c r="C301" s="13" t="n">
        <v>16702</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1-hour call-outs (7)</t>
        </is>
      </c>
    </row>
    <row r="307">
      <c r="A307" s="12" t="inlineStr">
        <is>
          <t>Call-outs of this length in January, added together</t>
        </is>
      </c>
    </row>
    <row r="308">
      <c r="A308" s="6" t="inlineStr"/>
      <c r="B308" s="7" t="inlineStr">
        <is>
          <t>Jan 2026</t>
        </is>
      </c>
    </row>
    <row r="309">
      <c r="A309" t="inlineStr">
        <is>
          <t>Call-outs</t>
        </is>
      </c>
      <c r="B309" s="13" t="n">
        <v>7</v>
      </c>
    </row>
    <row r="310">
      <c r="A310" t="inlineStr">
        <is>
          <t>Revenue</t>
        </is>
      </c>
      <c r="B310" s="13" t="n">
        <v>2159</v>
      </c>
    </row>
    <row r="311">
      <c r="A311" t="inlineStr">
        <is>
          <t>Materials</t>
        </is>
      </c>
      <c r="B311" s="13" t="n">
        <v>-880</v>
      </c>
    </row>
    <row r="312">
      <c r="A312" t="inlineStr">
        <is>
          <t>Technician time at cost</t>
        </is>
      </c>
      <c r="B312" s="13" t="n">
        <v>-476</v>
      </c>
    </row>
    <row r="313">
      <c r="A313" t="inlineStr">
        <is>
          <t>Job gross margin</t>
        </is>
      </c>
      <c r="B313" s="13">
        <f>B310+B311+B312</f>
        <v/>
      </c>
    </row>
    <row r="314">
      <c r="A314" s="15" t="inlineStr">
        <is>
          <t>Job gross margin %</t>
        </is>
      </c>
      <c r="B314" s="16">
        <f>B313/B310</f>
        <v/>
      </c>
    </row>
    <row r="315"/>
    <row r="316"/>
    <row r="317">
      <c r="A317" s="5" t="inlineStr">
        <is>
          <t>1.5-hour call-outs (11)</t>
        </is>
      </c>
    </row>
    <row r="318">
      <c r="A318" s="12" t="inlineStr">
        <is>
          <t>Call-outs of this length in January, added together</t>
        </is>
      </c>
    </row>
    <row r="319">
      <c r="A319" s="6" t="inlineStr"/>
      <c r="B319" s="7" t="inlineStr">
        <is>
          <t>Jan 2026</t>
        </is>
      </c>
    </row>
    <row r="320">
      <c r="A320" t="inlineStr">
        <is>
          <t>Call-outs</t>
        </is>
      </c>
      <c r="B320" s="13" t="n">
        <v>11</v>
      </c>
    </row>
    <row r="321">
      <c r="A321" t="inlineStr">
        <is>
          <t>Revenue</t>
        </is>
      </c>
      <c r="B321" s="13" t="n">
        <v>4528</v>
      </c>
    </row>
    <row r="322">
      <c r="A322" t="inlineStr">
        <is>
          <t>Materials</t>
        </is>
      </c>
      <c r="B322" s="13" t="n">
        <v>-1640</v>
      </c>
    </row>
    <row r="323">
      <c r="A323" t="inlineStr">
        <is>
          <t>Technician time at cost</t>
        </is>
      </c>
      <c r="B323" s="13" t="n">
        <v>-1122</v>
      </c>
    </row>
    <row r="324">
      <c r="A324" t="inlineStr">
        <is>
          <t>Job gross margin</t>
        </is>
      </c>
      <c r="B324" s="13">
        <f>B321+B322+B323</f>
        <v/>
      </c>
    </row>
    <row r="325">
      <c r="A325" s="15" t="inlineStr">
        <is>
          <t>Job gross margin %</t>
        </is>
      </c>
      <c r="B325" s="16">
        <f>B324/B321</f>
        <v/>
      </c>
    </row>
    <row r="326"/>
    <row r="327"/>
    <row r="328">
      <c r="A328" s="5" t="inlineStr">
        <is>
          <t>2-hour call-outs (8)</t>
        </is>
      </c>
    </row>
    <row r="329">
      <c r="A329" s="12" t="inlineStr">
        <is>
          <t>Call-outs of this length in January, added together</t>
        </is>
      </c>
    </row>
    <row r="330">
      <c r="A330" s="6" t="inlineStr"/>
      <c r="B330" s="7" t="inlineStr">
        <is>
          <t>Jan 2026</t>
        </is>
      </c>
    </row>
    <row r="331">
      <c r="A331" t="inlineStr">
        <is>
          <t>Call-outs</t>
        </is>
      </c>
      <c r="B331" s="13" t="n">
        <v>8</v>
      </c>
    </row>
    <row r="332">
      <c r="A332" t="inlineStr">
        <is>
          <t>Revenue</t>
        </is>
      </c>
      <c r="B332" s="13" t="n">
        <v>3451</v>
      </c>
    </row>
    <row r="333">
      <c r="A333" t="inlineStr">
        <is>
          <t>Materials</t>
        </is>
      </c>
      <c r="B333" s="13" t="n">
        <v>-870</v>
      </c>
    </row>
    <row r="334">
      <c r="A334" t="inlineStr">
        <is>
          <t>Technician time at cost</t>
        </is>
      </c>
      <c r="B334" s="13" t="n">
        <v>-1088</v>
      </c>
    </row>
    <row r="335">
      <c r="A335" t="inlineStr">
        <is>
          <t>Job gross margin</t>
        </is>
      </c>
      <c r="B335" s="13">
        <f>B332+B333+B334</f>
        <v/>
      </c>
    </row>
    <row r="336">
      <c r="A336" s="15" t="inlineStr">
        <is>
          <t>Job gross margin %</t>
        </is>
      </c>
      <c r="B336" s="16">
        <f>B335/B332</f>
        <v/>
      </c>
    </row>
    <row r="337"/>
    <row r="338"/>
    <row r="339">
      <c r="A339" s="5" t="inlineStr">
        <is>
          <t>2.5-hour call-outs (11)</t>
        </is>
      </c>
    </row>
    <row r="340">
      <c r="A340" s="12" t="inlineStr">
        <is>
          <t>Call-outs of this length in January, added together</t>
        </is>
      </c>
    </row>
    <row r="341">
      <c r="A341" s="6" t="inlineStr"/>
      <c r="B341" s="7" t="inlineStr">
        <is>
          <t>Jan 2026</t>
        </is>
      </c>
    </row>
    <row r="342">
      <c r="A342" t="inlineStr">
        <is>
          <t>Call-outs</t>
        </is>
      </c>
      <c r="B342" s="13" t="n">
        <v>11</v>
      </c>
    </row>
    <row r="343">
      <c r="A343" t="inlineStr">
        <is>
          <t>Revenue</t>
        </is>
      </c>
      <c r="B343" s="13" t="n">
        <v>6286</v>
      </c>
    </row>
    <row r="344">
      <c r="A344" t="inlineStr">
        <is>
          <t>Materials</t>
        </is>
      </c>
      <c r="B344" s="13" t="n">
        <v>-1770</v>
      </c>
    </row>
    <row r="345">
      <c r="A345" t="inlineStr">
        <is>
          <t>Technician time at cost</t>
        </is>
      </c>
      <c r="B345" s="13" t="n">
        <v>-1870</v>
      </c>
    </row>
    <row r="346">
      <c r="A346" t="inlineStr">
        <is>
          <t>Job gross margin</t>
        </is>
      </c>
      <c r="B346" s="13">
        <f>B343+B344+B345</f>
        <v/>
      </c>
    </row>
    <row r="347">
      <c r="A347" s="15" t="inlineStr">
        <is>
          <t>Job gross margin %</t>
        </is>
      </c>
      <c r="B347" s="16">
        <f>B346/B343</f>
        <v/>
      </c>
    </row>
    <row r="348"/>
    <row r="349"/>
    <row r="350">
      <c r="A350" s="5" t="inlineStr">
        <is>
          <t>3-hour call-outs (21)</t>
        </is>
      </c>
    </row>
    <row r="351">
      <c r="A351" s="12" t="inlineStr">
        <is>
          <t>Call-outs of this length in January, added together</t>
        </is>
      </c>
    </row>
    <row r="352">
      <c r="A352" s="6" t="inlineStr"/>
      <c r="B352" s="7" t="inlineStr">
        <is>
          <t>Jan 2026</t>
        </is>
      </c>
    </row>
    <row r="353">
      <c r="A353" t="inlineStr">
        <is>
          <t>Call-outs</t>
        </is>
      </c>
      <c r="B353" s="13" t="n">
        <v>21</v>
      </c>
    </row>
    <row r="354">
      <c r="A354" t="inlineStr">
        <is>
          <t>Revenue</t>
        </is>
      </c>
      <c r="B354" s="13" t="n">
        <v>12034</v>
      </c>
    </row>
    <row r="355">
      <c r="A355" t="inlineStr">
        <is>
          <t>Materials</t>
        </is>
      </c>
      <c r="B355" s="13" t="n">
        <v>-2230</v>
      </c>
    </row>
    <row r="356">
      <c r="A356" t="inlineStr">
        <is>
          <t>Technician time at cost</t>
        </is>
      </c>
      <c r="B356" s="13" t="n">
        <v>-4284</v>
      </c>
    </row>
    <row r="357">
      <c r="A357" t="inlineStr">
        <is>
          <t>Job gross margin</t>
        </is>
      </c>
      <c r="B357" s="13">
        <f>B354+B355+B356</f>
        <v/>
      </c>
    </row>
    <row r="358">
      <c r="A358" s="15" t="inlineStr">
        <is>
          <t>Job gross margin %</t>
        </is>
      </c>
      <c r="B358" s="16">
        <f>B357/B354</f>
        <v/>
      </c>
    </row>
    <row r="359"/>
    <row r="360"/>
    <row r="361">
      <c r="A361" s="5" t="inlineStr">
        <is>
          <t>4-hour call-outs (4)</t>
        </is>
      </c>
    </row>
    <row r="362">
      <c r="A362" s="12" t="inlineStr">
        <is>
          <t>Call-outs of this length in January, added together</t>
        </is>
      </c>
    </row>
    <row r="363">
      <c r="A363" s="6" t="inlineStr"/>
      <c r="B363" s="7" t="inlineStr">
        <is>
          <t>Jan 2026</t>
        </is>
      </c>
    </row>
    <row r="364">
      <c r="A364" t="inlineStr">
        <is>
          <t>Call-outs</t>
        </is>
      </c>
      <c r="B364" s="13" t="n">
        <v>4</v>
      </c>
    </row>
    <row r="365">
      <c r="A365" t="inlineStr">
        <is>
          <t>Revenue</t>
        </is>
      </c>
      <c r="B365" s="13" t="n">
        <v>3022</v>
      </c>
    </row>
    <row r="366">
      <c r="A366" t="inlineStr">
        <is>
          <t>Materials</t>
        </is>
      </c>
      <c r="B366" s="13" t="n">
        <v>-540</v>
      </c>
    </row>
    <row r="367">
      <c r="A367" t="inlineStr">
        <is>
          <t>Technician time at cost</t>
        </is>
      </c>
      <c r="B367" s="13" t="n">
        <v>-1088</v>
      </c>
    </row>
    <row r="368">
      <c r="A368" t="inlineStr">
        <is>
          <t>Job gross margin</t>
        </is>
      </c>
      <c r="B368" s="13">
        <f>B365+B366+B367</f>
        <v/>
      </c>
    </row>
    <row r="369">
      <c r="A369" s="15" t="inlineStr">
        <is>
          <t>Job gross margin %</t>
        </is>
      </c>
      <c r="B369" s="16">
        <f>B368/B365</f>
        <v/>
      </c>
    </row>
    <row r="370"/>
    <row r="371"/>
    <row r="372"/>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4" manualBreakCount="14">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05" min="0" max="16383" man="1"/>
    <brk id="327" min="0" max="16383" man="1"/>
    <brk id="349"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Maintenance contracts</t>
        </is>
      </c>
      <c r="B22" s="18" t="inlineStr">
        <is>
          <t>Oct 24</t>
        </is>
      </c>
      <c r="C22" s="18" t="inlineStr">
        <is>
          <t>Locked</t>
        </is>
      </c>
      <c r="D22" s="13" t="n">
        <v>24670</v>
      </c>
      <c r="E22" s="13" t="n">
        <v>10420</v>
      </c>
      <c r="F22" s="13">
        <f>D22-E22</f>
        <v/>
      </c>
      <c r="G22" s="14">
        <f>IF(D22=0,"",F22/D22)</f>
        <v/>
      </c>
    </row>
    <row r="23">
      <c r="A23" s="18" t="inlineStr">
        <is>
          <t>Maintenance contracts</t>
        </is>
      </c>
      <c r="B23" s="18" t="inlineStr">
        <is>
          <t>Nov 24</t>
        </is>
      </c>
      <c r="C23" s="18" t="inlineStr">
        <is>
          <t>Locked</t>
        </is>
      </c>
      <c r="D23" s="13" t="n">
        <v>24670</v>
      </c>
      <c r="E23" s="13" t="n">
        <v>10420</v>
      </c>
      <c r="F23" s="13">
        <f>D23-E23</f>
        <v/>
      </c>
      <c r="G23" s="14">
        <f>IF(D23=0,"",F23/D23)</f>
        <v/>
      </c>
    </row>
    <row r="24">
      <c r="A24" s="18" t="inlineStr">
        <is>
          <t>Maintenance contracts</t>
        </is>
      </c>
      <c r="B24" s="18" t="inlineStr">
        <is>
          <t>Dec 24</t>
        </is>
      </c>
      <c r="C24" s="18" t="inlineStr">
        <is>
          <t>Locked</t>
        </is>
      </c>
      <c r="D24" s="13" t="n">
        <v>24670</v>
      </c>
      <c r="E24" s="13" t="n">
        <v>10420</v>
      </c>
      <c r="F24" s="13">
        <f>D24-E24</f>
        <v/>
      </c>
      <c r="G24" s="14">
        <f>IF(D24=0,"",F24/D24)</f>
        <v/>
      </c>
    </row>
    <row r="25">
      <c r="A25" s="18" t="inlineStr">
        <is>
          <t>Maintenance contracts</t>
        </is>
      </c>
      <c r="B25" s="18" t="inlineStr">
        <is>
          <t>Jan 25</t>
        </is>
      </c>
      <c r="C25" s="18" t="inlineStr">
        <is>
          <t>Locked</t>
        </is>
      </c>
      <c r="D25" s="13" t="n">
        <v>24670</v>
      </c>
      <c r="E25" s="13" t="n">
        <v>10420</v>
      </c>
      <c r="F25" s="13">
        <f>D25-E25</f>
        <v/>
      </c>
      <c r="G25" s="14">
        <f>IF(D25=0,"",F25/D25)</f>
        <v/>
      </c>
    </row>
    <row r="26">
      <c r="A26" s="18" t="inlineStr">
        <is>
          <t>Maintenance contracts</t>
        </is>
      </c>
      <c r="B26" s="18" t="inlineStr">
        <is>
          <t>Feb 25</t>
        </is>
      </c>
      <c r="C26" s="18" t="inlineStr">
        <is>
          <t>Locked</t>
        </is>
      </c>
      <c r="D26" s="13" t="n">
        <v>27930</v>
      </c>
      <c r="E26" s="13" t="n">
        <v>11782</v>
      </c>
      <c r="F26" s="13">
        <f>D26-E26</f>
        <v/>
      </c>
      <c r="G26" s="14">
        <f>IF(D26=0,"",F26/D26)</f>
        <v/>
      </c>
    </row>
    <row r="27">
      <c r="A27" s="18" t="inlineStr">
        <is>
          <t>Maintenance contracts</t>
        </is>
      </c>
      <c r="B27" s="18" t="inlineStr">
        <is>
          <t>Mar 25</t>
        </is>
      </c>
      <c r="C27" s="18" t="inlineStr">
        <is>
          <t>Locked</t>
        </is>
      </c>
      <c r="D27" s="13" t="n">
        <v>27930</v>
      </c>
      <c r="E27" s="13" t="n">
        <v>11782</v>
      </c>
      <c r="F27" s="13">
        <f>D27-E27</f>
        <v/>
      </c>
      <c r="G27" s="14">
        <f>IF(D27=0,"",F27/D27)</f>
        <v/>
      </c>
    </row>
    <row r="28">
      <c r="A28" s="18" t="inlineStr">
        <is>
          <t>Maintenance contracts</t>
        </is>
      </c>
      <c r="B28" s="18" t="inlineStr">
        <is>
          <t>Apr 25</t>
        </is>
      </c>
      <c r="C28" s="18" t="inlineStr">
        <is>
          <t>Locked</t>
        </is>
      </c>
      <c r="D28" s="13" t="n">
        <v>27930</v>
      </c>
      <c r="E28" s="13" t="n">
        <v>11782</v>
      </c>
      <c r="F28" s="13">
        <f>D28-E28</f>
        <v/>
      </c>
      <c r="G28" s="14">
        <f>IF(D28=0,"",F28/D28)</f>
        <v/>
      </c>
    </row>
    <row r="29">
      <c r="A29" s="18" t="inlineStr">
        <is>
          <t>Maintenance contracts</t>
        </is>
      </c>
      <c r="B29" s="18" t="inlineStr">
        <is>
          <t>May 25</t>
        </is>
      </c>
      <c r="C29" s="18" t="inlineStr">
        <is>
          <t>Locked</t>
        </is>
      </c>
      <c r="D29" s="13" t="n">
        <v>27930</v>
      </c>
      <c r="E29" s="13" t="n">
        <v>11782</v>
      </c>
      <c r="F29" s="13">
        <f>D29-E29</f>
        <v/>
      </c>
      <c r="G29" s="14">
        <f>IF(D29=0,"",F29/D29)</f>
        <v/>
      </c>
    </row>
    <row r="30">
      <c r="A30" s="18" t="inlineStr">
        <is>
          <t>Maintenance contracts</t>
        </is>
      </c>
      <c r="B30" s="18" t="inlineStr">
        <is>
          <t>Jun 25</t>
        </is>
      </c>
      <c r="C30" s="18" t="inlineStr">
        <is>
          <t>Locked</t>
        </is>
      </c>
      <c r="D30" s="13" t="n">
        <v>31870</v>
      </c>
      <c r="E30" s="13" t="n">
        <v>13446</v>
      </c>
      <c r="F30" s="13">
        <f>D30-E30</f>
        <v/>
      </c>
      <c r="G30" s="14">
        <f>IF(D30=0,"",F30/D30)</f>
        <v/>
      </c>
    </row>
    <row r="31">
      <c r="A31" s="18" t="inlineStr">
        <is>
          <t>Maintenance contracts</t>
        </is>
      </c>
      <c r="B31" s="18" t="inlineStr">
        <is>
          <t>Jul 25</t>
        </is>
      </c>
      <c r="C31" s="18" t="inlineStr">
        <is>
          <t>Locked</t>
        </is>
      </c>
      <c r="D31" s="13" t="n">
        <v>33200</v>
      </c>
      <c r="E31" s="13" t="n">
        <v>13446</v>
      </c>
      <c r="F31" s="13">
        <f>D31-E31</f>
        <v/>
      </c>
      <c r="G31" s="14">
        <f>IF(D31=0,"",F31/D31)</f>
        <v/>
      </c>
    </row>
    <row r="32">
      <c r="A32" s="18" t="inlineStr">
        <is>
          <t>Maintenance contracts</t>
        </is>
      </c>
      <c r="B32" s="18" t="inlineStr">
        <is>
          <t>Aug 25</t>
        </is>
      </c>
      <c r="C32" s="18" t="inlineStr">
        <is>
          <t>Locked</t>
        </is>
      </c>
      <c r="D32" s="13" t="n">
        <v>33200</v>
      </c>
      <c r="E32" s="13" t="n">
        <v>13446</v>
      </c>
      <c r="F32" s="13">
        <f>D32-E32</f>
        <v/>
      </c>
      <c r="G32" s="14">
        <f>IF(D32=0,"",F32/D32)</f>
        <v/>
      </c>
    </row>
    <row r="33">
      <c r="A33" s="18" t="inlineStr">
        <is>
          <t>Maintenance contracts</t>
        </is>
      </c>
      <c r="B33" s="18" t="inlineStr">
        <is>
          <t>Sep 25</t>
        </is>
      </c>
      <c r="C33" s="18" t="inlineStr">
        <is>
          <t>Locked</t>
        </is>
      </c>
      <c r="D33" s="13" t="n">
        <v>33200</v>
      </c>
      <c r="E33" s="13" t="n">
        <v>13446</v>
      </c>
      <c r="F33" s="13">
        <f>D33-E33</f>
        <v/>
      </c>
      <c r="G33" s="14">
        <f>IF(D33=0,"",F33/D33)</f>
        <v/>
      </c>
    </row>
    <row r="34">
      <c r="A34" s="18" t="inlineStr">
        <is>
          <t>Maintenance contracts</t>
        </is>
      </c>
      <c r="B34" s="18" t="inlineStr">
        <is>
          <t>Oct 25</t>
        </is>
      </c>
      <c r="C34" s="18" t="inlineStr">
        <is>
          <t>Locked</t>
        </is>
      </c>
      <c r="D34" s="13" t="n">
        <v>35800</v>
      </c>
      <c r="E34" s="13" t="n">
        <v>14516</v>
      </c>
      <c r="F34" s="13">
        <f>D34-E34</f>
        <v/>
      </c>
      <c r="G34" s="14">
        <f>IF(D34=0,"",F34/D34)</f>
        <v/>
      </c>
    </row>
    <row r="35">
      <c r="A35" s="18" t="inlineStr">
        <is>
          <t>Maintenance contracts</t>
        </is>
      </c>
      <c r="B35" s="18" t="inlineStr">
        <is>
          <t>Nov 25</t>
        </is>
      </c>
      <c r="C35" s="18" t="inlineStr">
        <is>
          <t>Locked</t>
        </is>
      </c>
      <c r="D35" s="13" t="n">
        <v>35800</v>
      </c>
      <c r="E35" s="13" t="n">
        <v>14516</v>
      </c>
      <c r="F35" s="13">
        <f>D35-E35</f>
        <v/>
      </c>
      <c r="G35" s="14">
        <f>IF(D35=0,"",F35/D35)</f>
        <v/>
      </c>
    </row>
    <row r="36">
      <c r="A36" s="18" t="inlineStr">
        <is>
          <t>Maintenance contracts</t>
        </is>
      </c>
      <c r="B36" s="18" t="inlineStr">
        <is>
          <t>Dec 25</t>
        </is>
      </c>
      <c r="C36" s="18" t="inlineStr">
        <is>
          <t>Locked</t>
        </is>
      </c>
      <c r="D36" s="13" t="n">
        <v>35800</v>
      </c>
      <c r="E36" s="13" t="n">
        <v>14516</v>
      </c>
      <c r="F36" s="13">
        <f>D36-E36</f>
        <v/>
      </c>
      <c r="G36" s="14">
        <f>IF(D36=0,"",F36/D36)</f>
        <v/>
      </c>
    </row>
    <row r="37">
      <c r="A37" s="18" t="inlineStr">
        <is>
          <t>Maintenance contracts</t>
        </is>
      </c>
      <c r="B37" s="18" t="inlineStr">
        <is>
          <t>Jan 26</t>
        </is>
      </c>
      <c r="C37" s="18" t="inlineStr">
        <is>
          <t>Locked</t>
        </is>
      </c>
      <c r="D37" s="13" t="n">
        <v>35800</v>
      </c>
      <c r="E37" s="13" t="n">
        <v>14516</v>
      </c>
      <c r="F37" s="13">
        <f>D37-E37</f>
        <v/>
      </c>
      <c r="G37" s="14">
        <f>IF(D37=0,"",F37/D37)</f>
        <v/>
      </c>
    </row>
    <row r="38">
      <c r="A38" s="18" t="inlineStr">
        <is>
          <t>Installations</t>
        </is>
      </c>
      <c r="B38" s="18" t="inlineStr">
        <is>
          <t>Oct 24</t>
        </is>
      </c>
      <c r="C38" s="18" t="inlineStr">
        <is>
          <t>Locked</t>
        </is>
      </c>
      <c r="D38" s="13" t="n">
        <v>126300</v>
      </c>
      <c r="E38" s="13" t="n">
        <v>92430</v>
      </c>
      <c r="F38" s="13">
        <f>D38-E38</f>
        <v/>
      </c>
      <c r="G38" s="14">
        <f>IF(D38=0,"",F38/D38)</f>
        <v/>
      </c>
    </row>
    <row r="39">
      <c r="A39" s="18" t="inlineStr">
        <is>
          <t>Installations</t>
        </is>
      </c>
      <c r="B39" s="18" t="inlineStr">
        <is>
          <t>Nov 24</t>
        </is>
      </c>
      <c r="C39" s="18" t="inlineStr">
        <is>
          <t>Locked</t>
        </is>
      </c>
      <c r="D39" s="13" t="n">
        <v>131400</v>
      </c>
      <c r="E39" s="13" t="n">
        <v>89070</v>
      </c>
      <c r="F39" s="13">
        <f>D39-E39</f>
        <v/>
      </c>
      <c r="G39" s="14">
        <f>IF(D39=0,"",F39/D39)</f>
        <v/>
      </c>
    </row>
    <row r="40">
      <c r="A40" s="18" t="inlineStr">
        <is>
          <t>Installations</t>
        </is>
      </c>
      <c r="B40" s="18" t="inlineStr">
        <is>
          <t>Dec 24</t>
        </is>
      </c>
      <c r="C40" s="18" t="inlineStr">
        <is>
          <t>Locked</t>
        </is>
      </c>
      <c r="D40" s="13" t="n">
        <v>92600</v>
      </c>
      <c r="E40" s="13" t="n">
        <v>59908</v>
      </c>
      <c r="F40" s="13">
        <f>D40-E40</f>
        <v/>
      </c>
      <c r="G40" s="14">
        <f>IF(D40=0,"",F40/D40)</f>
        <v/>
      </c>
    </row>
    <row r="41">
      <c r="A41" s="18" t="inlineStr">
        <is>
          <t>Installations</t>
        </is>
      </c>
      <c r="B41" s="18" t="inlineStr">
        <is>
          <t>Jan 25</t>
        </is>
      </c>
      <c r="C41" s="18" t="inlineStr">
        <is>
          <t>Locked</t>
        </is>
      </c>
      <c r="D41" s="13" t="n">
        <v>89400</v>
      </c>
      <c r="E41" s="13" t="n">
        <v>54678</v>
      </c>
      <c r="F41" s="13">
        <f>D41-E41</f>
        <v/>
      </c>
      <c r="G41" s="14">
        <f>IF(D41=0,"",F41/D41)</f>
        <v/>
      </c>
    </row>
    <row r="42">
      <c r="A42" s="18" t="inlineStr">
        <is>
          <t>Installations</t>
        </is>
      </c>
      <c r="B42" s="18" t="inlineStr">
        <is>
          <t>Feb 25</t>
        </is>
      </c>
      <c r="C42" s="18" t="inlineStr">
        <is>
          <t>Locked</t>
        </is>
      </c>
      <c r="D42" s="13" t="n">
        <v>106000</v>
      </c>
      <c r="E42" s="13" t="n">
        <v>74966</v>
      </c>
      <c r="F42" s="13">
        <f>D42-E42</f>
        <v/>
      </c>
      <c r="G42" s="14">
        <f>IF(D42=0,"",F42/D42)</f>
        <v/>
      </c>
    </row>
    <row r="43">
      <c r="A43" s="18" t="inlineStr">
        <is>
          <t>Installations</t>
        </is>
      </c>
      <c r="B43" s="18" t="inlineStr">
        <is>
          <t>Mar 25</t>
        </is>
      </c>
      <c r="C43" s="18" t="inlineStr">
        <is>
          <t>Locked</t>
        </is>
      </c>
      <c r="D43" s="13" t="n">
        <v>86100</v>
      </c>
      <c r="E43" s="13" t="n">
        <v>61664</v>
      </c>
      <c r="F43" s="13">
        <f>D43-E43</f>
        <v/>
      </c>
      <c r="G43" s="14">
        <f>IF(D43=0,"",F43/D43)</f>
        <v/>
      </c>
    </row>
    <row r="44">
      <c r="A44" s="18" t="inlineStr">
        <is>
          <t>Installations</t>
        </is>
      </c>
      <c r="B44" s="18" t="inlineStr">
        <is>
          <t>Apr 25</t>
        </is>
      </c>
      <c r="C44" s="18" t="inlineStr">
        <is>
          <t>Locked</t>
        </is>
      </c>
      <c r="D44" s="13" t="n">
        <v>74900</v>
      </c>
      <c r="E44" s="13" t="n">
        <v>52264</v>
      </c>
      <c r="F44" s="13">
        <f>D44-E44</f>
        <v/>
      </c>
      <c r="G44" s="14">
        <f>IF(D44=0,"",F44/D44)</f>
        <v/>
      </c>
    </row>
    <row r="45">
      <c r="A45" s="18" t="inlineStr">
        <is>
          <t>Installations</t>
        </is>
      </c>
      <c r="B45" s="18" t="inlineStr">
        <is>
          <t>May 25</t>
        </is>
      </c>
      <c r="C45" s="18" t="inlineStr">
        <is>
          <t>Locked</t>
        </is>
      </c>
      <c r="D45" s="13" t="n">
        <v>80300</v>
      </c>
      <c r="E45" s="13" t="n">
        <v>59534</v>
      </c>
      <c r="F45" s="13">
        <f>D45-E45</f>
        <v/>
      </c>
      <c r="G45" s="14">
        <f>IF(D45=0,"",F45/D45)</f>
        <v/>
      </c>
    </row>
    <row r="46">
      <c r="A46" s="18" t="inlineStr">
        <is>
          <t>Installations</t>
        </is>
      </c>
      <c r="B46" s="18" t="inlineStr">
        <is>
          <t>Jun 25</t>
        </is>
      </c>
      <c r="C46" s="18" t="inlineStr">
        <is>
          <t>Locked</t>
        </is>
      </c>
      <c r="D46" s="13" t="n">
        <v>112700</v>
      </c>
      <c r="E46" s="13" t="n">
        <v>72976</v>
      </c>
      <c r="F46" s="13">
        <f>D46-E46</f>
        <v/>
      </c>
      <c r="G46" s="14">
        <f>IF(D46=0,"",F46/D46)</f>
        <v/>
      </c>
    </row>
    <row r="47">
      <c r="A47" s="18" t="inlineStr">
        <is>
          <t>Installations</t>
        </is>
      </c>
      <c r="B47" s="18" t="inlineStr">
        <is>
          <t>Jul 25</t>
        </is>
      </c>
      <c r="C47" s="18" t="inlineStr">
        <is>
          <t>Locked</t>
        </is>
      </c>
      <c r="D47" s="13" t="n">
        <v>135800</v>
      </c>
      <c r="E47" s="13" t="n">
        <v>96920</v>
      </c>
      <c r="F47" s="13">
        <f>D47-E47</f>
        <v/>
      </c>
      <c r="G47" s="14">
        <f>IF(D47=0,"",F47/D47)</f>
        <v/>
      </c>
    </row>
    <row r="48">
      <c r="A48" s="18" t="inlineStr">
        <is>
          <t>Installations</t>
        </is>
      </c>
      <c r="B48" s="18" t="inlineStr">
        <is>
          <t>Aug 25</t>
        </is>
      </c>
      <c r="C48" s="18" t="inlineStr">
        <is>
          <t>Locked</t>
        </is>
      </c>
      <c r="D48" s="13" t="n">
        <v>86200</v>
      </c>
      <c r="E48" s="13" t="n">
        <v>53590</v>
      </c>
      <c r="F48" s="13">
        <f>D48-E48</f>
        <v/>
      </c>
      <c r="G48" s="14">
        <f>IF(D48=0,"",F48/D48)</f>
        <v/>
      </c>
    </row>
    <row r="49">
      <c r="A49" s="18" t="inlineStr">
        <is>
          <t>Installations</t>
        </is>
      </c>
      <c r="B49" s="18" t="inlineStr">
        <is>
          <t>Sep 25</t>
        </is>
      </c>
      <c r="C49" s="18" t="inlineStr">
        <is>
          <t>Locked</t>
        </is>
      </c>
      <c r="D49" s="13" t="n">
        <v>75100</v>
      </c>
      <c r="E49" s="13" t="n">
        <v>55440</v>
      </c>
      <c r="F49" s="13">
        <f>D49-E49</f>
        <v/>
      </c>
      <c r="G49" s="14">
        <f>IF(D49=0,"",F49/D49)</f>
        <v/>
      </c>
    </row>
    <row r="50">
      <c r="A50" s="18" t="inlineStr">
        <is>
          <t>Installations</t>
        </is>
      </c>
      <c r="B50" s="18" t="inlineStr">
        <is>
          <t>Oct 25</t>
        </is>
      </c>
      <c r="C50" s="18" t="inlineStr">
        <is>
          <t>Locked</t>
        </is>
      </c>
      <c r="D50" s="13" t="n">
        <v>70800</v>
      </c>
      <c r="E50" s="13" t="n">
        <v>52288</v>
      </c>
      <c r="F50" s="13">
        <f>D50-E50</f>
        <v/>
      </c>
      <c r="G50" s="14">
        <f>IF(D50=0,"",F50/D50)</f>
        <v/>
      </c>
    </row>
    <row r="51">
      <c r="A51" s="18" t="inlineStr">
        <is>
          <t>Installations</t>
        </is>
      </c>
      <c r="B51" s="18" t="inlineStr">
        <is>
          <t>Nov 25</t>
        </is>
      </c>
      <c r="C51" s="18" t="inlineStr">
        <is>
          <t>Locked</t>
        </is>
      </c>
      <c r="D51" s="13" t="n">
        <v>113300</v>
      </c>
      <c r="E51" s="13" t="n">
        <v>87174</v>
      </c>
      <c r="F51" s="13">
        <f>D51-E51</f>
        <v/>
      </c>
      <c r="G51" s="14">
        <f>IF(D51=0,"",F51/D51)</f>
        <v/>
      </c>
    </row>
    <row r="52">
      <c r="A52" s="18" t="inlineStr">
        <is>
          <t>Installations</t>
        </is>
      </c>
      <c r="B52" s="18" t="inlineStr">
        <is>
          <t>Dec 25</t>
        </is>
      </c>
      <c r="C52" s="18" t="inlineStr">
        <is>
          <t>Locked</t>
        </is>
      </c>
      <c r="D52" s="13" t="n">
        <v>69700</v>
      </c>
      <c r="E52" s="13" t="n">
        <v>53408</v>
      </c>
      <c r="F52" s="13">
        <f>D52-E52</f>
        <v/>
      </c>
      <c r="G52" s="14">
        <f>IF(D52=0,"",F52/D52)</f>
        <v/>
      </c>
    </row>
    <row r="53">
      <c r="A53" s="18" t="inlineStr">
        <is>
          <t>Installations</t>
        </is>
      </c>
      <c r="B53" s="18" t="inlineStr">
        <is>
          <t>Jan 26</t>
        </is>
      </c>
      <c r="C53" s="18" t="inlineStr">
        <is>
          <t>Locked</t>
        </is>
      </c>
      <c r="D53" s="13" t="n">
        <v>97500</v>
      </c>
      <c r="E53" s="13" t="n">
        <v>74216</v>
      </c>
      <c r="F53" s="13">
        <f>D53-E53</f>
        <v/>
      </c>
      <c r="G53" s="14">
        <f>IF(D53=0,"",F53/D53)</f>
        <v/>
      </c>
    </row>
    <row r="54">
      <c r="A54" s="18" t="inlineStr">
        <is>
          <t>Call-outs and repairs</t>
        </is>
      </c>
      <c r="B54" s="18" t="inlineStr">
        <is>
          <t>Oct 24</t>
        </is>
      </c>
      <c r="C54" s="18" t="inlineStr">
        <is>
          <t>Locked</t>
        </is>
      </c>
      <c r="D54" s="13" t="n">
        <v>20039</v>
      </c>
      <c r="E54" s="13" t="n">
        <v>11484</v>
      </c>
      <c r="F54" s="13">
        <f>D54-E54</f>
        <v/>
      </c>
      <c r="G54" s="14">
        <f>IF(D54=0,"",F54/D54)</f>
        <v/>
      </c>
    </row>
    <row r="55">
      <c r="A55" s="18" t="inlineStr">
        <is>
          <t>Call-outs and repairs</t>
        </is>
      </c>
      <c r="B55" s="18" t="inlineStr">
        <is>
          <t>Nov 24</t>
        </is>
      </c>
      <c r="C55" s="18" t="inlineStr">
        <is>
          <t>Locked</t>
        </is>
      </c>
      <c r="D55" s="13" t="n">
        <v>23404</v>
      </c>
      <c r="E55" s="13" t="n">
        <v>13526</v>
      </c>
      <c r="F55" s="13">
        <f>D55-E55</f>
        <v/>
      </c>
      <c r="G55" s="14">
        <f>IF(D55=0,"",F55/D55)</f>
        <v/>
      </c>
    </row>
    <row r="56">
      <c r="A56" s="18" t="inlineStr">
        <is>
          <t>Call-outs and repairs</t>
        </is>
      </c>
      <c r="B56" s="18" t="inlineStr">
        <is>
          <t>Dec 24</t>
        </is>
      </c>
      <c r="C56" s="18" t="inlineStr">
        <is>
          <t>Locked</t>
        </is>
      </c>
      <c r="D56" s="13" t="n">
        <v>25886</v>
      </c>
      <c r="E56" s="13" t="n">
        <v>14988</v>
      </c>
      <c r="F56" s="13">
        <f>D56-E56</f>
        <v/>
      </c>
      <c r="G56" s="14">
        <f>IF(D56=0,"",F56/D56)</f>
        <v/>
      </c>
    </row>
    <row r="57">
      <c r="A57" s="18" t="inlineStr">
        <is>
          <t>Call-outs and repairs</t>
        </is>
      </c>
      <c r="B57" s="18" t="inlineStr">
        <is>
          <t>Jan 25</t>
        </is>
      </c>
      <c r="C57" s="18" t="inlineStr">
        <is>
          <t>Locked</t>
        </is>
      </c>
      <c r="D57" s="13" t="n">
        <v>26839</v>
      </c>
      <c r="E57" s="13" t="n">
        <v>15644</v>
      </c>
      <c r="F57" s="13">
        <f>D57-E57</f>
        <v/>
      </c>
      <c r="G57" s="14">
        <f>IF(D57=0,"",F57/D57)</f>
        <v/>
      </c>
    </row>
    <row r="58">
      <c r="A58" s="18" t="inlineStr">
        <is>
          <t>Call-outs and repairs</t>
        </is>
      </c>
      <c r="B58" s="18" t="inlineStr">
        <is>
          <t>Feb 25</t>
        </is>
      </c>
      <c r="C58" s="18" t="inlineStr">
        <is>
          <t>Locked</t>
        </is>
      </c>
      <c r="D58" s="13" t="n">
        <v>27013</v>
      </c>
      <c r="E58" s="13" t="n">
        <v>15600</v>
      </c>
      <c r="F58" s="13">
        <f>D58-E58</f>
        <v/>
      </c>
      <c r="G58" s="14">
        <f>IF(D58=0,"",F58/D58)</f>
        <v/>
      </c>
    </row>
    <row r="59">
      <c r="A59" s="18" t="inlineStr">
        <is>
          <t>Call-outs and repairs</t>
        </is>
      </c>
      <c r="B59" s="18" t="inlineStr">
        <is>
          <t>Mar 25</t>
        </is>
      </c>
      <c r="C59" s="18" t="inlineStr">
        <is>
          <t>Locked</t>
        </is>
      </c>
      <c r="D59" s="13" t="n">
        <v>21052</v>
      </c>
      <c r="E59" s="13" t="n">
        <v>12306</v>
      </c>
      <c r="F59" s="13">
        <f>D59-E59</f>
        <v/>
      </c>
      <c r="G59" s="14">
        <f>IF(D59=0,"",F59/D59)</f>
        <v/>
      </c>
    </row>
    <row r="60">
      <c r="A60" s="18" t="inlineStr">
        <is>
          <t>Call-outs and repairs</t>
        </is>
      </c>
      <c r="B60" s="18" t="inlineStr">
        <is>
          <t>Apr 25</t>
        </is>
      </c>
      <c r="C60" s="18" t="inlineStr">
        <is>
          <t>Locked</t>
        </is>
      </c>
      <c r="D60" s="13" t="n">
        <v>21875</v>
      </c>
      <c r="E60" s="13" t="n">
        <v>12762</v>
      </c>
      <c r="F60" s="13">
        <f>D60-E60</f>
        <v/>
      </c>
      <c r="G60" s="14">
        <f>IF(D60=0,"",F60/D60)</f>
        <v/>
      </c>
    </row>
    <row r="61">
      <c r="A61" s="18" t="inlineStr">
        <is>
          <t>Call-outs and repairs</t>
        </is>
      </c>
      <c r="B61" s="18" t="inlineStr">
        <is>
          <t>May 25</t>
        </is>
      </c>
      <c r="C61" s="18" t="inlineStr">
        <is>
          <t>Locked</t>
        </is>
      </c>
      <c r="D61" s="13" t="n">
        <v>21586</v>
      </c>
      <c r="E61" s="13" t="n">
        <v>12384</v>
      </c>
      <c r="F61" s="13">
        <f>D61-E61</f>
        <v/>
      </c>
      <c r="G61" s="14">
        <f>IF(D61=0,"",F61/D61)</f>
        <v/>
      </c>
    </row>
    <row r="62">
      <c r="A62" s="18" t="inlineStr">
        <is>
          <t>Call-outs and repairs</t>
        </is>
      </c>
      <c r="B62" s="18" t="inlineStr">
        <is>
          <t>Jun 25</t>
        </is>
      </c>
      <c r="C62" s="18" t="inlineStr">
        <is>
          <t>Locked</t>
        </is>
      </c>
      <c r="D62" s="13" t="n">
        <v>19543</v>
      </c>
      <c r="E62" s="13" t="n">
        <v>11162</v>
      </c>
      <c r="F62" s="13">
        <f>D62-E62</f>
        <v/>
      </c>
      <c r="G62" s="14">
        <f>IF(D62=0,"",F62/D62)</f>
        <v/>
      </c>
    </row>
    <row r="63">
      <c r="A63" s="18" t="inlineStr">
        <is>
          <t>Call-outs and repairs</t>
        </is>
      </c>
      <c r="B63" s="18" t="inlineStr">
        <is>
          <t>Jul 25</t>
        </is>
      </c>
      <c r="C63" s="18" t="inlineStr">
        <is>
          <t>Locked</t>
        </is>
      </c>
      <c r="D63" s="13" t="n">
        <v>17760</v>
      </c>
      <c r="E63" s="13" t="n">
        <v>9960</v>
      </c>
      <c r="F63" s="13">
        <f>D63-E63</f>
        <v/>
      </c>
      <c r="G63" s="14">
        <f>IF(D63=0,"",F63/D63)</f>
        <v/>
      </c>
    </row>
    <row r="64">
      <c r="A64" s="18" t="inlineStr">
        <is>
          <t>Call-outs and repairs</t>
        </is>
      </c>
      <c r="B64" s="18" t="inlineStr">
        <is>
          <t>Aug 25</t>
        </is>
      </c>
      <c r="C64" s="18" t="inlineStr">
        <is>
          <t>Locked</t>
        </is>
      </c>
      <c r="D64" s="13" t="n">
        <v>19764</v>
      </c>
      <c r="E64" s="13" t="n">
        <v>11222</v>
      </c>
      <c r="F64" s="13">
        <f>D64-E64</f>
        <v/>
      </c>
      <c r="G64" s="14">
        <f>IF(D64=0,"",F64/D64)</f>
        <v/>
      </c>
    </row>
    <row r="65">
      <c r="A65" s="18" t="inlineStr">
        <is>
          <t>Call-outs and repairs</t>
        </is>
      </c>
      <c r="B65" s="18" t="inlineStr">
        <is>
          <t>Sep 25</t>
        </is>
      </c>
      <c r="C65" s="18" t="inlineStr">
        <is>
          <t>Locked</t>
        </is>
      </c>
      <c r="D65" s="13" t="n">
        <v>19955</v>
      </c>
      <c r="E65" s="13" t="n">
        <v>11168</v>
      </c>
      <c r="F65" s="13">
        <f>D65-E65</f>
        <v/>
      </c>
      <c r="G65" s="14">
        <f>IF(D65=0,"",F65/D65)</f>
        <v/>
      </c>
    </row>
    <row r="66">
      <c r="A66" s="18" t="inlineStr">
        <is>
          <t>Call-outs and repairs</t>
        </is>
      </c>
      <c r="B66" s="18" t="inlineStr">
        <is>
          <t>Oct 25</t>
        </is>
      </c>
      <c r="C66" s="18" t="inlineStr">
        <is>
          <t>Locked</t>
        </is>
      </c>
      <c r="D66" s="13" t="n">
        <v>22298</v>
      </c>
      <c r="E66" s="13" t="n">
        <v>12648</v>
      </c>
      <c r="F66" s="13">
        <f>D66-E66</f>
        <v/>
      </c>
      <c r="G66" s="14">
        <f>IF(D66=0,"",F66/D66)</f>
        <v/>
      </c>
    </row>
    <row r="67">
      <c r="A67" s="18" t="inlineStr">
        <is>
          <t>Call-outs and repairs</t>
        </is>
      </c>
      <c r="B67" s="18" t="inlineStr">
        <is>
          <t>Nov 25</t>
        </is>
      </c>
      <c r="C67" s="18" t="inlineStr">
        <is>
          <t>Locked</t>
        </is>
      </c>
      <c r="D67" s="13" t="n">
        <v>25686</v>
      </c>
      <c r="E67" s="13" t="n">
        <v>14252</v>
      </c>
      <c r="F67" s="13">
        <f>D67-E67</f>
        <v/>
      </c>
      <c r="G67" s="14">
        <f>IF(D67=0,"",F67/D67)</f>
        <v/>
      </c>
    </row>
    <row r="68">
      <c r="A68" s="18" t="inlineStr">
        <is>
          <t>Call-outs and repairs</t>
        </is>
      </c>
      <c r="B68" s="18" t="inlineStr">
        <is>
          <t>Dec 25</t>
        </is>
      </c>
      <c r="C68" s="18" t="inlineStr">
        <is>
          <t>Locked</t>
        </is>
      </c>
      <c r="D68" s="13" t="n">
        <v>29579</v>
      </c>
      <c r="E68" s="13" t="n">
        <v>16702</v>
      </c>
      <c r="F68" s="13">
        <f>D68-E68</f>
        <v/>
      </c>
      <c r="G68" s="14">
        <f>IF(D68=0,"",F68/D68)</f>
        <v/>
      </c>
    </row>
    <row r="69">
      <c r="A69" s="18" t="inlineStr">
        <is>
          <t>Call-outs and repairs</t>
        </is>
      </c>
      <c r="B69" s="18" t="inlineStr">
        <is>
          <t>Jan 26</t>
        </is>
      </c>
      <c r="C69" s="18" t="inlineStr">
        <is>
          <t>Locked</t>
        </is>
      </c>
      <c r="D69" s="13" t="n">
        <v>31480</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1" min="0" max="16383" man="1"/>
    <brk id="37" min="0" max="16383" man="1"/>
    <brk id="53"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2026-10-06T07:09:30Z</dcterms:created>
  <dcterms:modified xmlns:dcterms="http://purl.org/dc/terms/" xmlns:xsi="http://www.w3.org/2001/XMLSchema-instance" xsi:type="dcterms:W3CDTF">2026-10-06T07:09:30Z</dcterms:modified>
</cp:coreProperties>
</file>