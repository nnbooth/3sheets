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anuary_against_January_last_year">'Report'!$B$16</definedName>
    <definedName name="Services_Year_to_date_Jul_to_Jan_2026">'Report'!$B$17</definedName>
    <definedName name="Services_Gross_margin_year_to_date">'Report'!$B$18</definedName>
    <definedName name="Services_January_against_January_last_year_2">'Report'!$B$28</definedName>
    <definedName name="Services_Year_to_date_Jul_to_Jan_2026_2">'Report'!$B$29</definedName>
    <definedName name="Services_Gross_margin_year_to_date_2">'Report'!$B$30</definedName>
    <definedName name="Services_January_against_January_last_year_3">'Report'!$B$40</definedName>
    <definedName name="Services_Year_to_date_Jul_to_Jan_2026_3">'Report'!$B$41</definedName>
    <definedName name="Services_Gross_margin_year_to_date_3">'Report'!$B$42</definedName>
    <definedName name="Services_January_against_January_last_year_4">'Report'!$B$52</definedName>
    <definedName name="Services_Year_to_date_Jul_to_Jan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Services'!$A$1:$G$69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Services'!$D$6:$D$21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Services'!$D$22:$D$37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Services'!$D$38:$D$53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Services'!$D$54:$D$69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9" headerRowCount="1">
  <autoFilter ref="A5:G69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January's client work made $69,830 gross margin (68.2%). Consultant time not charged to client work took $15,180 and overheads $51,360, leaving $3,290 profit before tax (3.2% of revenue). To cover overheads, client work needs a 65.0%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January against January last year</t>
        </is>
      </c>
      <c r="B16" s="9">
        <f>Workings!B27</f>
        <v/>
      </c>
      <c r="C16" s="10" t="inlineStr">
        <is>
          <t>$102,350 against $96,560</t>
        </is>
      </c>
    </row>
    <row r="17">
      <c r="A17" t="inlineStr">
        <is>
          <t>Year to date (Jul to Jan 2026)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$390,095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$578,275 this financial year to date (Jul to Jan 2026). Training makes the highest gross margin (77.9%); Projects the lowest (65.0%). The business needs 65.0%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65.0% gross margin, 25.0 points over the 40.0% target ($89,665 ahead on $358,275 this financial year to date). Training: 77.9% gross margin, 37.9 points over the 40.0% target ($20,880 ahead on $55,100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January against January last year</t>
        </is>
      </c>
      <c r="B28" s="9">
        <f>Workings!B51</f>
        <v/>
      </c>
      <c r="C28" s="10" t="inlineStr">
        <is>
          <t>$66,950 against $73,060</t>
        </is>
      </c>
    </row>
    <row r="29">
      <c r="A29" t="inlineStr">
        <is>
          <t>Year to date (Jul to Jan 2026)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$232,975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$358,275 this financial year to date, at a 65.0% gross margin (below the 67.5%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65.0% gross margin, 25.0 points over the 40.0% target ($89,665 ahead on $358,275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January against January last year</t>
        </is>
      </c>
      <c r="B40" s="9">
        <f>Workings!B75</f>
        <v/>
      </c>
      <c r="C40" s="10" t="inlineStr">
        <is>
          <t>$31,100 against $16,500</t>
        </is>
      </c>
    </row>
    <row r="41">
      <c r="A41" t="inlineStr">
        <is>
          <t>Year to date (Jul to Jan 2026)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$114,200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$164,900 this financial year to date, at a 69.3% gross margin (above the 67.5%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69.3% gross margin, 29.3 points over the 40.0% target ($48,240 ahead on $164,900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January against January last year</t>
        </is>
      </c>
      <c r="B52" s="9">
        <f>Workings!B99</f>
        <v/>
      </c>
      <c r="C52" s="10" t="inlineStr">
        <is>
          <t>$4,300 against $7,000</t>
        </is>
      </c>
    </row>
    <row r="53">
      <c r="A53" t="inlineStr">
        <is>
          <t>Year to date (Jul to Jan 2026)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$42,920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$55,100 this financial year to date, at a 77.9% gross margin (above the 67.5%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77.9% gross margin, 37.9 points over the 40.0% target ($20,880 ahead on $55,100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January 2026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Jan 2026</t>
        </is>
      </c>
    </row>
    <row r="8">
      <c r="A8" t="inlineStr">
        <is>
          <t>Gross margin on client work</t>
        </is>
      </c>
      <c r="B8" s="13" t="n">
        <v>69830</v>
      </c>
    </row>
    <row r="9">
      <c r="A9" t="inlineStr">
        <is>
          <t>Consultant wages and on-costs</t>
        </is>
      </c>
      <c r="B9" s="13" t="n">
        <v>45600</v>
      </c>
    </row>
    <row r="10">
      <c r="A10" t="inlineStr">
        <is>
          <t>Consultant time charged to client work (at cost)</t>
        </is>
      </c>
      <c r="B10" s="13" t="n">
        <v>30420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51360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102350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January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January against January last year</t>
        </is>
      </c>
    </row>
    <row r="23">
      <c r="A23" s="12" t="inlineStr">
        <is>
          <t>January 2026 ÷ January 2025 − 1 (year on year)</t>
        </is>
      </c>
    </row>
    <row r="24">
      <c r="A24" s="7" t="inlineStr"/>
      <c r="B24" s="8" t="inlineStr">
        <is>
          <t>Jan</t>
        </is>
      </c>
    </row>
    <row r="25">
      <c r="A25" t="inlineStr">
        <is>
          <t>Revenue, Jan 2026</t>
        </is>
      </c>
      <c r="B25" s="13" t="n">
        <v>102350</v>
      </c>
    </row>
    <row r="26">
      <c r="A26" t="inlineStr">
        <is>
          <t>Revenue, Jan 2025</t>
        </is>
      </c>
      <c r="B26" s="13" t="n">
        <v>96560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Jan 2026)</t>
        </is>
      </c>
      <c r="B33" s="13" t="n">
        <v>578275</v>
      </c>
    </row>
    <row r="34">
      <c r="A34" t="inlineStr">
        <is>
          <t>Gross margin, year to date</t>
        </is>
      </c>
      <c r="B34" s="13" t="n">
        <v>390095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Jan 2026)</t>
        </is>
      </c>
      <c r="B41" s="13" t="n">
        <v>578275</v>
      </c>
    </row>
    <row r="42">
      <c r="A42" t="inlineStr">
        <is>
          <t>Gross margin, year to date</t>
        </is>
      </c>
      <c r="B42" s="13" t="n">
        <v>390095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January against January last year</t>
        </is>
      </c>
    </row>
    <row r="47">
      <c r="A47" s="12" t="inlineStr">
        <is>
          <t>January 2026 ÷ January 2025 − 1 (year on year)</t>
        </is>
      </c>
    </row>
    <row r="48">
      <c r="A48" s="7" t="inlineStr"/>
      <c r="B48" s="8" t="inlineStr">
        <is>
          <t>Jan</t>
        </is>
      </c>
    </row>
    <row r="49">
      <c r="A49" t="inlineStr">
        <is>
          <t>Revenue, Jan 2026</t>
        </is>
      </c>
      <c r="B49" s="13" t="n">
        <v>66950</v>
      </c>
    </row>
    <row r="50">
      <c r="A50" t="inlineStr">
        <is>
          <t>Revenue, Jan 2025</t>
        </is>
      </c>
      <c r="B50" s="13" t="n">
        <v>73060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Jan 2026)</t>
        </is>
      </c>
      <c r="B57" s="13" t="n">
        <v>358275</v>
      </c>
    </row>
    <row r="58">
      <c r="A58" t="inlineStr">
        <is>
          <t>Gross margin, year to date</t>
        </is>
      </c>
      <c r="B58" s="13" t="n">
        <v>232975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Jan 2026)</t>
        </is>
      </c>
      <c r="B65" s="13" t="n">
        <v>358275</v>
      </c>
    </row>
    <row r="66">
      <c r="A66" t="inlineStr">
        <is>
          <t>Gross margin, year to date</t>
        </is>
      </c>
      <c r="B66" s="13" t="n">
        <v>232975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January against January last year</t>
        </is>
      </c>
    </row>
    <row r="71">
      <c r="A71" s="12" t="inlineStr">
        <is>
          <t>January 2026 ÷ January 2025 − 1 (year on year)</t>
        </is>
      </c>
    </row>
    <row r="72">
      <c r="A72" s="7" t="inlineStr"/>
      <c r="B72" s="8" t="inlineStr">
        <is>
          <t>Jan</t>
        </is>
      </c>
    </row>
    <row r="73">
      <c r="A73" t="inlineStr">
        <is>
          <t>Revenue, Jan 2026</t>
        </is>
      </c>
      <c r="B73" s="13" t="n">
        <v>31100</v>
      </c>
    </row>
    <row r="74">
      <c r="A74" t="inlineStr">
        <is>
          <t>Revenue, Jan 2025</t>
        </is>
      </c>
      <c r="B74" s="13" t="n">
        <v>16500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Jan 2026)</t>
        </is>
      </c>
      <c r="B81" s="13" t="n">
        <v>164900</v>
      </c>
    </row>
    <row r="82">
      <c r="A82" t="inlineStr">
        <is>
          <t>Gross margin, year to date</t>
        </is>
      </c>
      <c r="B82" s="13" t="n">
        <v>114200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Jan 2026)</t>
        </is>
      </c>
      <c r="B89" s="13" t="n">
        <v>164900</v>
      </c>
    </row>
    <row r="90">
      <c r="A90" t="inlineStr">
        <is>
          <t>Gross margin, year to date</t>
        </is>
      </c>
      <c r="B90" s="13" t="n">
        <v>114200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January against January last year</t>
        </is>
      </c>
    </row>
    <row r="95">
      <c r="A95" s="12" t="inlineStr">
        <is>
          <t>January 2026 ÷ January 2025 − 1 (year on year)</t>
        </is>
      </c>
    </row>
    <row r="96">
      <c r="A96" s="7" t="inlineStr"/>
      <c r="B96" s="8" t="inlineStr">
        <is>
          <t>Jan</t>
        </is>
      </c>
    </row>
    <row r="97">
      <c r="A97" t="inlineStr">
        <is>
          <t>Revenue, Jan 2026</t>
        </is>
      </c>
      <c r="B97" s="13" t="n">
        <v>4300</v>
      </c>
    </row>
    <row r="98">
      <c r="A98" t="inlineStr">
        <is>
          <t>Revenue, Jan 2025</t>
        </is>
      </c>
      <c r="B98" s="13" t="n">
        <v>7000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Jan 2026)</t>
        </is>
      </c>
      <c r="B105" s="13" t="n">
        <v>55100</v>
      </c>
    </row>
    <row r="106">
      <c r="A106" t="inlineStr">
        <is>
          <t>Gross margin, year to date</t>
        </is>
      </c>
      <c r="B106" s="13" t="n">
        <v>42920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Jan 2026)</t>
        </is>
      </c>
      <c r="B113" s="13" t="n">
        <v>55100</v>
      </c>
    </row>
    <row r="114">
      <c r="A114" t="inlineStr">
        <is>
          <t>Gross margin, year to date</t>
        </is>
      </c>
      <c r="B114" s="13" t="n">
        <v>42920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All</t>
        </is>
      </c>
      <c r="B19" s="17" t="inlineStr">
        <is>
          <t>Nov 25</t>
        </is>
      </c>
      <c r="C19" s="17" t="inlineStr">
        <is>
          <t>Locked</t>
        </is>
      </c>
      <c r="D19" s="13" t="n">
        <v>92575</v>
      </c>
      <c r="E19" s="13" t="n">
        <v>31140</v>
      </c>
      <c r="F19" s="13">
        <f>D19-E19</f>
        <v/>
      </c>
      <c r="G19" s="14">
        <f>IF(D19=0,"",F19/D19)</f>
        <v/>
      </c>
    </row>
    <row r="20">
      <c r="A20" s="17" t="inlineStr">
        <is>
          <t>All</t>
        </is>
      </c>
      <c r="B20" s="17" t="inlineStr">
        <is>
          <t>Dec 25</t>
        </is>
      </c>
      <c r="C20" s="17" t="inlineStr">
        <is>
          <t>Locked</t>
        </is>
      </c>
      <c r="D20" s="13" t="n">
        <v>76600</v>
      </c>
      <c r="E20" s="13" t="n">
        <v>24520</v>
      </c>
      <c r="F20" s="13">
        <f>D20-E20</f>
        <v/>
      </c>
      <c r="G20" s="14">
        <f>IF(D20=0,"",F20/D20)</f>
        <v/>
      </c>
    </row>
    <row r="21">
      <c r="A21" s="17" t="inlineStr">
        <is>
          <t>All</t>
        </is>
      </c>
      <c r="B21" s="17" t="inlineStr">
        <is>
          <t>Jan 26</t>
        </is>
      </c>
      <c r="C21" s="17" t="inlineStr">
        <is>
          <t>Locked</t>
        </is>
      </c>
      <c r="D21" s="13" t="n">
        <v>102350</v>
      </c>
      <c r="E21" s="13" t="n">
        <v>32520</v>
      </c>
      <c r="F21" s="13">
        <f>D21-E21</f>
        <v/>
      </c>
      <c r="G21" s="14">
        <f>IF(D21=0,"",F21/D21)</f>
        <v/>
      </c>
    </row>
    <row r="22">
      <c r="A22" s="17" t="inlineStr">
        <is>
          <t>Projects</t>
        </is>
      </c>
      <c r="B22" s="17" t="inlineStr">
        <is>
          <t>Oct 24</t>
        </is>
      </c>
      <c r="C22" s="17" t="inlineStr">
        <is>
          <t>Locked</t>
        </is>
      </c>
      <c r="D22" s="13" t="n">
        <v>77350</v>
      </c>
      <c r="E22" s="13" t="n">
        <v>27820</v>
      </c>
      <c r="F22" s="13">
        <f>D22-E22</f>
        <v/>
      </c>
      <c r="G22" s="14">
        <f>IF(D22=0,"",F22/D22)</f>
        <v/>
      </c>
    </row>
    <row r="23">
      <c r="A23" s="17" t="inlineStr">
        <is>
          <t>Projects</t>
        </is>
      </c>
      <c r="B23" s="17" t="inlineStr">
        <is>
          <t>Nov 24</t>
        </is>
      </c>
      <c r="C23" s="17" t="inlineStr">
        <is>
          <t>Locked</t>
        </is>
      </c>
      <c r="D23" s="13" t="n">
        <v>96790</v>
      </c>
      <c r="E23" s="13" t="n">
        <v>34400</v>
      </c>
      <c r="F23" s="13">
        <f>D23-E23</f>
        <v/>
      </c>
      <c r="G23" s="14">
        <f>IF(D23=0,"",F23/D23)</f>
        <v/>
      </c>
    </row>
    <row r="24">
      <c r="A24" s="17" t="inlineStr">
        <is>
          <t>Projects</t>
        </is>
      </c>
      <c r="B24" s="17" t="inlineStr">
        <is>
          <t>Dec 24</t>
        </is>
      </c>
      <c r="C24" s="17" t="inlineStr">
        <is>
          <t>Locked</t>
        </is>
      </c>
      <c r="D24" s="13" t="n">
        <v>103515</v>
      </c>
      <c r="E24" s="13" t="n">
        <v>36880</v>
      </c>
      <c r="F24" s="13">
        <f>D24-E24</f>
        <v/>
      </c>
      <c r="G24" s="14">
        <f>IF(D24=0,"",F24/D24)</f>
        <v/>
      </c>
    </row>
    <row r="25">
      <c r="A25" s="17" t="inlineStr">
        <is>
          <t>Projects</t>
        </is>
      </c>
      <c r="B25" s="17" t="inlineStr">
        <is>
          <t>Jan 25</t>
        </is>
      </c>
      <c r="C25" s="17" t="inlineStr">
        <is>
          <t>Locked</t>
        </is>
      </c>
      <c r="D25" s="13" t="n">
        <v>73060</v>
      </c>
      <c r="E25" s="13" t="n">
        <v>26240</v>
      </c>
      <c r="F25" s="13">
        <f>D25-E25</f>
        <v/>
      </c>
      <c r="G25" s="14">
        <f>IF(D25=0,"",F25/D25)</f>
        <v/>
      </c>
    </row>
    <row r="26">
      <c r="A26" s="17" t="inlineStr">
        <is>
          <t>Projects</t>
        </is>
      </c>
      <c r="B26" s="17" t="inlineStr">
        <is>
          <t>Feb 25</t>
        </is>
      </c>
      <c r="C26" s="17" t="inlineStr">
        <is>
          <t>Locked</t>
        </is>
      </c>
      <c r="D26" s="13" t="n">
        <v>92075</v>
      </c>
      <c r="E26" s="13" t="n">
        <v>34360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Mar 25</t>
        </is>
      </c>
      <c r="C27" s="17" t="inlineStr">
        <is>
          <t>Locked</t>
        </is>
      </c>
      <c r="D27" s="13" t="n">
        <v>53340</v>
      </c>
      <c r="E27" s="13" t="n">
        <v>21860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Apr 25</t>
        </is>
      </c>
      <c r="C28" s="17" t="inlineStr">
        <is>
          <t>Locked</t>
        </is>
      </c>
      <c r="D28" s="13" t="n">
        <v>40885</v>
      </c>
      <c r="E28" s="13" t="n">
        <v>17660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May 25</t>
        </is>
      </c>
      <c r="C29" s="17" t="inlineStr">
        <is>
          <t>Locked</t>
        </is>
      </c>
      <c r="D29" s="13" t="n">
        <v>65570</v>
      </c>
      <c r="E29" s="13" t="n">
        <v>23980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Jun 25</t>
        </is>
      </c>
      <c r="C30" s="17" t="inlineStr">
        <is>
          <t>Locked</t>
        </is>
      </c>
      <c r="D30" s="13" t="n">
        <v>70760</v>
      </c>
      <c r="E30" s="13" t="n">
        <v>26860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Jul 25</t>
        </is>
      </c>
      <c r="C31" s="17" t="inlineStr">
        <is>
          <t>Locked</t>
        </is>
      </c>
      <c r="D31" s="13" t="n">
        <v>71205</v>
      </c>
      <c r="E31" s="13" t="n">
        <v>25920</v>
      </c>
      <c r="F31" s="13">
        <f>D31-E31</f>
        <v/>
      </c>
      <c r="G31" s="14">
        <f>IF(D31=0,"",F31/D31)</f>
        <v/>
      </c>
    </row>
    <row r="32">
      <c r="A32" s="17" t="inlineStr">
        <is>
          <t>Projects</t>
        </is>
      </c>
      <c r="B32" s="17" t="inlineStr">
        <is>
          <t>Aug 25</t>
        </is>
      </c>
      <c r="C32" s="17" t="inlineStr">
        <is>
          <t>Locked</t>
        </is>
      </c>
      <c r="D32" s="13" t="n">
        <v>42845</v>
      </c>
      <c r="E32" s="13" t="n">
        <v>13860</v>
      </c>
      <c r="F32" s="13">
        <f>D32-E32</f>
        <v/>
      </c>
      <c r="G32" s="14">
        <f>IF(D32=0,"",F32/D32)</f>
        <v/>
      </c>
    </row>
    <row r="33">
      <c r="A33" s="17" t="inlineStr">
        <is>
          <t>Projects</t>
        </is>
      </c>
      <c r="B33" s="17" t="inlineStr">
        <is>
          <t>Sep 25</t>
        </is>
      </c>
      <c r="C33" s="17" t="inlineStr">
        <is>
          <t>Locked</t>
        </is>
      </c>
      <c r="D33" s="13" t="n">
        <v>42050</v>
      </c>
      <c r="E33" s="13" t="n">
        <v>13560</v>
      </c>
      <c r="F33" s="13">
        <f>D33-E33</f>
        <v/>
      </c>
      <c r="G33" s="14">
        <f>IF(D33=0,"",F33/D33)</f>
        <v/>
      </c>
    </row>
    <row r="34">
      <c r="A34" s="17" t="inlineStr">
        <is>
          <t>Projects</t>
        </is>
      </c>
      <c r="B34" s="17" t="inlineStr">
        <is>
          <t>Oct 25</t>
        </is>
      </c>
      <c r="C34" s="17" t="inlineStr">
        <is>
          <t>Locked</t>
        </is>
      </c>
      <c r="D34" s="13" t="n">
        <v>50650</v>
      </c>
      <c r="E34" s="13" t="n">
        <v>18220</v>
      </c>
      <c r="F34" s="13">
        <f>D34-E34</f>
        <v/>
      </c>
      <c r="G34" s="14">
        <f>IF(D34=0,"",F34/D34)</f>
        <v/>
      </c>
    </row>
    <row r="35">
      <c r="A35" s="17" t="inlineStr">
        <is>
          <t>Projects</t>
        </is>
      </c>
      <c r="B35" s="17" t="inlineStr">
        <is>
          <t>Nov 25</t>
        </is>
      </c>
      <c r="C35" s="17" t="inlineStr">
        <is>
          <t>Locked</t>
        </is>
      </c>
      <c r="D35" s="13" t="n">
        <v>51775</v>
      </c>
      <c r="E35" s="13" t="n">
        <v>18960</v>
      </c>
      <c r="F35" s="13">
        <f>D35-E35</f>
        <v/>
      </c>
      <c r="G35" s="14">
        <f>IF(D35=0,"",F35/D35)</f>
        <v/>
      </c>
    </row>
    <row r="36">
      <c r="A36" s="17" t="inlineStr">
        <is>
          <t>Projects</t>
        </is>
      </c>
      <c r="B36" s="17" t="inlineStr">
        <is>
          <t>Dec 25</t>
        </is>
      </c>
      <c r="C36" s="17" t="inlineStr">
        <is>
          <t>Locked</t>
        </is>
      </c>
      <c r="D36" s="13" t="n">
        <v>32800</v>
      </c>
      <c r="E36" s="13" t="n">
        <v>12340</v>
      </c>
      <c r="F36" s="13">
        <f>D36-E36</f>
        <v/>
      </c>
      <c r="G36" s="14">
        <f>IF(D36=0,"",F36/D36)</f>
        <v/>
      </c>
    </row>
    <row r="37">
      <c r="A37" s="17" t="inlineStr">
        <is>
          <t>Projects</t>
        </is>
      </c>
      <c r="B37" s="17" t="inlineStr">
        <is>
          <t>Jan 26</t>
        </is>
      </c>
      <c r="C37" s="17" t="inlineStr">
        <is>
          <t>Locked</t>
        </is>
      </c>
      <c r="D37" s="13" t="n">
        <v>66950</v>
      </c>
      <c r="E37" s="13" t="n">
        <v>22440</v>
      </c>
      <c r="F37" s="13">
        <f>D37-E37</f>
        <v/>
      </c>
      <c r="G37" s="14">
        <f>IF(D37=0,"",F37/D37)</f>
        <v/>
      </c>
    </row>
    <row r="38">
      <c r="A38" s="17" t="inlineStr">
        <is>
          <t>Retainers</t>
        </is>
      </c>
      <c r="B38" s="17" t="inlineStr">
        <is>
          <t>Oct 24</t>
        </is>
      </c>
      <c r="C38" s="17" t="inlineStr">
        <is>
          <t>Locked</t>
        </is>
      </c>
      <c r="D38" s="13" t="n">
        <v>16500</v>
      </c>
      <c r="E38" s="13" t="n">
        <v>4800</v>
      </c>
      <c r="F38" s="13">
        <f>D38-E38</f>
        <v/>
      </c>
      <c r="G38" s="14">
        <f>IF(D38=0,"",F38/D38)</f>
        <v/>
      </c>
    </row>
    <row r="39">
      <c r="A39" s="17" t="inlineStr">
        <is>
          <t>Retainers</t>
        </is>
      </c>
      <c r="B39" s="17" t="inlineStr">
        <is>
          <t>Nov 24</t>
        </is>
      </c>
      <c r="C39" s="17" t="inlineStr">
        <is>
          <t>Locked</t>
        </is>
      </c>
      <c r="D39" s="13" t="n">
        <v>16500</v>
      </c>
      <c r="E39" s="13" t="n">
        <v>4800</v>
      </c>
      <c r="F39" s="13">
        <f>D39-E39</f>
        <v/>
      </c>
      <c r="G39" s="14">
        <f>IF(D39=0,"",F39/D39)</f>
        <v/>
      </c>
    </row>
    <row r="40">
      <c r="A40" s="17" t="inlineStr">
        <is>
          <t>Retainers</t>
        </is>
      </c>
      <c r="B40" s="17" t="inlineStr">
        <is>
          <t>Dec 24</t>
        </is>
      </c>
      <c r="C40" s="17" t="inlineStr">
        <is>
          <t>Locked</t>
        </is>
      </c>
      <c r="D40" s="13" t="n">
        <v>16500</v>
      </c>
      <c r="E40" s="13" t="n">
        <v>5100</v>
      </c>
      <c r="F40" s="13">
        <f>D40-E40</f>
        <v/>
      </c>
      <c r="G40" s="14">
        <f>IF(D40=0,"",F40/D40)</f>
        <v/>
      </c>
    </row>
    <row r="41">
      <c r="A41" s="17" t="inlineStr">
        <is>
          <t>Retainers</t>
        </is>
      </c>
      <c r="B41" s="17" t="inlineStr">
        <is>
          <t>Jan 25</t>
        </is>
      </c>
      <c r="C41" s="17" t="inlineStr">
        <is>
          <t>Locked</t>
        </is>
      </c>
      <c r="D41" s="13" t="n">
        <v>16500</v>
      </c>
      <c r="E41" s="13" t="n">
        <v>4920</v>
      </c>
      <c r="F41" s="13">
        <f>D41-E41</f>
        <v/>
      </c>
      <c r="G41" s="14">
        <f>IF(D41=0,"",F41/D41)</f>
        <v/>
      </c>
    </row>
    <row r="42">
      <c r="A42" s="17" t="inlineStr">
        <is>
          <t>Retainers</t>
        </is>
      </c>
      <c r="B42" s="17" t="inlineStr">
        <is>
          <t>Feb 25</t>
        </is>
      </c>
      <c r="C42" s="17" t="inlineStr">
        <is>
          <t>Locked</t>
        </is>
      </c>
      <c r="D42" s="13" t="n">
        <v>16500</v>
      </c>
      <c r="E42" s="13" t="n">
        <v>5400</v>
      </c>
      <c r="F42" s="13">
        <f>D42-E42</f>
        <v/>
      </c>
      <c r="G42" s="14">
        <f>IF(D42=0,"",F42/D42)</f>
        <v/>
      </c>
    </row>
    <row r="43">
      <c r="A43" s="17" t="inlineStr">
        <is>
          <t>Retainers</t>
        </is>
      </c>
      <c r="B43" s="17" t="inlineStr">
        <is>
          <t>Mar 25</t>
        </is>
      </c>
      <c r="C43" s="17" t="inlineStr">
        <is>
          <t>Locked</t>
        </is>
      </c>
      <c r="D43" s="13" t="n">
        <v>24000</v>
      </c>
      <c r="E43" s="13" t="n">
        <v>7980</v>
      </c>
      <c r="F43" s="13">
        <f>D43-E43</f>
        <v/>
      </c>
      <c r="G43" s="14">
        <f>IF(D43=0,"",F43/D43)</f>
        <v/>
      </c>
    </row>
    <row r="44">
      <c r="A44" s="17" t="inlineStr">
        <is>
          <t>Retainers</t>
        </is>
      </c>
      <c r="B44" s="17" t="inlineStr">
        <is>
          <t>Apr 25</t>
        </is>
      </c>
      <c r="C44" s="17" t="inlineStr">
        <is>
          <t>Locked</t>
        </is>
      </c>
      <c r="D44" s="13" t="n">
        <v>24000</v>
      </c>
      <c r="E44" s="13" t="n">
        <v>7020</v>
      </c>
      <c r="F44" s="13">
        <f>D44-E44</f>
        <v/>
      </c>
      <c r="G44" s="14">
        <f>IF(D44=0,"",F44/D44)</f>
        <v/>
      </c>
    </row>
    <row r="45">
      <c r="A45" s="17" t="inlineStr">
        <is>
          <t>Retainers</t>
        </is>
      </c>
      <c r="B45" s="17" t="inlineStr">
        <is>
          <t>May 25</t>
        </is>
      </c>
      <c r="C45" s="17" t="inlineStr">
        <is>
          <t>Locked</t>
        </is>
      </c>
      <c r="D45" s="13" t="n">
        <v>24000</v>
      </c>
      <c r="E45" s="13" t="n">
        <v>8460</v>
      </c>
      <c r="F45" s="13">
        <f>D45-E45</f>
        <v/>
      </c>
      <c r="G45" s="14">
        <f>IF(D45=0,"",F45/D45)</f>
        <v/>
      </c>
    </row>
    <row r="46">
      <c r="A46" s="17" t="inlineStr">
        <is>
          <t>Retainers</t>
        </is>
      </c>
      <c r="B46" s="17" t="inlineStr">
        <is>
          <t>Jun 25</t>
        </is>
      </c>
      <c r="C46" s="17" t="inlineStr">
        <is>
          <t>Locked</t>
        </is>
      </c>
      <c r="D46" s="13" t="n">
        <v>24000</v>
      </c>
      <c r="E46" s="13" t="n">
        <v>7800</v>
      </c>
      <c r="F46" s="13">
        <f>D46-E46</f>
        <v/>
      </c>
      <c r="G46" s="14">
        <f>IF(D46=0,"",F46/D46)</f>
        <v/>
      </c>
    </row>
    <row r="47">
      <c r="A47" s="17" t="inlineStr">
        <is>
          <t>Retainers</t>
        </is>
      </c>
      <c r="B47" s="17" t="inlineStr">
        <is>
          <t>Jul 25</t>
        </is>
      </c>
      <c r="C47" s="17" t="inlineStr">
        <is>
          <t>Locked</t>
        </is>
      </c>
      <c r="D47" s="13" t="n">
        <v>17900</v>
      </c>
      <c r="E47" s="13" t="n">
        <v>5940</v>
      </c>
      <c r="F47" s="13">
        <f>D47-E47</f>
        <v/>
      </c>
      <c r="G47" s="14">
        <f>IF(D47=0,"",F47/D47)</f>
        <v/>
      </c>
    </row>
    <row r="48">
      <c r="A48" s="17" t="inlineStr">
        <is>
          <t>Retainers</t>
        </is>
      </c>
      <c r="B48" s="17" t="inlineStr">
        <is>
          <t>Aug 25</t>
        </is>
      </c>
      <c r="C48" s="17" t="inlineStr">
        <is>
          <t>Locked</t>
        </is>
      </c>
      <c r="D48" s="13" t="n">
        <v>17900</v>
      </c>
      <c r="E48" s="13" t="n">
        <v>5400</v>
      </c>
      <c r="F48" s="13">
        <f>D48-E48</f>
        <v/>
      </c>
      <c r="G48" s="14">
        <f>IF(D48=0,"",F48/D48)</f>
        <v/>
      </c>
    </row>
    <row r="49">
      <c r="A49" s="17" t="inlineStr">
        <is>
          <t>Retainers</t>
        </is>
      </c>
      <c r="B49" s="17" t="inlineStr">
        <is>
          <t>Sep 25</t>
        </is>
      </c>
      <c r="C49" s="17" t="inlineStr">
        <is>
          <t>Locked</t>
        </is>
      </c>
      <c r="D49" s="13" t="n">
        <v>17900</v>
      </c>
      <c r="E49" s="13" t="n">
        <v>5760</v>
      </c>
      <c r="F49" s="13">
        <f>D49-E49</f>
        <v/>
      </c>
      <c r="G49" s="14">
        <f>IF(D49=0,"",F49/D49)</f>
        <v/>
      </c>
    </row>
    <row r="50">
      <c r="A50" s="17" t="inlineStr">
        <is>
          <t>Retainers</t>
        </is>
      </c>
      <c r="B50" s="17" t="inlineStr">
        <is>
          <t>Oct 25</t>
        </is>
      </c>
      <c r="C50" s="17" t="inlineStr">
        <is>
          <t>Locked</t>
        </is>
      </c>
      <c r="D50" s="13" t="n">
        <v>17900</v>
      </c>
      <c r="E50" s="13" t="n">
        <v>5640</v>
      </c>
      <c r="F50" s="13">
        <f>D50-E50</f>
        <v/>
      </c>
      <c r="G50" s="14">
        <f>IF(D50=0,"",F50/D50)</f>
        <v/>
      </c>
    </row>
    <row r="51">
      <c r="A51" s="17" t="inlineStr">
        <is>
          <t>Retainers</t>
        </is>
      </c>
      <c r="B51" s="17" t="inlineStr">
        <is>
          <t>Nov 25</t>
        </is>
      </c>
      <c r="C51" s="17" t="inlineStr">
        <is>
          <t>Locked</t>
        </is>
      </c>
      <c r="D51" s="13" t="n">
        <v>31100</v>
      </c>
      <c r="E51" s="13" t="n">
        <v>9480</v>
      </c>
      <c r="F51" s="13">
        <f>D51-E51</f>
        <v/>
      </c>
      <c r="G51" s="14">
        <f>IF(D51=0,"",F51/D51)</f>
        <v/>
      </c>
    </row>
    <row r="52">
      <c r="A52" s="17" t="inlineStr">
        <is>
          <t>Retainers</t>
        </is>
      </c>
      <c r="B52" s="17" t="inlineStr">
        <is>
          <t>Dec 25</t>
        </is>
      </c>
      <c r="C52" s="17" t="inlineStr">
        <is>
          <t>Locked</t>
        </is>
      </c>
      <c r="D52" s="13" t="n">
        <v>31100</v>
      </c>
      <c r="E52" s="13" t="n">
        <v>9120</v>
      </c>
      <c r="F52" s="13">
        <f>D52-E52</f>
        <v/>
      </c>
      <c r="G52" s="14">
        <f>IF(D52=0,"",F52/D52)</f>
        <v/>
      </c>
    </row>
    <row r="53">
      <c r="A53" s="17" t="inlineStr">
        <is>
          <t>Retainers</t>
        </is>
      </c>
      <c r="B53" s="17" t="inlineStr">
        <is>
          <t>Jan 26</t>
        </is>
      </c>
      <c r="C53" s="17" t="inlineStr">
        <is>
          <t>Locked</t>
        </is>
      </c>
      <c r="D53" s="13" t="n">
        <v>31100</v>
      </c>
      <c r="E53" s="13" t="n">
        <v>9360</v>
      </c>
      <c r="F53" s="13">
        <f>D53-E53</f>
        <v/>
      </c>
      <c r="G53" s="14">
        <f>IF(D53=0,"",F53/D53)</f>
        <v/>
      </c>
    </row>
    <row r="54">
      <c r="A54" s="17" t="inlineStr">
        <is>
          <t>Training</t>
        </is>
      </c>
      <c r="B54" s="17" t="inlineStr">
        <is>
          <t>Oct 24</t>
        </is>
      </c>
      <c r="C54" s="17" t="inlineStr">
        <is>
          <t>Locked</t>
        </is>
      </c>
      <c r="D54" s="13" t="n">
        <v>9700</v>
      </c>
      <c r="E54" s="13" t="n">
        <v>2700</v>
      </c>
      <c r="F54" s="13">
        <f>D54-E54</f>
        <v/>
      </c>
      <c r="G54" s="14">
        <f>IF(D54=0,"",F54/D54)</f>
        <v/>
      </c>
    </row>
    <row r="55">
      <c r="A55" s="17" t="inlineStr">
        <is>
          <t>Training</t>
        </is>
      </c>
      <c r="B55" s="17" t="inlineStr">
        <is>
          <t>Nov 24</t>
        </is>
      </c>
      <c r="C55" s="17" t="inlineStr">
        <is>
          <t>Locked</t>
        </is>
      </c>
      <c r="D55" s="13" t="n">
        <v>5100</v>
      </c>
      <c r="E55" s="13" t="n">
        <v>840</v>
      </c>
      <c r="F55" s="13">
        <f>D55-E55</f>
        <v/>
      </c>
      <c r="G55" s="14">
        <f>IF(D55=0,"",F55/D55)</f>
        <v/>
      </c>
    </row>
    <row r="56">
      <c r="A56" s="17" t="inlineStr">
        <is>
          <t>Training</t>
        </is>
      </c>
      <c r="B56" s="17" t="inlineStr">
        <is>
          <t>Dec 24</t>
        </is>
      </c>
      <c r="C56" s="17" t="inlineStr">
        <is>
          <t>Locked</t>
        </is>
      </c>
      <c r="D56" s="13" t="n">
        <v>5700</v>
      </c>
      <c r="E56" s="13" t="n">
        <v>960</v>
      </c>
      <c r="F56" s="13">
        <f>D56-E56</f>
        <v/>
      </c>
      <c r="G56" s="14">
        <f>IF(D56=0,"",F56/D56)</f>
        <v/>
      </c>
    </row>
    <row r="57">
      <c r="A57" s="17" t="inlineStr">
        <is>
          <t>Training</t>
        </is>
      </c>
      <c r="B57" s="17" t="inlineStr">
        <is>
          <t>Jan 25</t>
        </is>
      </c>
      <c r="C57" s="17" t="inlineStr">
        <is>
          <t>Locked</t>
        </is>
      </c>
      <c r="D57" s="13" t="n">
        <v>7000</v>
      </c>
      <c r="E57" s="13" t="n">
        <v>2100</v>
      </c>
      <c r="F57" s="13">
        <f>D57-E57</f>
        <v/>
      </c>
      <c r="G57" s="14">
        <f>IF(D57=0,"",F57/D57)</f>
        <v/>
      </c>
    </row>
    <row r="58">
      <c r="A58" s="17" t="inlineStr">
        <is>
          <t>Training</t>
        </is>
      </c>
      <c r="B58" s="17" t="inlineStr">
        <is>
          <t>Feb 25</t>
        </is>
      </c>
      <c r="C58" s="17" t="inlineStr">
        <is>
          <t>Locked</t>
        </is>
      </c>
      <c r="D58" s="13" t="n">
        <v>12700</v>
      </c>
      <c r="E58" s="13" t="n">
        <v>3060</v>
      </c>
      <c r="F58" s="13">
        <f>D58-E58</f>
        <v/>
      </c>
      <c r="G58" s="14">
        <f>IF(D58=0,"",F58/D58)</f>
        <v/>
      </c>
    </row>
    <row r="59">
      <c r="A59" s="17" t="inlineStr">
        <is>
          <t>Training</t>
        </is>
      </c>
      <c r="B59" s="17" t="inlineStr">
        <is>
          <t>Mar 25</t>
        </is>
      </c>
      <c r="C59" s="17" t="inlineStr">
        <is>
          <t>Locked</t>
        </is>
      </c>
      <c r="D59" s="13" t="n">
        <v>7000</v>
      </c>
      <c r="E59" s="13" t="n">
        <v>2100</v>
      </c>
      <c r="F59" s="13">
        <f>D59-E59</f>
        <v/>
      </c>
      <c r="G59" s="14">
        <f>IF(D59=0,"",F59/D59)</f>
        <v/>
      </c>
    </row>
    <row r="60">
      <c r="A60" s="17" t="inlineStr">
        <is>
          <t>Training</t>
        </is>
      </c>
      <c r="B60" s="17" t="inlineStr">
        <is>
          <t>Apr 25</t>
        </is>
      </c>
      <c r="C60" s="17" t="inlineStr">
        <is>
          <t>Locked</t>
        </is>
      </c>
      <c r="D60" s="13" t="n">
        <v>5100</v>
      </c>
      <c r="E60" s="13" t="n">
        <v>840</v>
      </c>
      <c r="F60" s="13">
        <f>D60-E60</f>
        <v/>
      </c>
      <c r="G60" s="14">
        <f>IF(D60=0,"",F60/D60)</f>
        <v/>
      </c>
    </row>
    <row r="61">
      <c r="A61" s="17" t="inlineStr">
        <is>
          <t>Training</t>
        </is>
      </c>
      <c r="B61" s="17" t="inlineStr">
        <is>
          <t>May 25</t>
        </is>
      </c>
      <c r="C61" s="17" t="inlineStr">
        <is>
          <t>Locked</t>
        </is>
      </c>
      <c r="D61" s="13" t="n">
        <v>15400</v>
      </c>
      <c r="E61" s="13" t="n">
        <v>3660</v>
      </c>
      <c r="F61" s="13">
        <f>D61-E61</f>
        <v/>
      </c>
      <c r="G61" s="14">
        <f>IF(D61=0,"",F61/D61)</f>
        <v/>
      </c>
    </row>
    <row r="62">
      <c r="A62" s="17" t="inlineStr">
        <is>
          <t>Training</t>
        </is>
      </c>
      <c r="B62" s="17" t="inlineStr">
        <is>
          <t>Jun 25</t>
        </is>
      </c>
      <c r="C62" s="17" t="inlineStr">
        <is>
          <t>Locked</t>
        </is>
      </c>
      <c r="D62" s="13" t="n">
        <v>4300</v>
      </c>
      <c r="E62" s="13" t="n">
        <v>720</v>
      </c>
      <c r="F62" s="13">
        <f>D62-E62</f>
        <v/>
      </c>
      <c r="G62" s="14">
        <f>IF(D62=0,"",F62/D62)</f>
        <v/>
      </c>
    </row>
    <row r="63">
      <c r="A63" s="17" t="inlineStr">
        <is>
          <t>Training</t>
        </is>
      </c>
      <c r="B63" s="17" t="inlineStr">
        <is>
          <t>Jul 25</t>
        </is>
      </c>
      <c r="C63" s="17" t="inlineStr">
        <is>
          <t>Locked</t>
        </is>
      </c>
      <c r="D63" s="13" t="n">
        <v>5700</v>
      </c>
      <c r="E63" s="13" t="n">
        <v>960</v>
      </c>
      <c r="F63" s="13">
        <f>D63-E63</f>
        <v/>
      </c>
      <c r="G63" s="14">
        <f>IF(D63=0,"",F63/D63)</f>
        <v/>
      </c>
    </row>
    <row r="64">
      <c r="A64" s="17" t="inlineStr">
        <is>
          <t>Training</t>
        </is>
      </c>
      <c r="B64" s="17" t="inlineStr">
        <is>
          <t>Aug 25</t>
        </is>
      </c>
      <c r="C64" s="17" t="inlineStr">
        <is>
          <t>Locked</t>
        </is>
      </c>
      <c r="D64" s="13" t="n">
        <v>7000</v>
      </c>
      <c r="E64" s="13" t="n">
        <v>2100</v>
      </c>
      <c r="F64" s="13">
        <f>D64-E64</f>
        <v/>
      </c>
      <c r="G64" s="14">
        <f>IF(D64=0,"",F64/D64)</f>
        <v/>
      </c>
    </row>
    <row r="65">
      <c r="A65" s="17" t="inlineStr">
        <is>
          <t>Training</t>
        </is>
      </c>
      <c r="B65" s="17" t="inlineStr">
        <is>
          <t>Sep 25</t>
        </is>
      </c>
      <c r="C65" s="17" t="inlineStr">
        <is>
          <t>Locked</t>
        </is>
      </c>
      <c r="D65" s="13" t="n">
        <v>5700</v>
      </c>
      <c r="E65" s="13" t="n">
        <v>960</v>
      </c>
      <c r="F65" s="13">
        <f>D65-E65</f>
        <v/>
      </c>
      <c r="G65" s="14">
        <f>IF(D65=0,"",F65/D65)</f>
        <v/>
      </c>
    </row>
    <row r="66">
      <c r="A66" s="17" t="inlineStr">
        <is>
          <t>Training</t>
        </is>
      </c>
      <c r="B66" s="17" t="inlineStr">
        <is>
          <t>Oct 25</t>
        </is>
      </c>
      <c r="C66" s="17" t="inlineStr">
        <is>
          <t>Locked</t>
        </is>
      </c>
      <c r="D66" s="13" t="n">
        <v>10000</v>
      </c>
      <c r="E66" s="13" t="n">
        <v>1680</v>
      </c>
      <c r="F66" s="13">
        <f>D66-E66</f>
        <v/>
      </c>
      <c r="G66" s="14">
        <f>IF(D66=0,"",F66/D66)</f>
        <v/>
      </c>
    </row>
    <row r="67">
      <c r="A67" s="17" t="inlineStr">
        <is>
          <t>Training</t>
        </is>
      </c>
      <c r="B67" s="17" t="inlineStr">
        <is>
          <t>Nov 25</t>
        </is>
      </c>
      <c r="C67" s="17" t="inlineStr">
        <is>
          <t>Locked</t>
        </is>
      </c>
      <c r="D67" s="13" t="n">
        <v>9700</v>
      </c>
      <c r="E67" s="13" t="n">
        <v>2700</v>
      </c>
      <c r="F67" s="13">
        <f>D67-E67</f>
        <v/>
      </c>
      <c r="G67" s="14">
        <f>IF(D67=0,"",F67/D67)</f>
        <v/>
      </c>
    </row>
    <row r="68">
      <c r="A68" s="17" t="inlineStr">
        <is>
          <t>Training</t>
        </is>
      </c>
      <c r="B68" s="17" t="inlineStr">
        <is>
          <t>Dec 25</t>
        </is>
      </c>
      <c r="C68" s="17" t="inlineStr">
        <is>
          <t>Locked</t>
        </is>
      </c>
      <c r="D68" s="13" t="n">
        <v>12700</v>
      </c>
      <c r="E68" s="13" t="n">
        <v>3060</v>
      </c>
      <c r="F68" s="13">
        <f>D68-E68</f>
        <v/>
      </c>
      <c r="G68" s="14">
        <f>IF(D68=0,"",F68/D68)</f>
        <v/>
      </c>
    </row>
    <row r="69">
      <c r="A69" s="17" t="inlineStr">
        <is>
          <t>Training</t>
        </is>
      </c>
      <c r="B69" s="17" t="inlineStr">
        <is>
          <t>Jan 26</t>
        </is>
      </c>
      <c r="C69" s="17" t="inlineStr">
        <is>
          <t>Locked</t>
        </is>
      </c>
      <c r="D69" s="13" t="n">
        <v>4300</v>
      </c>
      <c r="E69" s="13" t="n">
        <v>720</v>
      </c>
      <c r="F69" s="13">
        <f>D69-E69</f>
        <v/>
      </c>
      <c r="G69" s="14">
        <f>IF(D69=0,"",F69/D69)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37" min="0" max="16383" man="1"/>
    <brk id="5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358275</v>
      </c>
      <c r="C6" s="13" t="n"/>
      <c r="D6" s="14">
        <f>IF(C6=0,"",B6/C6-1)</f>
        <v/>
      </c>
      <c r="E6" s="13" t="n">
        <v>232975</v>
      </c>
      <c r="F6" s="14">
        <f>IF(B6=0,"",E6/B6)</f>
        <v/>
      </c>
    </row>
    <row r="7">
      <c r="A7" s="17" t="inlineStr">
        <is>
          <t>Retainers</t>
        </is>
      </c>
      <c r="B7" s="13" t="n">
        <v>164900</v>
      </c>
      <c r="C7" s="13" t="n"/>
      <c r="D7" s="14">
        <f>IF(C7=0,"",B7/C7-1)</f>
        <v/>
      </c>
      <c r="E7" s="13" t="n">
        <v>114200</v>
      </c>
      <c r="F7" s="14">
        <f>IF(B7=0,"",E7/B7)</f>
        <v/>
      </c>
    </row>
    <row r="8">
      <c r="A8" s="17" t="inlineStr">
        <is>
          <t>Training</t>
        </is>
      </c>
      <c r="B8" s="13" t="n">
        <v>55100</v>
      </c>
      <c r="C8" s="13" t="n"/>
      <c r="D8" s="14">
        <f>IF(C8=0,"",B8/C8-1)</f>
        <v/>
      </c>
      <c r="E8" s="13" t="n">
        <v>42920</v>
      </c>
      <c r="F8" s="14">
        <f>IF(B8=0,"",E8/B8)</f>
        <v/>
      </c>
    </row>
    <row r="9">
      <c r="A9" s="17" t="inlineStr">
        <is>
          <t>Total</t>
        </is>
      </c>
      <c r="B9" s="13" t="n">
        <v>578275</v>
      </c>
      <c r="C9" s="13" t="n"/>
      <c r="D9" s="14">
        <f>IF(C9=0,"",B9/C9-1)</f>
        <v/>
      </c>
      <c r="E9" s="13" t="n">
        <v>390095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2026-10-10T11:56:53Z</dcterms:created>
  <dcterms:modified xmlns:dcterms="http://purl.org/dc/terms/" xmlns:xsi="http://www.w3.org/2001/XMLSchema-instance" xsi:type="dcterms:W3CDTF">2026-10-10T11:56:53Z</dcterms:modified>
</cp:coreProperties>
</file>