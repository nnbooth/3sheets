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9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FFFFFF"/>
    </font>
    <font>
      <b val="1"/>
      <color rgb="002F7A5D"/>
      <sz val="12"/>
    </font>
    <font>
      <i val="1"/>
      <color rgb="005F6F63"/>
    </font>
    <font>
      <b val="1"/>
    </font>
    <font>
      <color rgb="005F6F63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 ht="32" customHeight="1">
      <c r="A5" s="3" t="inlineStr">
        <is>
          <t>Marketing spend divided by the customers it actually brought in (a customer's first ever job), month by month.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January 2026</t>
        </is>
      </c>
      <c r="B8" s="6">
        <f>Workings!B10</f>
        <v/>
      </c>
      <c r="C8" s="7" t="inlineStr">
        <is>
          <t>December $173</t>
        </is>
      </c>
    </row>
    <row r="9">
      <c r="A9" t="inlineStr">
        <is>
          <t>January last year</t>
        </is>
      </c>
      <c r="B9" s="6">
        <f>Workings!B18</f>
        <v/>
      </c>
      <c r="C9" s="7" t="inlineStr">
        <is>
          <t>40 new customers from $8,000</t>
        </is>
      </c>
    </row>
    <row r="10">
      <c r="A10" t="inlineStr">
        <is>
          <t>Year to date (Jul to Jan 2026)</t>
        </is>
      </c>
      <c r="B10" s="6">
        <f>Workings!B26</f>
        <v/>
      </c>
      <c r="C10" s="7" t="inlineStr">
        <is>
          <t>same period last year: not in the data</t>
        </is>
      </c>
    </row>
    <row r="11"/>
    <row r="12">
      <c r="A12" s="8" t="inlineStr">
        <is>
          <t>Cost to win a customer, by month: every month is on the Data sheet.</t>
        </is>
      </c>
    </row>
    <row r="13"/>
    <row r="14">
      <c r="A14" s="9" t="inlineStr">
        <is>
          <t>What it shows</t>
        </is>
      </c>
    </row>
    <row r="15" ht="30" customHeight="1">
      <c r="A15" s="3" t="inlineStr">
        <is>
          <t>44 new customers came from $8,000 of marketing in January, against 45 from $7,800 in December: $182 each, up from $173.</t>
        </is>
      </c>
    </row>
    <row r="16"/>
    <row r="17">
      <c r="A17" s="9" t="inlineStr">
        <is>
          <t>What you'd do about it</t>
        </is>
      </c>
    </row>
    <row r="18" ht="30" customHeight="1">
      <c r="A18" s="3" t="inlineStr">
        <is>
          <t>Worth knowing which channels brought this month's customers in: recording the source of each new customer shows the cost per channel.</t>
        </is>
      </c>
    </row>
    <row r="19"/>
    <row r="20"/>
  </sheetData>
  <mergeCells count="3">
    <mergeCell ref="A5:D5"/>
    <mergeCell ref="A18:D18"/>
    <mergeCell ref="A15:D15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cost-to-win.xlsx&amp;C&amp;8 Data retrieved 2pm, Tue 6 Oct 2026&amp;R&amp;8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>
      <c r="A5" s="10" t="inlineStr">
        <is>
          <t>Cost to win a customer, January and December</t>
        </is>
      </c>
    </row>
    <row r="6">
      <c r="A6" s="8" t="inlineStr">
        <is>
          <t>Marketing spend ÷ new customers</t>
        </is>
      </c>
    </row>
    <row r="7">
      <c r="A7" s="4" t="inlineStr"/>
      <c r="B7" s="5" t="inlineStr">
        <is>
          <t>Jan 26</t>
        </is>
      </c>
      <c r="C7" s="5" t="inlineStr">
        <is>
          <t>Dec 25</t>
        </is>
      </c>
    </row>
    <row r="8">
      <c r="A8" t="inlineStr">
        <is>
          <t>Marketing spend (ledger)</t>
        </is>
      </c>
      <c r="B8" s="11" t="n">
        <v>8000</v>
      </c>
      <c r="C8" s="11" t="n">
        <v>7800</v>
      </c>
    </row>
    <row r="9">
      <c r="A9" t="inlineStr">
        <is>
          <t>New customers (first job ever)</t>
        </is>
      </c>
      <c r="B9" s="11" t="n">
        <v>44</v>
      </c>
      <c r="C9" s="11" t="n">
        <v>45</v>
      </c>
    </row>
    <row r="10">
      <c r="A10" s="12" t="inlineStr">
        <is>
          <t>Cost per new customer</t>
        </is>
      </c>
      <c r="B10" s="13">
        <f>B8/B9</f>
        <v/>
      </c>
      <c r="C10" s="13">
        <f>C8/C9</f>
        <v/>
      </c>
    </row>
    <row r="11"/>
    <row r="12"/>
    <row r="13">
      <c r="A13" s="10" t="inlineStr">
        <is>
          <t>Cost to win a customer, Jan 25</t>
        </is>
      </c>
    </row>
    <row r="14">
      <c r="A14" s="8" t="inlineStr">
        <is>
          <t>Marketing spend ÷ new customers</t>
        </is>
      </c>
    </row>
    <row r="15">
      <c r="A15" s="4" t="inlineStr"/>
      <c r="B15" s="5" t="inlineStr">
        <is>
          <t>Jan 25</t>
        </is>
      </c>
    </row>
    <row r="16">
      <c r="A16" t="inlineStr">
        <is>
          <t>Marketing spend (ledger)</t>
        </is>
      </c>
      <c r="B16" s="11" t="n">
        <v>8000</v>
      </c>
    </row>
    <row r="17">
      <c r="A17" t="inlineStr">
        <is>
          <t>New customers (first job ever)</t>
        </is>
      </c>
      <c r="B17" s="11" t="n">
        <v>40</v>
      </c>
    </row>
    <row r="18">
      <c r="A18" s="12" t="inlineStr">
        <is>
          <t>Cost per new customer</t>
        </is>
      </c>
      <c r="B18" s="13">
        <f>B16/B17</f>
        <v/>
      </c>
    </row>
    <row r="19"/>
    <row r="20"/>
    <row r="21">
      <c r="A21" s="10" t="inlineStr">
        <is>
          <t>Cost to win a customer, FY2026 to date</t>
        </is>
      </c>
    </row>
    <row r="22">
      <c r="A22" s="8" t="inlineStr">
        <is>
          <t>Total marketing ÷ total new customers</t>
        </is>
      </c>
    </row>
    <row r="23">
      <c r="A23" s="4" t="inlineStr"/>
      <c r="B23" s="5" t="inlineStr">
        <is>
          <t>Year to date</t>
        </is>
      </c>
    </row>
    <row r="24">
      <c r="A24" t="inlineStr">
        <is>
          <t>Marketing, Jul to Jan 2026</t>
        </is>
      </c>
      <c r="B24" s="11" t="n">
        <v>58200</v>
      </c>
    </row>
    <row r="25">
      <c r="A25" t="inlineStr">
        <is>
          <t>New customers, Jul to Jan 2026</t>
        </is>
      </c>
      <c r="B25" s="11" t="n">
        <v>255</v>
      </c>
    </row>
    <row r="26">
      <c r="A26" s="12" t="inlineStr">
        <is>
          <t>Cost per customer, year to date</t>
        </is>
      </c>
      <c r="B26" s="13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cost-to-win.xlsx&amp;C&amp;8 Data retrieved 2pm, Tue 6 Oct 2026&amp;R&amp;8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Marketing spend</t>
        </is>
      </c>
      <c r="D5" s="5" t="inlineStr">
        <is>
          <t>New customers</t>
        </is>
      </c>
      <c r="E5" s="5" t="inlineStr">
        <is>
          <t>Cost per new customer</t>
        </is>
      </c>
    </row>
    <row r="6">
      <c r="A6" s="14" t="inlineStr">
        <is>
          <t>Oct 24</t>
        </is>
      </c>
      <c r="B6" s="14" t="inlineStr">
        <is>
          <t>Locked</t>
        </is>
      </c>
      <c r="C6" s="11" t="n">
        <v>8600</v>
      </c>
      <c r="D6" s="11" t="n">
        <v>34</v>
      </c>
      <c r="E6" s="11">
        <f>C6/D6</f>
        <v/>
      </c>
    </row>
    <row r="7">
      <c r="A7" s="14" t="inlineStr">
        <is>
          <t>Nov 24</t>
        </is>
      </c>
      <c r="B7" s="14" t="inlineStr">
        <is>
          <t>Locked</t>
        </is>
      </c>
      <c r="C7" s="11" t="n">
        <v>8400</v>
      </c>
      <c r="D7" s="11" t="n">
        <v>33</v>
      </c>
      <c r="E7" s="11">
        <f>C7/D7</f>
        <v/>
      </c>
    </row>
    <row r="8">
      <c r="A8" s="14" t="inlineStr">
        <is>
          <t>Dec 24</t>
        </is>
      </c>
      <c r="B8" s="14" t="inlineStr">
        <is>
          <t>Locked</t>
        </is>
      </c>
      <c r="C8" s="11" t="n">
        <v>7800</v>
      </c>
      <c r="D8" s="11" t="n">
        <v>37</v>
      </c>
      <c r="E8" s="11">
        <f>C8/D8</f>
        <v/>
      </c>
    </row>
    <row r="9">
      <c r="A9" s="14" t="inlineStr">
        <is>
          <t>Jan 25</t>
        </is>
      </c>
      <c r="B9" s="14" t="inlineStr">
        <is>
          <t>Locked</t>
        </is>
      </c>
      <c r="C9" s="11" t="n">
        <v>8000</v>
      </c>
      <c r="D9" s="11" t="n">
        <v>40</v>
      </c>
      <c r="E9" s="11">
        <f>C9/D9</f>
        <v/>
      </c>
    </row>
    <row r="10">
      <c r="A10" s="14" t="inlineStr">
        <is>
          <t>Feb 25</t>
        </is>
      </c>
      <c r="B10" s="14" t="inlineStr">
        <is>
          <t>Locked</t>
        </is>
      </c>
      <c r="C10" s="11" t="n">
        <v>8600</v>
      </c>
      <c r="D10" s="11" t="n">
        <v>35</v>
      </c>
      <c r="E10" s="11">
        <f>C10/D10</f>
        <v/>
      </c>
    </row>
    <row r="11">
      <c r="A11" s="14" t="inlineStr">
        <is>
          <t>Mar 25</t>
        </is>
      </c>
      <c r="B11" s="14" t="inlineStr">
        <is>
          <t>Locked</t>
        </is>
      </c>
      <c r="C11" s="11" t="n">
        <v>8400</v>
      </c>
      <c r="D11" s="11" t="n">
        <v>34</v>
      </c>
      <c r="E11" s="11">
        <f>C11/D11</f>
        <v/>
      </c>
    </row>
    <row r="12">
      <c r="A12" s="14" t="inlineStr">
        <is>
          <t>Apr 25</t>
        </is>
      </c>
      <c r="B12" s="14" t="inlineStr">
        <is>
          <t>Locked</t>
        </is>
      </c>
      <c r="C12" s="11" t="n">
        <v>8400</v>
      </c>
      <c r="D12" s="11" t="n">
        <v>30</v>
      </c>
      <c r="E12" s="11">
        <f>C12/D12</f>
        <v/>
      </c>
    </row>
    <row r="13">
      <c r="A13" s="14" t="inlineStr">
        <is>
          <t>May 25</t>
        </is>
      </c>
      <c r="B13" s="14" t="inlineStr">
        <is>
          <t>Locked</t>
        </is>
      </c>
      <c r="C13" s="11" t="n">
        <v>8400</v>
      </c>
      <c r="D13" s="11" t="n">
        <v>31</v>
      </c>
      <c r="E13" s="11">
        <f>C13/D13</f>
        <v/>
      </c>
    </row>
    <row r="14">
      <c r="A14" s="14" t="inlineStr">
        <is>
          <t>Jun 25</t>
        </is>
      </c>
      <c r="B14" s="14" t="inlineStr">
        <is>
          <t>Locked</t>
        </is>
      </c>
      <c r="C14" s="11" t="n">
        <v>8400</v>
      </c>
      <c r="D14" s="11" t="n">
        <v>32</v>
      </c>
      <c r="E14" s="11">
        <f>C14/D14</f>
        <v/>
      </c>
    </row>
    <row r="15">
      <c r="A15" s="14" t="inlineStr">
        <is>
          <t>Jul 25</t>
        </is>
      </c>
      <c r="B15" s="14" t="inlineStr">
        <is>
          <t>Locked</t>
        </is>
      </c>
      <c r="C15" s="11" t="n">
        <v>8400</v>
      </c>
      <c r="D15" s="11" t="n">
        <v>28</v>
      </c>
      <c r="E15" s="11">
        <f>C15/D15</f>
        <v/>
      </c>
    </row>
    <row r="16">
      <c r="A16" s="14" t="inlineStr">
        <is>
          <t>Aug 25</t>
        </is>
      </c>
      <c r="B16" s="14" t="inlineStr">
        <is>
          <t>Locked</t>
        </is>
      </c>
      <c r="C16" s="11" t="n">
        <v>8400</v>
      </c>
      <c r="D16" s="11" t="n">
        <v>36</v>
      </c>
      <c r="E16" s="11">
        <f>C16/D16</f>
        <v/>
      </c>
    </row>
    <row r="17">
      <c r="A17" s="14" t="inlineStr">
        <is>
          <t>Sep 25</t>
        </is>
      </c>
      <c r="B17" s="14" t="inlineStr">
        <is>
          <t>Locked</t>
        </is>
      </c>
      <c r="C17" s="11" t="n">
        <v>8600</v>
      </c>
      <c r="D17" s="11" t="n">
        <v>32</v>
      </c>
      <c r="E17" s="11">
        <f>C17/D17</f>
        <v/>
      </c>
    </row>
    <row r="18">
      <c r="A18" s="14" t="inlineStr">
        <is>
          <t>Oct 25</t>
        </is>
      </c>
      <c r="B18" s="14" t="inlineStr">
        <is>
          <t>Locked</t>
        </is>
      </c>
      <c r="C18" s="11" t="n">
        <v>8600</v>
      </c>
      <c r="D18" s="11" t="n">
        <v>33</v>
      </c>
      <c r="E18" s="11">
        <f>C18/D18</f>
        <v/>
      </c>
    </row>
    <row r="19">
      <c r="A19" s="14" t="inlineStr">
        <is>
          <t>Nov 25</t>
        </is>
      </c>
      <c r="B19" s="14" t="inlineStr">
        <is>
          <t>Locked</t>
        </is>
      </c>
      <c r="C19" s="11" t="n">
        <v>8400</v>
      </c>
      <c r="D19" s="11" t="n">
        <v>37</v>
      </c>
      <c r="E19" s="11">
        <f>C19/D19</f>
        <v/>
      </c>
    </row>
    <row r="20">
      <c r="A20" s="14" t="inlineStr">
        <is>
          <t>Dec 25</t>
        </is>
      </c>
      <c r="B20" s="14" t="inlineStr">
        <is>
          <t>Locked</t>
        </is>
      </c>
      <c r="C20" s="11" t="n">
        <v>7800</v>
      </c>
      <c r="D20" s="11" t="n">
        <v>45</v>
      </c>
      <c r="E20" s="11">
        <f>C20/D20</f>
        <v/>
      </c>
    </row>
    <row r="21">
      <c r="A21" s="14" t="inlineStr">
        <is>
          <t>Jan 26</t>
        </is>
      </c>
      <c r="B21" s="14" t="inlineStr">
        <is>
          <t>Locked</t>
        </is>
      </c>
      <c r="C21" s="11" t="n">
        <v>8000</v>
      </c>
      <c r="D21" s="11" t="n">
        <v>44</v>
      </c>
      <c r="E21" s="11">
        <f>C21/D21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cost-to-win.xlsx&amp;C&amp;8 Data retrieved 2pm, Tue 6 Oct 2026&amp;R&amp;8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2026-10-06T07:09:28Z</dcterms:created>
  <dcterms:modified xmlns:dcterms="http://purl.org/dc/terms/" xmlns:xsi="http://www.w3.org/2001/XMLSchema-instance" xsi:type="dcterms:W3CDTF">2026-10-06T07:09:28Z</dcterms:modified>
</cp:coreProperties>
</file>