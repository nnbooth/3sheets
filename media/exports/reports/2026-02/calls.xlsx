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February">'Report'!$B$8</definedName>
    <definedName name="Answered_while_staffed_February">'Report'!$B$9</definedName>
    <definedName name="Calls_outside_staffed_hours_February">'Report'!$B$10</definedName>
    <definedName name="Median_wait_when_answered_Februar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2" headerRowCount="1">
  <autoFilter ref="A5:F22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February</t>
        </is>
      </c>
      <c r="B8" s="6">
        <f>Workings!B12</f>
        <v/>
      </c>
      <c r="C8" s="7" t="inlineStr">
        <is>
          <t>January 756</t>
        </is>
      </c>
    </row>
    <row r="9">
      <c r="A9" t="inlineStr">
        <is>
          <t>Answered while staffed, February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February</t>
        </is>
      </c>
      <c r="B10" s="6">
        <f>Workings!B32</f>
        <v/>
      </c>
      <c r="C10" s="7" t="inlineStr">
        <is>
          <t>373 calls to voicemail</t>
        </is>
      </c>
    </row>
    <row r="11">
      <c r="A11" t="inlineStr">
        <is>
          <t>Median wait when answered, February</t>
        </is>
      </c>
      <c r="B11" s="6">
        <f>Workings!B42</f>
        <v/>
      </c>
      <c r="C11" s="7" t="inlineStr">
        <is>
          <t>313 answered calls</t>
        </is>
      </c>
    </row>
    <row r="12"/>
    <row r="13">
      <c r="A13" s="8" t="inlineStr">
        <is>
          <t>When the calls come in, February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763 calls for help came in during February. While the line was staffed, 80.3% were answered (target 90.0%); 48.9% of all calls came outside staffed hours and went to voicemail. The busiest time was before 8:30am (137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118 calls came between 5 and 8pm, when no-one is on the line. 77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>
      <c r="A5" s="12" t="inlineStr">
        <is>
          <t>Calls for help, February and January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Calls</t>
        </is>
      </c>
      <c r="B8" s="13" t="n">
        <v>763</v>
      </c>
      <c r="C8" s="13" t="n">
        <v>756</v>
      </c>
    </row>
    <row r="9">
      <c r="A9" t="inlineStr">
        <is>
          <t>Calls while staffed</t>
        </is>
      </c>
      <c r="B9" s="13" t="n">
        <v>390</v>
      </c>
      <c r="C9" s="13" t="n">
        <v>371</v>
      </c>
    </row>
    <row r="10">
      <c r="A10" t="inlineStr">
        <is>
          <t>Answered</t>
        </is>
      </c>
      <c r="B10" s="13" t="n">
        <v>313</v>
      </c>
      <c r="C10" s="13" t="n">
        <v>316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February and January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Feb 26</t>
        </is>
      </c>
      <c r="C17" s="5" t="inlineStr">
        <is>
          <t>Jan 26</t>
        </is>
      </c>
    </row>
    <row r="18">
      <c r="A18" t="inlineStr">
        <is>
          <t>Calls</t>
        </is>
      </c>
      <c r="B18" s="13" t="n">
        <v>763</v>
      </c>
      <c r="C18" s="13" t="n">
        <v>756</v>
      </c>
    </row>
    <row r="19">
      <c r="A19" t="inlineStr">
        <is>
          <t>Calls while staffed</t>
        </is>
      </c>
      <c r="B19" s="13" t="n">
        <v>390</v>
      </c>
      <c r="C19" s="13" t="n">
        <v>371</v>
      </c>
    </row>
    <row r="20">
      <c r="A20" t="inlineStr">
        <is>
          <t>Answered</t>
        </is>
      </c>
      <c r="B20" s="13" t="n">
        <v>313</v>
      </c>
      <c r="C20" s="13" t="n">
        <v>316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February and January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Feb 26</t>
        </is>
      </c>
      <c r="C27" s="5" t="inlineStr">
        <is>
          <t>Jan 26</t>
        </is>
      </c>
    </row>
    <row r="28">
      <c r="A28" t="inlineStr">
        <is>
          <t>Calls</t>
        </is>
      </c>
      <c r="B28" s="13" t="n">
        <v>763</v>
      </c>
      <c r="C28" s="13" t="n">
        <v>756</v>
      </c>
    </row>
    <row r="29">
      <c r="A29" t="inlineStr">
        <is>
          <t>Calls while staffed</t>
        </is>
      </c>
      <c r="B29" s="13" t="n">
        <v>390</v>
      </c>
      <c r="C29" s="13" t="n">
        <v>371</v>
      </c>
    </row>
    <row r="30">
      <c r="A30" t="inlineStr">
        <is>
          <t>Answered</t>
        </is>
      </c>
      <c r="B30" s="13" t="n">
        <v>313</v>
      </c>
      <c r="C30" s="13" t="n">
        <v>316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February and January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Feb 26</t>
        </is>
      </c>
      <c r="C37" s="5" t="inlineStr">
        <is>
          <t>Jan 26</t>
        </is>
      </c>
    </row>
    <row r="38">
      <c r="A38" t="inlineStr">
        <is>
          <t>Calls</t>
        </is>
      </c>
      <c r="B38" s="13" t="n">
        <v>763</v>
      </c>
      <c r="C38" s="13" t="n">
        <v>756</v>
      </c>
    </row>
    <row r="39">
      <c r="A39" t="inlineStr">
        <is>
          <t>Calls while staffed</t>
        </is>
      </c>
      <c r="B39" s="13" t="n">
        <v>390</v>
      </c>
      <c r="C39" s="13" t="n">
        <v>371</v>
      </c>
    </row>
    <row r="40">
      <c r="A40" t="inlineStr">
        <is>
          <t>Answered</t>
        </is>
      </c>
      <c r="B40" s="13" t="n">
        <v>313</v>
      </c>
      <c r="C40" s="13" t="n">
        <v>316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February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Feb 2026</t>
        </is>
      </c>
    </row>
    <row r="48">
      <c r="A48" t="inlineStr">
        <is>
          <t>Calls</t>
        </is>
      </c>
      <c r="B48" s="13" t="n">
        <v>137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February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Feb 2026</t>
        </is>
      </c>
    </row>
    <row r="57">
      <c r="A57" t="inlineStr">
        <is>
          <t>Calls</t>
        </is>
      </c>
      <c r="B57" s="13" t="n">
        <v>87</v>
      </c>
    </row>
    <row r="58">
      <c r="A58" t="inlineStr">
        <is>
          <t>Answered</t>
        </is>
      </c>
      <c r="B58" s="13" t="n">
        <v>61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February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Feb 2026</t>
        </is>
      </c>
    </row>
    <row r="66">
      <c r="A66" t="inlineStr">
        <is>
          <t>Calls</t>
        </is>
      </c>
      <c r="B66" s="13" t="n">
        <v>105</v>
      </c>
    </row>
    <row r="67">
      <c r="A67" t="inlineStr">
        <is>
          <t>Answered</t>
        </is>
      </c>
      <c r="B67" s="13" t="n">
        <v>76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February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Feb 2026</t>
        </is>
      </c>
    </row>
    <row r="75">
      <c r="A75" t="inlineStr">
        <is>
          <t>Calls</t>
        </is>
      </c>
      <c r="B75" s="13" t="n">
        <v>120</v>
      </c>
    </row>
    <row r="76">
      <c r="A76" t="inlineStr">
        <is>
          <t>Answered</t>
        </is>
      </c>
      <c r="B76" s="13" t="n">
        <v>82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February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Feb 2026</t>
        </is>
      </c>
    </row>
    <row r="84">
      <c r="A84" t="inlineStr">
        <is>
          <t>Calls</t>
        </is>
      </c>
      <c r="B84" s="13" t="n">
        <v>135</v>
      </c>
    </row>
    <row r="85">
      <c r="A85" t="inlineStr">
        <is>
          <t>Answered</t>
        </is>
      </c>
      <c r="B85" s="13" t="n">
        <v>94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February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Feb 2026</t>
        </is>
      </c>
    </row>
    <row r="93">
      <c r="A93" t="inlineStr">
        <is>
          <t>Calls</t>
        </is>
      </c>
      <c r="B93" s="13" t="n">
        <v>118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February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Feb 2026</t>
        </is>
      </c>
    </row>
    <row r="102">
      <c r="A102" t="inlineStr">
        <is>
          <t>Calls</t>
        </is>
      </c>
      <c r="B102" s="13" t="n">
        <v>61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