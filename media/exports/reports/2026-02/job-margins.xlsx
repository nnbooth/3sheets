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January 35.3%</t>
        </is>
      </c>
    </row>
    <row r="16"/>
    <row r="17">
      <c r="A17" s="10" t="inlineStr">
        <is>
          <t>Job gross margin by type of job, February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February maintenance contracts made a 59.6% job gross margin, installations made a 31.2% job gross margin, call-outs and repairs made a 43.8% job gross margin (technician time at $68 an hour, wages and all on-costs). Jobs need 27.7% just to cover overheads.</t>
        </is>
      </c>
    </row>
    <row r="25"/>
    <row r="26">
      <c r="A26" s="4" t="inlineStr">
        <is>
          <t>What you'd do about it</t>
        </is>
      </c>
    </row>
    <row r="27" ht="30" customHeight="1">
      <c r="A27" s="3" t="inlineStr">
        <is>
          <t>Maintenance contracts: 59.6% gross margin, the most profitable work you do. Every type of job clears it; installations only just.</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February · Maintenance contracts</t>
        </is>
      </c>
      <c r="B31" s="8">
        <f>Workings!B64</f>
        <v/>
      </c>
      <c r="C31" s="9" t="inlineStr">
        <is>
          <t>January 59.5%</t>
        </is>
      </c>
    </row>
    <row r="32"/>
    <row r="33">
      <c r="A33" s="10" t="inlineStr">
        <is>
          <t>Job gross margin on each maintenance contract, February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30.5 points clear of the 27.7%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February · Installations</t>
        </is>
      </c>
      <c r="B57" s="8">
        <f>Workings!B242</f>
        <v/>
      </c>
      <c r="C57" s="9" t="inlineStr">
        <is>
          <t>January 23.9%</t>
        </is>
      </c>
    </row>
    <row r="58"/>
    <row r="59">
      <c r="A59" s="10" t="inlineStr">
        <is>
          <t>Job gross margin on each installation invoiced in February 2026</t>
        </is>
      </c>
    </row>
    <row r="60">
      <c r="A60" s="6" t="inlineStr"/>
      <c r="B60" s="7" t="inlineStr">
        <is>
          <t>Gross margin %</t>
        </is>
      </c>
      <c r="C60" s="7" t="inlineStr">
        <is>
          <t>Gross margin $</t>
        </is>
      </c>
    </row>
    <row r="61">
      <c r="A61" t="inlineStr">
        <is>
          <t>Taringa warehouse EV chargers</t>
        </is>
      </c>
      <c r="B61" s="8">
        <f>Workings!B255</f>
        <v/>
      </c>
      <c r="C61" s="11">
        <f>Workings!B254</f>
        <v/>
      </c>
    </row>
    <row r="62">
      <c r="A62" t="inlineStr">
        <is>
          <t>Taringa clinic LED lighting</t>
        </is>
      </c>
      <c r="B62" s="8">
        <f>Workings!B268</f>
        <v/>
      </c>
      <c r="C62" s="11">
        <f>Workings!B267</f>
        <v/>
      </c>
    </row>
    <row r="63">
      <c r="A63" t="inlineStr">
        <is>
          <t>Kedron shop switchboard upgrade</t>
        </is>
      </c>
      <c r="B63" s="8">
        <f>Workings!B281</f>
        <v/>
      </c>
      <c r="C63" s="11">
        <f>Workings!B280</f>
        <v/>
      </c>
    </row>
    <row r="64">
      <c r="A64" t="inlineStr">
        <is>
          <t>Salisbury gym air-con install</t>
        </is>
      </c>
      <c r="B64" s="8">
        <f>Workings!B294</f>
        <v/>
      </c>
      <c r="C64" s="11">
        <f>Workings!B293</f>
        <v/>
      </c>
    </row>
    <row r="65"/>
    <row r="66">
      <c r="A66" s="4" t="inlineStr">
        <is>
          <t>What it shows</t>
        </is>
      </c>
    </row>
    <row r="67" ht="60" customHeight="1">
      <c r="A67"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68"/>
    <row r="69">
      <c r="A69" s="4" t="inlineStr">
        <is>
          <t>What you'd do about it</t>
        </is>
      </c>
    </row>
    <row r="70" ht="30" customHeight="1">
      <c r="A70" s="3" t="inlineStr">
        <is>
          <t>Below the 27.7% overheads need: Kedron shop switchboard upgrade (24.1%), Salisbury gym air-con install (22.9%). Most profitable: Taringa warehouse EV chargers (40.5%).</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February · Call-outs and repairs</t>
        </is>
      </c>
      <c r="B74" s="8">
        <f>Workings!B303</f>
        <v/>
      </c>
      <c r="C74" s="9" t="inlineStr">
        <is>
          <t>January 43.3%</t>
        </is>
      </c>
    </row>
    <row r="75"/>
    <row r="76">
      <c r="A76" s="10" t="inlineStr">
        <is>
          <t>Job gross margin on call-outs by length, February 2026</t>
        </is>
      </c>
    </row>
    <row r="77">
      <c r="A77" s="6" t="inlineStr"/>
      <c r="B77" s="7" t="inlineStr">
        <is>
          <t>Gross margin %</t>
        </is>
      </c>
      <c r="C77" s="7" t="inlineStr">
        <is>
          <t>Gross margin $</t>
        </is>
      </c>
    </row>
    <row r="78">
      <c r="A78" t="inlineStr">
        <is>
          <t>1-hour call-outs (6)</t>
        </is>
      </c>
      <c r="B78" s="8">
        <f>Workings!B314</f>
        <v/>
      </c>
      <c r="C78" s="11">
        <f>Workings!B313</f>
        <v/>
      </c>
    </row>
    <row r="79">
      <c r="A79" t="inlineStr">
        <is>
          <t>1.5-hour call-outs (6)</t>
        </is>
      </c>
      <c r="B79" s="8">
        <f>Workings!B325</f>
        <v/>
      </c>
      <c r="C79" s="11">
        <f>Workings!B324</f>
        <v/>
      </c>
    </row>
    <row r="80">
      <c r="A80" t="inlineStr">
        <is>
          <t>2-hour call-outs (15)</t>
        </is>
      </c>
      <c r="B80" s="8">
        <f>Workings!B336</f>
        <v/>
      </c>
      <c r="C80" s="11">
        <f>Workings!B335</f>
        <v/>
      </c>
    </row>
    <row r="81">
      <c r="A81" t="inlineStr">
        <is>
          <t>2.5-hour call-outs (4)</t>
        </is>
      </c>
      <c r="B81" s="8">
        <f>Workings!B347</f>
        <v/>
      </c>
      <c r="C81" s="11">
        <f>Workings!B346</f>
        <v/>
      </c>
    </row>
    <row r="82">
      <c r="A82" t="inlineStr">
        <is>
          <t>3-hour call-outs (18)</t>
        </is>
      </c>
      <c r="B82" s="8">
        <f>Workings!B358</f>
        <v/>
      </c>
      <c r="C82" s="11">
        <f>Workings!B357</f>
        <v/>
      </c>
    </row>
    <row r="83">
      <c r="A83" t="inlineStr">
        <is>
          <t>4-hour call-outs (8)</t>
        </is>
      </c>
      <c r="B83" s="8">
        <f>Workings!B369</f>
        <v/>
      </c>
      <c r="C83" s="11">
        <f>Workings!B368</f>
        <v/>
      </c>
    </row>
    <row r="84"/>
    <row r="85">
      <c r="A85" s="4" t="inlineStr">
        <is>
          <t>What it shows</t>
        </is>
      </c>
    </row>
    <row r="86" ht="45" customHeight="1">
      <c r="A86" s="3" t="inlineStr">
        <is>
          <t>57 call-outs in February made a 43.8% job gross margin between them. Gross margins run from 37.0% to 47.8% by length: the hourly rate covers technician time comfortably, so the gross margin mostly moves with how much material goes on the van.</t>
        </is>
      </c>
    </row>
    <row r="87"/>
    <row r="88">
      <c r="A88" s="4" t="inlineStr">
        <is>
          <t>What you'd do about it</t>
        </is>
      </c>
    </row>
    <row r="89" ht="30" customHeight="1">
      <c r="A89" s="3" t="inlineStr">
        <is>
          <t>Call-outs: 43.8% gross margin, 16.1 points clear of the 27.7% overheads need.</t>
        </is>
      </c>
    </row>
    <row r="90"/>
    <row r="91">
      <c r="A91" s="5" t="inlineStr">
        <is>
          <t>Every type of job at once</t>
        </is>
      </c>
    </row>
    <row r="92">
      <c r="A92" s="12" t="inlineStr">
        <is>
          <t>Job gross margin by month: every month is on the Data sheet.</t>
        </is>
      </c>
    </row>
    <row r="93"/>
    <row r="94"/>
  </sheetData>
  <mergeCells count="11">
    <mergeCell ref="A5:D5"/>
    <mergeCell ref="A70:D70"/>
    <mergeCell ref="A27:D27"/>
    <mergeCell ref="A8:D8"/>
    <mergeCell ref="A67:D67"/>
    <mergeCell ref="A89:D89"/>
    <mergeCell ref="A53:D53"/>
    <mergeCell ref="A50:D50"/>
    <mergeCell ref="A86:D86"/>
    <mergeCell ref="A24:D24"/>
    <mergeCell ref="A11:D11"/>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8"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37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5" t="inlineStr">
        <is>
          <t>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February</t>
        </is>
      </c>
    </row>
    <row r="32">
      <c r="A32" s="12" t="inlineStr">
        <is>
          <t>Revenue less direct cost (materials, subcontractors, technician time at cost)</t>
        </is>
      </c>
    </row>
    <row r="33">
      <c r="A33" s="6" t="inlineStr"/>
      <c r="B33" s="7" t="inlineStr">
        <is>
          <t>Feb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February</t>
        </is>
      </c>
    </row>
    <row r="41">
      <c r="A41" s="12" t="inlineStr">
        <is>
          <t>Revenue less direct cost (materials, subcontractors, technician time at cost)</t>
        </is>
      </c>
    </row>
    <row r="42">
      <c r="A42" s="6" t="inlineStr"/>
      <c r="B42" s="7" t="inlineStr">
        <is>
          <t>Feb 2026</t>
        </is>
      </c>
    </row>
    <row r="43">
      <c r="A43" t="inlineStr">
        <is>
          <t>Revenue</t>
        </is>
      </c>
      <c r="B43" s="13" t="n">
        <v>129300</v>
      </c>
    </row>
    <row r="44">
      <c r="A44" t="inlineStr">
        <is>
          <t>Direct cost</t>
        </is>
      </c>
      <c r="B44" s="13" t="n">
        <v>88896</v>
      </c>
    </row>
    <row r="45">
      <c r="A45" t="inlineStr">
        <is>
          <t>Gross margin</t>
        </is>
      </c>
      <c r="B45" s="13">
        <f>B43-B44</f>
        <v/>
      </c>
    </row>
    <row r="46">
      <c r="A46" s="15" t="inlineStr">
        <is>
          <t>Gross margin %</t>
        </is>
      </c>
      <c r="B46" s="16">
        <f>B45/B43</f>
        <v/>
      </c>
    </row>
    <row r="47"/>
    <row r="48"/>
    <row r="49">
      <c r="A49" s="5" t="inlineStr">
        <is>
          <t>Call-outs and repairs, February</t>
        </is>
      </c>
    </row>
    <row r="50">
      <c r="A50" s="12" t="inlineStr">
        <is>
          <t>Revenue less direct cost (materials, subcontractors, technician time at cost)</t>
        </is>
      </c>
    </row>
    <row r="51">
      <c r="A51" s="6" t="inlineStr"/>
      <c r="B51" s="7" t="inlineStr">
        <is>
          <t>Feb 2026</t>
        </is>
      </c>
    </row>
    <row r="52">
      <c r="A52" t="inlineStr">
        <is>
          <t>Revenue</t>
        </is>
      </c>
      <c r="B52" s="13" t="n">
        <v>29572</v>
      </c>
    </row>
    <row r="53">
      <c r="A53" t="inlineStr">
        <is>
          <t>Direct cost</t>
        </is>
      </c>
      <c r="B53" s="13" t="n">
        <v>16608</v>
      </c>
    </row>
    <row r="54">
      <c r="A54" t="inlineStr">
        <is>
          <t>Gross margin</t>
        </is>
      </c>
      <c r="B54" s="13">
        <f>B52-B53</f>
        <v/>
      </c>
    </row>
    <row r="55">
      <c r="A55" s="15" t="inlineStr">
        <is>
          <t>Gross margin %</t>
        </is>
      </c>
      <c r="B55" s="16">
        <f>B54/B52</f>
        <v/>
      </c>
    </row>
    <row r="56"/>
    <row r="57"/>
    <row r="58">
      <c r="A58" s="5" t="inlineStr">
        <is>
          <t>Maintenance contracts: gross margin, February and January</t>
        </is>
      </c>
    </row>
    <row r="59">
      <c r="A59" s="12" t="inlineStr">
        <is>
          <t>Revenue less direct cost, over revenue. Before overheads.</t>
        </is>
      </c>
    </row>
    <row r="60">
      <c r="A60" s="6" t="inlineStr"/>
      <c r="B60" s="7" t="inlineStr">
        <is>
          <t>Feb 26</t>
        </is>
      </c>
      <c r="C60" s="7" t="inlineStr">
        <is>
          <t>Jan 26</t>
        </is>
      </c>
    </row>
    <row r="61">
      <c r="A61" t="inlineStr">
        <is>
          <t>Revenue</t>
        </is>
      </c>
      <c r="B61" s="13" t="n">
        <v>37500</v>
      </c>
      <c r="C61" s="13" t="n">
        <v>35800</v>
      </c>
    </row>
    <row r="62">
      <c r="A62" t="inlineStr">
        <is>
          <t>Direct cost</t>
        </is>
      </c>
      <c r="B62" s="13" t="n">
        <v>15158</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February and January</t>
        </is>
      </c>
    </row>
    <row r="237">
      <c r="A237" s="12" t="inlineStr">
        <is>
          <t>Revenue less direct cost, over revenue. Before overheads.</t>
        </is>
      </c>
    </row>
    <row r="238">
      <c r="A238" s="6" t="inlineStr"/>
      <c r="B238" s="7" t="inlineStr">
        <is>
          <t>Feb 26</t>
        </is>
      </c>
      <c r="C238" s="7" t="inlineStr">
        <is>
          <t>Jan 26</t>
        </is>
      </c>
    </row>
    <row r="239">
      <c r="A239" t="inlineStr">
        <is>
          <t>Revenue</t>
        </is>
      </c>
      <c r="B239" s="13" t="n">
        <v>129300</v>
      </c>
      <c r="C239" s="13" t="n">
        <v>97500</v>
      </c>
    </row>
    <row r="240">
      <c r="A240" t="inlineStr">
        <is>
          <t>Direct cost</t>
        </is>
      </c>
      <c r="B240" s="13" t="n">
        <v>88896</v>
      </c>
      <c r="C240" s="13" t="n">
        <v>74216</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Taringa warehouse EV chargers</t>
        </is>
      </c>
    </row>
    <row r="246">
      <c r="A246" s="12" t="inlineStr">
        <is>
          <t>Job gross margin ÷ revenue for this job (before overheads)</t>
        </is>
      </c>
    </row>
    <row r="247">
      <c r="A247" s="6" t="inlineStr"/>
      <c r="B247" s="7" t="inlineStr">
        <is>
          <t>This job</t>
        </is>
      </c>
    </row>
    <row r="248">
      <c r="A248" t="inlineStr">
        <is>
          <t>Revenue</t>
        </is>
      </c>
      <c r="B248" s="13" t="n">
        <v>37800</v>
      </c>
    </row>
    <row r="249">
      <c r="A249" t="inlineStr">
        <is>
          <t>Materials</t>
        </is>
      </c>
      <c r="B249" s="13" t="n">
        <v>-11900</v>
      </c>
    </row>
    <row r="250">
      <c r="A250" t="inlineStr">
        <is>
          <t>Subcontractors</t>
        </is>
      </c>
      <c r="B250" s="13" t="n">
        <v>0</v>
      </c>
    </row>
    <row r="251">
      <c r="A251" t="inlineStr">
        <is>
          <t>Technician hours</t>
        </is>
      </c>
      <c r="B251" s="17" t="n">
        <v>156</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Taringa clinic LED lighting</t>
        </is>
      </c>
    </row>
    <row r="259">
      <c r="A259" s="12" t="inlineStr">
        <is>
          <t>Job gross margin ÷ revenue for this job (before overheads)</t>
        </is>
      </c>
    </row>
    <row r="260">
      <c r="A260" s="6" t="inlineStr"/>
      <c r="B260" s="7" t="inlineStr">
        <is>
          <t>This job</t>
        </is>
      </c>
    </row>
    <row r="261">
      <c r="A261" t="inlineStr">
        <is>
          <t>Revenue</t>
        </is>
      </c>
      <c r="B261" s="13" t="n">
        <v>37300</v>
      </c>
    </row>
    <row r="262">
      <c r="A262" t="inlineStr">
        <is>
          <t>Materials</t>
        </is>
      </c>
      <c r="B262" s="13" t="n">
        <v>-14500</v>
      </c>
    </row>
    <row r="263">
      <c r="A263" t="inlineStr">
        <is>
          <t>Subcontractors</t>
        </is>
      </c>
      <c r="B263" s="13" t="n">
        <v>0</v>
      </c>
    </row>
    <row r="264">
      <c r="A264" t="inlineStr">
        <is>
          <t>Technician hours</t>
        </is>
      </c>
      <c r="B264" s="17" t="n">
        <v>155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Kedron shop switchboard upgrade</t>
        </is>
      </c>
    </row>
    <row r="272">
      <c r="A272" s="12" t="inlineStr">
        <is>
          <t>Job gross margin ÷ revenue for this job (before overheads)</t>
        </is>
      </c>
    </row>
    <row r="273">
      <c r="A273" s="6" t="inlineStr"/>
      <c r="B273" s="7" t="inlineStr">
        <is>
          <t>This job</t>
        </is>
      </c>
    </row>
    <row r="274">
      <c r="A274" t="inlineStr">
        <is>
          <t>Revenue</t>
        </is>
      </c>
      <c r="B274" s="13" t="n">
        <v>36100</v>
      </c>
    </row>
    <row r="275">
      <c r="A275" t="inlineStr">
        <is>
          <t>Materials</t>
        </is>
      </c>
      <c r="B275" s="13" t="n">
        <v>-14300</v>
      </c>
    </row>
    <row r="276">
      <c r="A276" t="inlineStr">
        <is>
          <t>Subcontractors</t>
        </is>
      </c>
      <c r="B276" s="13" t="n">
        <v>-3600</v>
      </c>
    </row>
    <row r="277">
      <c r="A277" t="inlineStr">
        <is>
          <t>Technician hours</t>
        </is>
      </c>
      <c r="B277" s="17" t="n">
        <v>139.5</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Salisbury gym air-con install</t>
        </is>
      </c>
    </row>
    <row r="285">
      <c r="A285" s="12" t="inlineStr">
        <is>
          <t>Job gross margin ÷ revenue for this job (before overheads)</t>
        </is>
      </c>
    </row>
    <row r="286">
      <c r="A286" s="6" t="inlineStr"/>
      <c r="B286" s="7" t="inlineStr">
        <is>
          <t>This job</t>
        </is>
      </c>
    </row>
    <row r="287">
      <c r="A287" t="inlineStr">
        <is>
          <t>Revenue</t>
        </is>
      </c>
      <c r="B287" s="13" t="n">
        <v>18100</v>
      </c>
    </row>
    <row r="288">
      <c r="A288" t="inlineStr">
        <is>
          <t>Materials</t>
        </is>
      </c>
      <c r="B288" s="13" t="n">
        <v>-7800</v>
      </c>
    </row>
    <row r="289">
      <c r="A289" t="inlineStr">
        <is>
          <t>Subcontractors</t>
        </is>
      </c>
      <c r="B289" s="13" t="n">
        <v>-1300</v>
      </c>
    </row>
    <row r="290">
      <c r="A290" t="inlineStr">
        <is>
          <t>Technician hours</t>
        </is>
      </c>
      <c r="B290" s="17" t="n">
        <v>71.5</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29572</v>
      </c>
      <c r="C300" s="13" t="n">
        <v>31480</v>
      </c>
    </row>
    <row r="301">
      <c r="A301" t="inlineStr">
        <is>
          <t>Direct cost</t>
        </is>
      </c>
      <c r="B301" s="13" t="n">
        <v>16608</v>
      </c>
      <c r="C301" s="13" t="n">
        <v>17858</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1-hour call-outs (6)</t>
        </is>
      </c>
    </row>
    <row r="307">
      <c r="A307" s="12" t="inlineStr">
        <is>
          <t>Call-outs of this length in February, added together</t>
        </is>
      </c>
    </row>
    <row r="308">
      <c r="A308" s="6" t="inlineStr"/>
      <c r="B308" s="7" t="inlineStr">
        <is>
          <t>Feb 2026</t>
        </is>
      </c>
    </row>
    <row r="309">
      <c r="A309" t="inlineStr">
        <is>
          <t>Call-outs</t>
        </is>
      </c>
      <c r="B309" s="13" t="n">
        <v>6</v>
      </c>
    </row>
    <row r="310">
      <c r="A310" t="inlineStr">
        <is>
          <t>Revenue</t>
        </is>
      </c>
      <c r="B310" s="13" t="n">
        <v>1871</v>
      </c>
    </row>
    <row r="311">
      <c r="A311" t="inlineStr">
        <is>
          <t>Materials</t>
        </is>
      </c>
      <c r="B311" s="13" t="n">
        <v>-770</v>
      </c>
    </row>
    <row r="312">
      <c r="A312" t="inlineStr">
        <is>
          <t>Technician time at cost</t>
        </is>
      </c>
      <c r="B312" s="13" t="n">
        <v>-408</v>
      </c>
    </row>
    <row r="313">
      <c r="A313" t="inlineStr">
        <is>
          <t>Job gross margin</t>
        </is>
      </c>
      <c r="B313" s="13">
        <f>B310+B311+B312</f>
        <v/>
      </c>
    </row>
    <row r="314">
      <c r="A314" s="15" t="inlineStr">
        <is>
          <t>Job gross margin %</t>
        </is>
      </c>
      <c r="B314" s="16">
        <f>B313/B310</f>
        <v/>
      </c>
    </row>
    <row r="315"/>
    <row r="316"/>
    <row r="317">
      <c r="A317" s="5" t="inlineStr">
        <is>
          <t>1.5-hour call-outs (6)</t>
        </is>
      </c>
    </row>
    <row r="318">
      <c r="A318" s="12" t="inlineStr">
        <is>
          <t>Call-outs of this length in February, added together</t>
        </is>
      </c>
    </row>
    <row r="319">
      <c r="A319" s="6" t="inlineStr"/>
      <c r="B319" s="7" t="inlineStr">
        <is>
          <t>Feb 2026</t>
        </is>
      </c>
    </row>
    <row r="320">
      <c r="A320" t="inlineStr">
        <is>
          <t>Call-outs</t>
        </is>
      </c>
      <c r="B320" s="13" t="n">
        <v>6</v>
      </c>
    </row>
    <row r="321">
      <c r="A321" t="inlineStr">
        <is>
          <t>Revenue</t>
        </is>
      </c>
      <c r="B321" s="13" t="n">
        <v>2554</v>
      </c>
    </row>
    <row r="322">
      <c r="A322" t="inlineStr">
        <is>
          <t>Materials</t>
        </is>
      </c>
      <c r="B322" s="13" t="n">
        <v>-960</v>
      </c>
    </row>
    <row r="323">
      <c r="A323" t="inlineStr">
        <is>
          <t>Technician time at cost</t>
        </is>
      </c>
      <c r="B323" s="13" t="n">
        <v>-612</v>
      </c>
    </row>
    <row r="324">
      <c r="A324" t="inlineStr">
        <is>
          <t>Job gross margin</t>
        </is>
      </c>
      <c r="B324" s="13">
        <f>B321+B322+B323</f>
        <v/>
      </c>
    </row>
    <row r="325">
      <c r="A325" s="15" t="inlineStr">
        <is>
          <t>Job gross margin %</t>
        </is>
      </c>
      <c r="B325" s="16">
        <f>B324/B321</f>
        <v/>
      </c>
    </row>
    <row r="326"/>
    <row r="327"/>
    <row r="328">
      <c r="A328" s="5" t="inlineStr">
        <is>
          <t>2-hour call-outs (15)</t>
        </is>
      </c>
    </row>
    <row r="329">
      <c r="A329" s="12" t="inlineStr">
        <is>
          <t>Call-outs of this length in February, added together</t>
        </is>
      </c>
    </row>
    <row r="330">
      <c r="A330" s="6" t="inlineStr"/>
      <c r="B330" s="7" t="inlineStr">
        <is>
          <t>Feb 2026</t>
        </is>
      </c>
    </row>
    <row r="331">
      <c r="A331" t="inlineStr">
        <is>
          <t>Call-outs</t>
        </is>
      </c>
      <c r="B331" s="13" t="n">
        <v>15</v>
      </c>
    </row>
    <row r="332">
      <c r="A332" t="inlineStr">
        <is>
          <t>Revenue</t>
        </is>
      </c>
      <c r="B332" s="13" t="n">
        <v>7184</v>
      </c>
    </row>
    <row r="333">
      <c r="A333" t="inlineStr">
        <is>
          <t>Materials</t>
        </is>
      </c>
      <c r="B333" s="13" t="n">
        <v>-2180</v>
      </c>
    </row>
    <row r="334">
      <c r="A334" t="inlineStr">
        <is>
          <t>Technician time at cost</t>
        </is>
      </c>
      <c r="B334" s="13" t="n">
        <v>-2040</v>
      </c>
    </row>
    <row r="335">
      <c r="A335" t="inlineStr">
        <is>
          <t>Job gross margin</t>
        </is>
      </c>
      <c r="B335" s="13">
        <f>B332+B333+B334</f>
        <v/>
      </c>
    </row>
    <row r="336">
      <c r="A336" s="15" t="inlineStr">
        <is>
          <t>Job gross margin %</t>
        </is>
      </c>
      <c r="B336" s="16">
        <f>B335/B332</f>
        <v/>
      </c>
    </row>
    <row r="337"/>
    <row r="338"/>
    <row r="339">
      <c r="A339" s="5" t="inlineStr">
        <is>
          <t>2.5-hour call-outs (4)</t>
        </is>
      </c>
    </row>
    <row r="340">
      <c r="A340" s="12" t="inlineStr">
        <is>
          <t>Call-outs of this length in February, added together</t>
        </is>
      </c>
    </row>
    <row r="341">
      <c r="A341" s="6" t="inlineStr"/>
      <c r="B341" s="7" t="inlineStr">
        <is>
          <t>Feb 2026</t>
        </is>
      </c>
    </row>
    <row r="342">
      <c r="A342" t="inlineStr">
        <is>
          <t>Call-outs</t>
        </is>
      </c>
      <c r="B342" s="13" t="n">
        <v>4</v>
      </c>
    </row>
    <row r="343">
      <c r="A343" t="inlineStr">
        <is>
          <t>Revenue</t>
        </is>
      </c>
      <c r="B343" s="13" t="n">
        <v>2048</v>
      </c>
    </row>
    <row r="344">
      <c r="A344" t="inlineStr">
        <is>
          <t>Materials</t>
        </is>
      </c>
      <c r="B344" s="13" t="n">
        <v>-460</v>
      </c>
    </row>
    <row r="345">
      <c r="A345" t="inlineStr">
        <is>
          <t>Technician time at cost</t>
        </is>
      </c>
      <c r="B345" s="13" t="n">
        <v>-680</v>
      </c>
    </row>
    <row r="346">
      <c r="A346" t="inlineStr">
        <is>
          <t>Job gross margin</t>
        </is>
      </c>
      <c r="B346" s="13">
        <f>B343+B344+B345</f>
        <v/>
      </c>
    </row>
    <row r="347">
      <c r="A347" s="15" t="inlineStr">
        <is>
          <t>Job gross margin %</t>
        </is>
      </c>
      <c r="B347" s="16">
        <f>B346/B343</f>
        <v/>
      </c>
    </row>
    <row r="348"/>
    <row r="349"/>
    <row r="350">
      <c r="A350" s="5" t="inlineStr">
        <is>
          <t>3-hour call-outs (18)</t>
        </is>
      </c>
    </row>
    <row r="351">
      <c r="A351" s="12" t="inlineStr">
        <is>
          <t>Call-outs of this length in February, added together</t>
        </is>
      </c>
    </row>
    <row r="352">
      <c r="A352" s="6" t="inlineStr"/>
      <c r="B352" s="7" t="inlineStr">
        <is>
          <t>Feb 2026</t>
        </is>
      </c>
    </row>
    <row r="353">
      <c r="A353" t="inlineStr">
        <is>
          <t>Call-outs</t>
        </is>
      </c>
      <c r="B353" s="13" t="n">
        <v>18</v>
      </c>
    </row>
    <row r="354">
      <c r="A354" t="inlineStr">
        <is>
          <t>Revenue</t>
        </is>
      </c>
      <c r="B354" s="13" t="n">
        <v>10287</v>
      </c>
    </row>
    <row r="355">
      <c r="A355" t="inlineStr">
        <is>
          <t>Materials</t>
        </is>
      </c>
      <c r="B355" s="13" t="n">
        <v>-1890</v>
      </c>
    </row>
    <row r="356">
      <c r="A356" t="inlineStr">
        <is>
          <t>Technician time at cost</t>
        </is>
      </c>
      <c r="B356" s="13" t="n">
        <v>-3672</v>
      </c>
    </row>
    <row r="357">
      <c r="A357" t="inlineStr">
        <is>
          <t>Job gross margin</t>
        </is>
      </c>
      <c r="B357" s="13">
        <f>B354+B355+B356</f>
        <v/>
      </c>
    </row>
    <row r="358">
      <c r="A358" s="15" t="inlineStr">
        <is>
          <t>Job gross margin %</t>
        </is>
      </c>
      <c r="B358" s="16">
        <f>B357/B354</f>
        <v/>
      </c>
    </row>
    <row r="359"/>
    <row r="360"/>
    <row r="361">
      <c r="A361" s="5" t="inlineStr">
        <is>
          <t>4-hour call-outs (8)</t>
        </is>
      </c>
    </row>
    <row r="362">
      <c r="A362" s="12" t="inlineStr">
        <is>
          <t>Call-outs of this length in February, added together</t>
        </is>
      </c>
    </row>
    <row r="363">
      <c r="A363" s="6" t="inlineStr"/>
      <c r="B363" s="7" t="inlineStr">
        <is>
          <t>Feb 2026</t>
        </is>
      </c>
    </row>
    <row r="364">
      <c r="A364" t="inlineStr">
        <is>
          <t>Call-outs</t>
        </is>
      </c>
      <c r="B364" s="13" t="n">
        <v>8</v>
      </c>
    </row>
    <row r="365">
      <c r="A365" t="inlineStr">
        <is>
          <t>Revenue</t>
        </is>
      </c>
      <c r="B365" s="13" t="n">
        <v>5628</v>
      </c>
    </row>
    <row r="366">
      <c r="A366" t="inlineStr">
        <is>
          <t>Materials</t>
        </is>
      </c>
      <c r="B366" s="13" t="n">
        <v>-760</v>
      </c>
    </row>
    <row r="367">
      <c r="A367" t="inlineStr">
        <is>
          <t>Technician time at cost</t>
        </is>
      </c>
      <c r="B367" s="13" t="n">
        <v>-2176</v>
      </c>
    </row>
    <row r="368">
      <c r="A368" t="inlineStr">
        <is>
          <t>Job gross margin</t>
        </is>
      </c>
      <c r="B368" s="13">
        <f>B365+B366+B367</f>
        <v/>
      </c>
    </row>
    <row r="369">
      <c r="A369" s="15" t="inlineStr">
        <is>
          <t>Job gross margin %</t>
        </is>
      </c>
      <c r="B369" s="16">
        <f>B368/B365</f>
        <v/>
      </c>
    </row>
    <row r="370"/>
    <row r="371"/>
    <row r="372"/>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5" min="0" max="16383" man="1"/>
    <brk id="327" min="0" max="16383" man="1"/>
    <brk id="349"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39" min="0" max="16383" man="1"/>
    <brk id="56"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2026-10-06T07:09:30Z</dcterms:created>
  <dcterms:modified xmlns:dcterms="http://purl.org/dc/terms/" xmlns:xsi="http://www.w3.org/2001/XMLSchema-instance" xsi:type="dcterms:W3CDTF">2026-10-06T07:09:30Z</dcterms:modified>
</cp:coreProperties>
</file>