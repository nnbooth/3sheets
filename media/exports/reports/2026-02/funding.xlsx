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Donations">'Report'!$B$52</definedName>
    <definedName name="Raised_year_to_date">'Report'!$B$53</definedName>
    <definedName name="_xlnm.Print_Area" localSheetId="0">'Report'!$A$1:$E$61</definedName>
    <definedName name="_xlnm.Print_Area" localSheetId="1">'Workings'!$A$1:$B$47</definedName>
    <definedName name="_xlnm.Print_Titles" localSheetId="2">'Data'!$5:$5</definedName>
    <definedName name="_xlnm.Print_Area" localSheetId="2">'Data'!$A$1:$G$56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February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'Report'!$A$10:$A$11</f>
            </numRef>
          </cat>
          <val>
            <numRef>
              <f>'Report'!$B$10:$B$11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'Data'!$B$6:$B$22</f>
            </numRef>
          </cat>
          <val>
            <numRef>
              <f>'Data'!$D$6:$D$22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'Data'!$B$6:$B$22</f>
            </numRef>
          </cat>
          <val>
            <numRef>
              <f>'Data'!$D$23:$D$39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'Data'!$B$6:$B$22</f>
            </numRef>
          </cat>
          <val>
            <numRef>
              <f>'Data'!$D$40:$D$56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56" headerRowCount="1">
  <autoFilter ref="A5:G56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February 2026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13</v>
      </c>
    </row>
    <row r="11">
      <c r="A11" t="inlineStr">
        <is>
          <t>Donations</t>
        </is>
      </c>
      <c r="B11" s="8" t="n">
        <v>13</v>
      </c>
    </row>
    <row r="12"/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February it cost: Grants 13¢, donations 13¢ to raise each dollar.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February: grants (13¢ a dollar). Dearest: donations (13¢).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$506,430 raised this financial year to date (73.9% of everything raised), $56,800 to raise it, so $449,630 left for programs: 11¢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$136,100 raised this financial year to date (19.9% of everything raised), $20,700 to raise it, so $115,400 left for programs: 15¢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$43,000 raised this financial year to date (6.3% of everything raised), $17,800 to raise it, so $25,200 left for programs: 41¢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Workings!B25</f>
        <v/>
      </c>
      <c r="C51" s="10" t="inlineStr">
        <is>
          <t>per $1 raised in February</t>
        </is>
      </c>
    </row>
    <row r="52">
      <c r="A52" t="inlineStr">
        <is>
          <t>Dearest to raise: Donations</t>
        </is>
      </c>
      <c r="B52" s="8">
        <f>Workings!B37</f>
        <v/>
      </c>
      <c r="C52" s="10" t="inlineStr">
        <is>
          <t>per $1 raised in February</t>
        </is>
      </c>
    </row>
    <row r="53">
      <c r="A53" t="inlineStr">
        <is>
          <t>Raised, year to date</t>
        </is>
      </c>
      <c r="B53" s="11">
        <f>Workings!B47</f>
        <v/>
      </c>
      <c r="C53" s="10" t="inlineStr">
        <is>
          <t>Jul to Feb 2026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to Feb 2026),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$506,430</t>
        </is>
      </c>
      <c r="C59" s="14" t="inlineStr">
        <is>
          <t>$56,800</t>
        </is>
      </c>
      <c r="D59" s="14" t="inlineStr">
        <is>
          <t>$449,630</t>
        </is>
      </c>
      <c r="E59" s="14" t="inlineStr">
        <is>
          <t>11¢</t>
        </is>
      </c>
    </row>
    <row r="60">
      <c r="A60" s="13" t="inlineStr">
        <is>
          <t>Donations</t>
        </is>
      </c>
      <c r="B60" s="14" t="inlineStr">
        <is>
          <t>$136,100</t>
        </is>
      </c>
      <c r="C60" s="14" t="inlineStr">
        <is>
          <t>$20,700</t>
        </is>
      </c>
      <c r="D60" s="14" t="inlineStr">
        <is>
          <t>$115,400</t>
        </is>
      </c>
      <c r="E60" s="14" t="inlineStr">
        <is>
          <t>15¢</t>
        </is>
      </c>
    </row>
    <row r="61">
      <c r="A61" s="13" t="inlineStr">
        <is>
          <t>Fundraising events</t>
        </is>
      </c>
      <c r="B61" s="14" t="inlineStr">
        <is>
          <t>$43,000</t>
        </is>
      </c>
      <c r="C61" s="14" t="inlineStr">
        <is>
          <t>$17,800</t>
        </is>
      </c>
      <c r="D61" s="14" t="inlineStr">
        <is>
          <t>$25,200</t>
        </is>
      </c>
      <c r="E61" s="14" t="inlineStr">
        <is>
          <t>41¢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s="4" t="inlineStr">
        <is>
          <t>Cost to raise a dollar, by source, February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Feb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55759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16400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February. </t>
        </is>
      </c>
    </row>
    <row r="15"/>
    <row r="16"/>
    <row r="17">
      <c r="A17" s="4" t="inlineStr">
        <is>
          <t>Cost to raise a dollar, by source, February 2026</t>
        </is>
      </c>
    </row>
    <row r="18">
      <c r="A18" s="12" t="inlineStr">
        <is>
          <t>Fundraising cost ÷ money raised, for each source, in cents</t>
        </is>
      </c>
    </row>
    <row r="19">
      <c r="A19" s="6" t="inlineStr"/>
      <c r="B19" s="7" t="inlineStr">
        <is>
          <t>Feb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55759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16400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February. </t>
        </is>
      </c>
    </row>
    <row r="27"/>
    <row r="28"/>
    <row r="29">
      <c r="A29" s="4" t="inlineStr">
        <is>
          <t>Cost to raise a dollar, by source, February 2026</t>
        </is>
      </c>
    </row>
    <row r="30">
      <c r="A30" s="12" t="inlineStr">
        <is>
          <t>Fundraising cost ÷ money raised, for each source, in cents</t>
        </is>
      </c>
    </row>
    <row r="31">
      <c r="A31" s="6" t="inlineStr"/>
      <c r="B31" s="7" t="inlineStr">
        <is>
          <t>Feb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55759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16400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February. </t>
        </is>
      </c>
    </row>
    <row r="39"/>
    <row r="40"/>
    <row r="41">
      <c r="A41" s="4" t="inlineStr">
        <is>
          <t>Raised, financial year to date (Jul to Feb 2026)</t>
        </is>
      </c>
    </row>
    <row r="42">
      <c r="A42" s="12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506430</v>
      </c>
    </row>
    <row r="45">
      <c r="A45" t="inlineStr">
        <is>
          <t>Donations, raised</t>
        </is>
      </c>
      <c r="B45" s="15" t="n">
        <v>136100</v>
      </c>
    </row>
    <row r="46">
      <c r="A46" t="inlineStr">
        <is>
          <t>Fundraising events, raised</t>
        </is>
      </c>
      <c r="B46" s="15" t="n">
        <v>43000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Donations</t>
        </is>
      </c>
      <c r="B23" s="20" t="inlineStr">
        <is>
          <t>Oct 24</t>
        </is>
      </c>
      <c r="C23" s="20" t="inlineStr">
        <is>
          <t>Locked</t>
        </is>
      </c>
      <c r="D23" s="15" t="n">
        <v>15300</v>
      </c>
      <c r="E23" s="15" t="n">
        <v>2200</v>
      </c>
      <c r="F23" s="15">
        <f>D23-E23</f>
        <v/>
      </c>
      <c r="G23" s="16">
        <f>IF(D23=0,"",E23/D23*100)</f>
        <v/>
      </c>
    </row>
    <row r="24">
      <c r="A24" s="20" t="inlineStr">
        <is>
          <t>Donations</t>
        </is>
      </c>
      <c r="B24" s="20" t="inlineStr">
        <is>
          <t>Nov 24</t>
        </is>
      </c>
      <c r="C24" s="20" t="inlineStr">
        <is>
          <t>Locked</t>
        </is>
      </c>
      <c r="D24" s="15" t="n">
        <v>17700</v>
      </c>
      <c r="E24" s="15" t="n">
        <v>3100</v>
      </c>
      <c r="F24" s="15">
        <f>D24-E24</f>
        <v/>
      </c>
      <c r="G24" s="16">
        <f>IF(D24=0,"",E24/D24*100)</f>
        <v/>
      </c>
    </row>
    <row r="25">
      <c r="A25" s="20" t="inlineStr">
        <is>
          <t>Donations</t>
        </is>
      </c>
      <c r="B25" s="20" t="inlineStr">
        <is>
          <t>Dec 24</t>
        </is>
      </c>
      <c r="C25" s="20" t="inlineStr">
        <is>
          <t>Locked</t>
        </is>
      </c>
      <c r="D25" s="15" t="n">
        <v>24700</v>
      </c>
      <c r="E25" s="15" t="n">
        <v>4400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Jan 25</t>
        </is>
      </c>
      <c r="C26" s="20" t="inlineStr">
        <is>
          <t>Locked</t>
        </is>
      </c>
      <c r="D26" s="15" t="n">
        <v>12400</v>
      </c>
      <c r="E26" s="15" t="n">
        <v>2200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Feb 25</t>
        </is>
      </c>
      <c r="C27" s="20" t="inlineStr">
        <is>
          <t>Locked</t>
        </is>
      </c>
      <c r="D27" s="15" t="n">
        <v>15600</v>
      </c>
      <c r="E27" s="15" t="n">
        <v>2200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Mar 25</t>
        </is>
      </c>
      <c r="C28" s="20" t="inlineStr">
        <is>
          <t>Locked</t>
        </is>
      </c>
      <c r="D28" s="15" t="n">
        <v>15700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Apr 25</t>
        </is>
      </c>
      <c r="C29" s="20" t="inlineStr">
        <is>
          <t>Locked</t>
        </is>
      </c>
      <c r="D29" s="15" t="n">
        <v>15700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May 25</t>
        </is>
      </c>
      <c r="C30" s="20" t="inlineStr">
        <is>
          <t>Locked</t>
        </is>
      </c>
      <c r="D30" s="15" t="n">
        <v>15800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Jun 25</t>
        </is>
      </c>
      <c r="C31" s="20" t="inlineStr">
        <is>
          <t>Locked</t>
        </is>
      </c>
      <c r="D31" s="15" t="n">
        <v>38100</v>
      </c>
      <c r="E31" s="15" t="n">
        <v>5500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Jul 25</t>
        </is>
      </c>
      <c r="C32" s="20" t="inlineStr">
        <is>
          <t>Locked</t>
        </is>
      </c>
      <c r="D32" s="15" t="n">
        <v>13500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Aug 25</t>
        </is>
      </c>
      <c r="C33" s="20" t="inlineStr">
        <is>
          <t>Locked</t>
        </is>
      </c>
      <c r="D33" s="15" t="n">
        <v>16000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Sep 25</t>
        </is>
      </c>
      <c r="C34" s="20" t="inlineStr">
        <is>
          <t>Locked</t>
        </is>
      </c>
      <c r="D34" s="15" t="n">
        <v>16100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Oct 25</t>
        </is>
      </c>
      <c r="C35" s="20" t="inlineStr">
        <is>
          <t>Locked</t>
        </is>
      </c>
      <c r="D35" s="15" t="n">
        <v>16200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Nov 25</t>
        </is>
      </c>
      <c r="C36" s="20" t="inlineStr">
        <is>
          <t>Locked</t>
        </is>
      </c>
      <c r="D36" s="15" t="n">
        <v>18700</v>
      </c>
      <c r="E36" s="15" t="n">
        <v>3100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Dec 25</t>
        </is>
      </c>
      <c r="C37" s="20" t="inlineStr">
        <is>
          <t>Locked</t>
        </is>
      </c>
      <c r="D37" s="15" t="n">
        <v>26100</v>
      </c>
      <c r="E37" s="15" t="n">
        <v>4400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Jan 26</t>
        </is>
      </c>
      <c r="C38" s="20" t="inlineStr">
        <is>
          <t>Locked</t>
        </is>
      </c>
      <c r="D38" s="15" t="n">
        <v>13100</v>
      </c>
      <c r="E38" s="15" t="n">
        <v>2200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Feb 26</t>
        </is>
      </c>
      <c r="C39" s="20" t="inlineStr">
        <is>
          <t>Locked</t>
        </is>
      </c>
      <c r="D39" s="15" t="n">
        <v>16400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Fundraising events</t>
        </is>
      </c>
      <c r="B40" s="20" t="inlineStr">
        <is>
          <t>Oct 24</t>
        </is>
      </c>
      <c r="C40" s="20" t="inlineStr">
        <is>
          <t>Locked</t>
        </is>
      </c>
      <c r="D40" s="15" t="n">
        <v>0</v>
      </c>
      <c r="E40" s="15" t="n">
        <v>0</v>
      </c>
      <c r="F40" s="15">
        <f>D40-E40</f>
        <v/>
      </c>
      <c r="G40" s="16">
        <f>IF(D40=0,"",E40/D40*100)</f>
        <v/>
      </c>
    </row>
    <row r="41">
      <c r="A41" s="20" t="inlineStr">
        <is>
          <t>Fundraising events</t>
        </is>
      </c>
      <c r="B41" s="20" t="inlineStr">
        <is>
          <t>Nov 24</t>
        </is>
      </c>
      <c r="C41" s="20" t="inlineStr">
        <is>
          <t>Locked</t>
        </is>
      </c>
      <c r="D41" s="15" t="n">
        <v>0</v>
      </c>
      <c r="E41" s="15" t="n">
        <v>0</v>
      </c>
      <c r="F41" s="15">
        <f>D41-E41</f>
        <v/>
      </c>
      <c r="G41" s="16">
        <f>IF(D41=0,"",E41/D41*100)</f>
        <v/>
      </c>
    </row>
    <row r="42">
      <c r="A42" s="20" t="inlineStr">
        <is>
          <t>Fundraising events</t>
        </is>
      </c>
      <c r="B42" s="20" t="inlineStr">
        <is>
          <t>Dec 24</t>
        </is>
      </c>
      <c r="C42" s="20" t="inlineStr">
        <is>
          <t>Locked</t>
        </is>
      </c>
      <c r="D42" s="15" t="n">
        <v>6200</v>
      </c>
      <c r="E42" s="15" t="n">
        <v>2600</v>
      </c>
      <c r="F42" s="15">
        <f>D42-E42</f>
        <v/>
      </c>
      <c r="G42" s="16">
        <f>IF(D42=0,"",E42/D42*100)</f>
        <v/>
      </c>
    </row>
    <row r="43">
      <c r="A43" s="20" t="inlineStr">
        <is>
          <t>Fundraising events</t>
        </is>
      </c>
      <c r="B43" s="20" t="inlineStr">
        <is>
          <t>Jan 25</t>
        </is>
      </c>
      <c r="C43" s="20" t="inlineStr">
        <is>
          <t>Locked</t>
        </is>
      </c>
      <c r="D43" s="15" t="n">
        <v>0</v>
      </c>
      <c r="E43" s="15" t="n">
        <v>0</v>
      </c>
      <c r="F43" s="15">
        <f>D43-E43</f>
        <v/>
      </c>
      <c r="G43" s="16">
        <f>IF(D43=0,"",E43/D43*100)</f>
        <v/>
      </c>
    </row>
    <row r="44">
      <c r="A44" s="20" t="inlineStr">
        <is>
          <t>Fundraising events</t>
        </is>
      </c>
      <c r="B44" s="20" t="inlineStr">
        <is>
          <t>Feb 25</t>
        </is>
      </c>
      <c r="C44" s="20" t="inlineStr">
        <is>
          <t>Locked</t>
        </is>
      </c>
      <c r="D44" s="15" t="n">
        <v>0</v>
      </c>
      <c r="E44" s="15" t="n">
        <v>0</v>
      </c>
      <c r="F44" s="15">
        <f>D44-E44</f>
        <v/>
      </c>
      <c r="G44" s="16">
        <f>IF(D44=0,"",E44/D44*100)</f>
        <v/>
      </c>
    </row>
    <row r="45">
      <c r="A45" s="20" t="inlineStr">
        <is>
          <t>Fundraising events</t>
        </is>
      </c>
      <c r="B45" s="20" t="inlineStr">
        <is>
          <t>Mar 25</t>
        </is>
      </c>
      <c r="C45" s="20" t="inlineStr">
        <is>
          <t>Locked</t>
        </is>
      </c>
      <c r="D45" s="15" t="n">
        <v>0</v>
      </c>
      <c r="E45" s="15" t="n">
        <v>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Apr 25</t>
        </is>
      </c>
      <c r="C46" s="20" t="inlineStr">
        <is>
          <t>Locked</t>
        </is>
      </c>
      <c r="D46" s="15" t="n">
        <v>0</v>
      </c>
      <c r="E46" s="15" t="n">
        <v>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May 25</t>
        </is>
      </c>
      <c r="C47" s="20" t="inlineStr">
        <is>
          <t>Locked</t>
        </is>
      </c>
      <c r="D47" s="15" t="n">
        <v>0</v>
      </c>
      <c r="E47" s="15" t="n">
        <v>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Jun 25</t>
        </is>
      </c>
      <c r="C48" s="20" t="inlineStr">
        <is>
          <t>Locked</t>
        </is>
      </c>
      <c r="D48" s="15" t="n">
        <v>0</v>
      </c>
      <c r="E48" s="15" t="n">
        <v>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Jul 25</t>
        </is>
      </c>
      <c r="C49" s="20" t="inlineStr">
        <is>
          <t>Locked</t>
        </is>
      </c>
      <c r="D49" s="15" t="n">
        <v>0</v>
      </c>
      <c r="E49" s="15" t="n">
        <v>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Aug 25</t>
        </is>
      </c>
      <c r="C50" s="20" t="inlineStr">
        <is>
          <t>Locked</t>
        </is>
      </c>
      <c r="D50" s="15" t="n">
        <v>0</v>
      </c>
      <c r="E50" s="15" t="n">
        <v>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Sep 25</t>
        </is>
      </c>
      <c r="C51" s="20" t="inlineStr">
        <is>
          <t>Locked</t>
        </is>
      </c>
      <c r="D51" s="15" t="n">
        <v>36800</v>
      </c>
      <c r="E51" s="15" t="n">
        <v>15200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Oct 25</t>
        </is>
      </c>
      <c r="C52" s="20" t="inlineStr">
        <is>
          <t>Locked</t>
        </is>
      </c>
      <c r="D52" s="15" t="n">
        <v>0</v>
      </c>
      <c r="E52" s="15" t="n">
        <v>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Nov 25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Dec 25</t>
        </is>
      </c>
      <c r="C54" s="20" t="inlineStr">
        <is>
          <t>Locked</t>
        </is>
      </c>
      <c r="D54" s="15" t="n">
        <v>6200</v>
      </c>
      <c r="E54" s="15" t="n">
        <v>2600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Jan 26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Feb 26</t>
        </is>
      </c>
      <c r="C56" s="20" t="inlineStr">
        <is>
          <t>Locked</t>
        </is>
      </c>
      <c r="D56" s="15" t="n">
        <v>0</v>
      </c>
      <c r="E56" s="15" t="n">
        <v>0</v>
      </c>
      <c r="F56" s="15">
        <f>D56-E56</f>
        <v/>
      </c>
      <c r="G56" s="16">
        <f>IF(D56=0,"",E56/D56*100)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2" min="0" max="16383" man="1"/>
    <brk id="39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2026-10-07T23:36:05Z</dcterms:created>
  <dcterms:modified xmlns:dcterms="http://purl.org/dc/terms/" xmlns:xsi="http://www.w3.org/2001/XMLSchema-instance" xsi:type="dcterms:W3CDTF">2026-10-07T23:36:05Z</dcterms:modified>
</cp:coreProperties>
</file>