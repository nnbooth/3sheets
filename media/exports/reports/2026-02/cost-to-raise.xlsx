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February · all fundraising</t>
        </is>
      </c>
      <c r="B9" s="7">
        <f>Workings!B10</f>
        <v/>
      </c>
      <c r="C9" s="8" t="inlineStr">
        <is>
          <t>January 13¢</t>
        </is>
      </c>
    </row>
    <row r="10">
      <c r="A10" t="inlineStr">
        <is>
          <t>Year to date (Jul to Feb 2026)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February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13</v>
      </c>
    </row>
    <row r="15">
      <c r="A15" t="inlineStr">
        <is>
          <t>Donations</t>
        </is>
      </c>
      <c r="B15" s="7" t="n">
        <v>13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February cost 13¢ to raise each dollar, against 13¢ in January.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February · Grants</t>
        </is>
      </c>
      <c r="B25" s="7">
        <f>Workings!B39</f>
        <v/>
      </c>
      <c r="C25" s="8" t="inlineStr">
        <is>
          <t>January 12¢</t>
        </is>
      </c>
    </row>
    <row r="26">
      <c r="A26" t="inlineStr">
        <is>
          <t>Year to date (Jul to Feb 2026)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($56,800 of grant writing and reporting for $506,430).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February · Donations</t>
        </is>
      </c>
      <c r="B36" s="7">
        <f>Workings!B56</f>
        <v/>
      </c>
      <c r="C36" s="8" t="inlineStr">
        <is>
          <t>January 17¢</t>
        </is>
      </c>
    </row>
    <row r="37">
      <c r="A37" t="inlineStr">
        <is>
          <t>Year to date (Jul to Feb 2026)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($20,700 of donor campaigns for $136,100).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February · Fundraising events</t>
        </is>
      </c>
      <c r="B47" s="11">
        <f>Workings!B72</f>
        <v/>
      </c>
      <c r="C47" s="8" t="inlineStr">
        <is>
          <t>January none raised</t>
        </is>
      </c>
    </row>
    <row r="48">
      <c r="A48" t="inlineStr">
        <is>
          <t>Year to date (Jul to Feb 2026)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($17,800 of event costs for $43,000).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Cost to raise a dollar, all fundraising, February and January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72159</v>
      </c>
      <c r="C9" s="13" t="n">
        <v>72885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95300</v>
      </c>
    </row>
    <row r="17">
      <c r="A17" t="inlineStr">
        <is>
          <t>Raised, year to date</t>
        </is>
      </c>
      <c r="B17" s="13" t="n">
        <v>685530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February 2026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Feb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55759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16400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February. </t>
        </is>
      </c>
    </row>
    <row r="32"/>
    <row r="33"/>
    <row r="34">
      <c r="A34" s="4" t="inlineStr">
        <is>
          <t>Cost to raise a dollar, grants, February and January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Feb 26</t>
        </is>
      </c>
      <c r="C36" s="6" t="inlineStr">
        <is>
          <t>Jan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55759</v>
      </c>
      <c r="C38" s="13" t="n">
        <v>59785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56800</v>
      </c>
    </row>
    <row r="46">
      <c r="A46" t="inlineStr">
        <is>
          <t>Raised, year to date</t>
        </is>
      </c>
      <c r="B46" s="13" t="n">
        <v>506430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February and January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Feb 26</t>
        </is>
      </c>
      <c r="C53" s="6" t="inlineStr">
        <is>
          <t>Jan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16400</v>
      </c>
      <c r="C55" s="13" t="n">
        <v>13100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20700</v>
      </c>
    </row>
    <row r="63">
      <c r="A63" t="inlineStr">
        <is>
          <t>Raised, year to date</t>
        </is>
      </c>
      <c r="B63" s="13" t="n">
        <v>136100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February and January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Feb 26</t>
        </is>
      </c>
      <c r="C70" s="6" t="inlineStr">
        <is>
          <t>Jan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