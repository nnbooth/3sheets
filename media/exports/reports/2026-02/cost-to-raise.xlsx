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'Data'!$5:$5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&quot;¢&quot;;[Red](0&quot;¢&quot;)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2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59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it cost to raise a dollar?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February 2026 · Data status: Jan 2026 locked · Feb 2026 locked · Oct 2026 incomplete (data retrieved 2pm, Tue 6 Oct 2026)</t>
        </is>
      </c>
    </row>
    <row r="4"/>
    <row r="5" ht="32" customHeight="1">
      <c r="A5" s="3" t="inlineStr">
        <is>
          <t>What fundraising costs (grant writing, donor campaigns, events) for every dollar it brings in. Pick a source and every number, chart and note follows it.</t>
        </is>
      </c>
    </row>
    <row r="6"/>
    <row r="7">
      <c r="A7" s="4" t="inlineStr">
        <is>
          <t>Source: All fundraising</t>
        </is>
      </c>
    </row>
    <row r="8">
      <c r="A8" s="5" t="inlineStr">
        <is>
          <t>Headline number</t>
        </is>
      </c>
      <c r="B8" s="6" t="inlineStr">
        <is>
          <t>Value</t>
        </is>
      </c>
      <c r="C8" s="6" t="inlineStr">
        <is>
          <t>Compared with</t>
        </is>
      </c>
    </row>
    <row r="9">
      <c r="A9" t="inlineStr">
        <is>
          <t>February · all fundraising</t>
        </is>
      </c>
      <c r="B9" s="7">
        <f>Workings!B10</f>
        <v/>
      </c>
      <c r="C9" s="8" t="inlineStr">
        <is>
          <t>January 13¢</t>
        </is>
      </c>
    </row>
    <row r="10">
      <c r="A10" t="inlineStr">
        <is>
          <t>Year to date (Jul to Feb 2026)</t>
        </is>
      </c>
      <c r="B10" s="7">
        <f>Workings!B18</f>
        <v/>
      </c>
      <c r="C10" s="8" t="inlineStr">
        <is>
          <t>same period last year: not in the data</t>
        </is>
      </c>
    </row>
    <row r="11"/>
    <row r="12">
      <c r="A12" s="9" t="inlineStr">
        <is>
          <t>Cost to raise a dollar, by source, February 2026 (cents)</t>
        </is>
      </c>
    </row>
    <row r="13">
      <c r="A13" s="5" t="inlineStr"/>
      <c r="B13" s="6" t="inlineStr">
        <is>
          <t>Value</t>
        </is>
      </c>
    </row>
    <row r="14">
      <c r="A14" t="inlineStr">
        <is>
          <t>Grants</t>
        </is>
      </c>
      <c r="B14" s="7" t="n">
        <v>13</v>
      </c>
    </row>
    <row r="15">
      <c r="A15" t="inlineStr">
        <is>
          <t>Donations</t>
        </is>
      </c>
      <c r="B15" s="7" t="n">
        <v>13</v>
      </c>
    </row>
    <row r="16"/>
    <row r="17">
      <c r="A17" s="10" t="inlineStr">
        <is>
          <t>What it shows</t>
        </is>
      </c>
    </row>
    <row r="18" ht="30" customHeight="1">
      <c r="A18" s="3" t="inlineStr">
        <is>
          <t>February cost 13¢ to raise each dollar, against 13¢ in January. This financial year to date it has cost 14¢ a dollar.</t>
        </is>
      </c>
    </row>
    <row r="19"/>
    <row r="20">
      <c r="A20" s="10" t="inlineStr">
        <is>
          <t>What you'd do about it</t>
        </is>
      </c>
    </row>
    <row r="21" ht="30" customHeight="1">
      <c r="A21" s="3" t="inlineStr">
        <is>
          <t>The year-to-date figure is steadier than single months: events make some months jump. Pick a source above to see which one moves it.</t>
        </is>
      </c>
    </row>
    <row r="22"/>
    <row r="23">
      <c r="A23" s="4" t="inlineStr">
        <is>
          <t>Source: Grants</t>
        </is>
      </c>
    </row>
    <row r="24">
      <c r="A24" s="5" t="inlineStr">
        <is>
          <t>Headline number</t>
        </is>
      </c>
      <c r="B24" s="6" t="inlineStr">
        <is>
          <t>Value</t>
        </is>
      </c>
      <c r="C24" s="6" t="inlineStr">
        <is>
          <t>Compared with</t>
        </is>
      </c>
    </row>
    <row r="25">
      <c r="A25" t="inlineStr">
        <is>
          <t>February · Grants</t>
        </is>
      </c>
      <c r="B25" s="7">
        <f>Workings!B39</f>
        <v/>
      </c>
      <c r="C25" s="8" t="inlineStr">
        <is>
          <t>January 12¢</t>
        </is>
      </c>
    </row>
    <row r="26">
      <c r="A26" t="inlineStr">
        <is>
          <t>Year to date (Jul to Feb 2026)</t>
        </is>
      </c>
      <c r="B26" s="7">
        <f>Workings!B47</f>
        <v/>
      </c>
      <c r="C26" s="8" t="inlineStr">
        <is>
          <t>same period last year: not in the data</t>
        </is>
      </c>
    </row>
    <row r="27"/>
    <row r="28">
      <c r="A28" s="10" t="inlineStr">
        <is>
          <t>What it shows</t>
        </is>
      </c>
    </row>
    <row r="29" ht="30" customHeight="1">
      <c r="A29" s="3" t="inlineStr">
        <is>
          <t>Grants cost 11¢ to raise each dollar this financial year to date ($56,800 of grant writing and reporting for $506,430).</t>
        </is>
      </c>
    </row>
    <row r="30"/>
    <row r="31">
      <c r="A31" s="10" t="inlineStr">
        <is>
          <t>What you'd do about it</t>
        </is>
      </c>
    </row>
    <row r="32" ht="30" customHeight="1">
      <c r="A32" s="3" t="inlineStr">
        <is>
          <t>Usually the cheapest money to raise, as long as the time that goes into applications and acquittals is protected.</t>
        </is>
      </c>
    </row>
    <row r="33"/>
    <row r="34">
      <c r="A34" s="4" t="inlineStr">
        <is>
          <t>Source: Donations</t>
        </is>
      </c>
    </row>
    <row r="35">
      <c r="A35" s="5" t="inlineStr">
        <is>
          <t>Headline number</t>
        </is>
      </c>
      <c r="B35" s="6" t="inlineStr">
        <is>
          <t>Value</t>
        </is>
      </c>
      <c r="C35" s="6" t="inlineStr">
        <is>
          <t>Compared with</t>
        </is>
      </c>
    </row>
    <row r="36">
      <c r="A36" t="inlineStr">
        <is>
          <t>February · Donations</t>
        </is>
      </c>
      <c r="B36" s="7">
        <f>Workings!B56</f>
        <v/>
      </c>
      <c r="C36" s="8" t="inlineStr">
        <is>
          <t>January 17¢</t>
        </is>
      </c>
    </row>
    <row r="37">
      <c r="A37" t="inlineStr">
        <is>
          <t>Year to date (Jul to Feb 2026)</t>
        </is>
      </c>
      <c r="B37" s="7">
        <f>Workings!B64</f>
        <v/>
      </c>
      <c r="C37" s="8" t="inlineStr">
        <is>
          <t>same period last year: not in the data</t>
        </is>
      </c>
    </row>
    <row r="38"/>
    <row r="39">
      <c r="A39" s="10" t="inlineStr">
        <is>
          <t>What it shows</t>
        </is>
      </c>
    </row>
    <row r="40" ht="30" customHeight="1">
      <c r="A40" s="3" t="inlineStr">
        <is>
          <t>Donations cost 15¢ to raise each dollar this financial year to date ($20,700 of donor campaigns for $136,100).</t>
        </is>
      </c>
    </row>
    <row r="41"/>
    <row r="42">
      <c r="A42" s="10" t="inlineStr">
        <is>
          <t>What you'd do about it</t>
        </is>
      </c>
    </row>
    <row r="43" ht="30" customHeight="1">
      <c r="A43" s="3" t="inlineStr">
        <is>
          <t>Steady and cheap, and untied: the money that builds reserves.</t>
        </is>
      </c>
    </row>
    <row r="44"/>
    <row r="45">
      <c r="A45" s="4" t="inlineStr">
        <is>
          <t>Source: Fundraising events</t>
        </is>
      </c>
    </row>
    <row r="46">
      <c r="A46" s="5" t="inlineStr">
        <is>
          <t>Headline number</t>
        </is>
      </c>
      <c r="B46" s="6" t="inlineStr">
        <is>
          <t>Value</t>
        </is>
      </c>
      <c r="C46" s="6" t="inlineStr">
        <is>
          <t>Compared with</t>
        </is>
      </c>
    </row>
    <row r="47">
      <c r="A47" t="inlineStr">
        <is>
          <t>February · Fundraising events</t>
        </is>
      </c>
      <c r="B47" s="11">
        <f>Workings!B72</f>
        <v/>
      </c>
      <c r="C47" s="8" t="inlineStr">
        <is>
          <t>January none raised</t>
        </is>
      </c>
    </row>
    <row r="48">
      <c r="A48" t="inlineStr">
        <is>
          <t>Year to date (Jul to Feb 2026)</t>
        </is>
      </c>
      <c r="B48" s="7">
        <f>Workings!B81</f>
        <v/>
      </c>
      <c r="C48" s="8" t="inlineStr">
        <is>
          <t>same period last year: not in the data</t>
        </is>
      </c>
    </row>
    <row r="49"/>
    <row r="50">
      <c r="A50" s="10" t="inlineStr">
        <is>
          <t>What it shows</t>
        </is>
      </c>
    </row>
    <row r="51" ht="30" customHeight="1">
      <c r="A51" s="3" t="inlineStr">
        <is>
          <t>Fundraising events cost 41¢ to raise each dollar this financial year to date ($17,800 of event costs for $43,000).</t>
        </is>
      </c>
    </row>
    <row r="52"/>
    <row r="53">
      <c r="A53" s="10" t="inlineStr">
        <is>
          <t>What you'd do about it</t>
        </is>
      </c>
    </row>
    <row r="54" ht="30" customHeight="1">
      <c r="A54" s="3" t="inlineStr">
        <is>
          <t>Usually the dearest money to raise: events are worth counting for what else they bring too (new donors, profile).</t>
        </is>
      </c>
    </row>
    <row r="55"/>
    <row r="56">
      <c r="A56" s="4" t="inlineStr">
        <is>
          <t>Every source at once</t>
        </is>
      </c>
    </row>
    <row r="57">
      <c r="A57" s="12" t="inlineStr">
        <is>
          <t>Cost to raise a dollar, by month (cents): every month is on the Data sheet.</t>
        </is>
      </c>
    </row>
    <row r="58"/>
    <row r="59"/>
  </sheetData>
  <mergeCells count="9">
    <mergeCell ref="A5:D5"/>
    <mergeCell ref="A40:D40"/>
    <mergeCell ref="A18:D18"/>
    <mergeCell ref="A21:D21"/>
    <mergeCell ref="A54:D54"/>
    <mergeCell ref="A29:D29"/>
    <mergeCell ref="A43:D43"/>
    <mergeCell ref="A51:D51"/>
    <mergeCell ref="A32:D32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cost-to-raise.xlsx&amp;C&amp;"Roboto,Regular"&amp;8 Data retrieved 2pm, Tue 6 Oct 2026&amp;R&amp;"Roboto,Regular"&amp;8 Page &amp;P of &amp;N</oddFooter>
    <evenHeader/>
    <evenFooter/>
    <firstHeader/>
    <firstFooter/>
  </headerFooter>
  <rowBreaks count="2" manualBreakCount="2">
    <brk id="27" min="0" max="16383" man="1"/>
    <brk id="49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8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February 2026 · Data status: Jan 2026 locked · Feb 2026 locked · Oct 2026 incomplete (data retrieved 2pm, Tue 6 Oct 2026)</t>
        </is>
      </c>
    </row>
    <row r="4"/>
    <row r="5">
      <c r="A5" s="4" t="inlineStr">
        <is>
          <t>Cost to raise a dollar, all fundraising, February and January</t>
        </is>
      </c>
    </row>
    <row r="6">
      <c r="A6" s="12" t="inlineStr">
        <is>
          <t>Cost of raising it ÷ money raised, in cents</t>
        </is>
      </c>
    </row>
    <row r="7">
      <c r="A7" s="5" t="inlineStr"/>
      <c r="B7" s="6" t="inlineStr">
        <is>
          <t>Feb 26</t>
        </is>
      </c>
      <c r="C7" s="6" t="inlineStr">
        <is>
          <t>Jan 26</t>
        </is>
      </c>
    </row>
    <row r="8">
      <c r="A8" t="inlineStr">
        <is>
          <t>Cost of raising it</t>
        </is>
      </c>
      <c r="B8" s="13" t="n">
        <v>9300</v>
      </c>
      <c r="C8" s="13" t="n">
        <v>9300</v>
      </c>
    </row>
    <row r="9">
      <c r="A9" t="inlineStr">
        <is>
          <t>Money raised</t>
        </is>
      </c>
      <c r="B9" s="13" t="n">
        <v>72159</v>
      </c>
      <c r="C9" s="13" t="n">
        <v>72885</v>
      </c>
    </row>
    <row r="10">
      <c r="A10" s="14" t="inlineStr">
        <is>
          <t>Cents per dollar</t>
        </is>
      </c>
      <c r="B10" s="15">
        <f>B8/B9*100</f>
        <v/>
      </c>
      <c r="C10" s="15">
        <f>C8/C9*100</f>
        <v/>
      </c>
    </row>
    <row r="11"/>
    <row r="12"/>
    <row r="13">
      <c r="A13" s="4" t="inlineStr">
        <is>
          <t>Cost to raise a dollar, all fundraising, year to date</t>
        </is>
      </c>
    </row>
    <row r="14">
      <c r="A14" s="12" t="inlineStr">
        <is>
          <t>Cost ÷ money raised, in cents</t>
        </is>
      </c>
    </row>
    <row r="15">
      <c r="A15" s="5" t="inlineStr"/>
      <c r="B15" s="6" t="inlineStr">
        <is>
          <t>Year to date</t>
        </is>
      </c>
    </row>
    <row r="16">
      <c r="A16" t="inlineStr">
        <is>
          <t>Cost, year to date</t>
        </is>
      </c>
      <c r="B16" s="13" t="n">
        <v>95300</v>
      </c>
    </row>
    <row r="17">
      <c r="A17" t="inlineStr">
        <is>
          <t>Raised, year to date</t>
        </is>
      </c>
      <c r="B17" s="13" t="n">
        <v>685530</v>
      </c>
    </row>
    <row r="18">
      <c r="A18" s="14" t="inlineStr">
        <is>
          <t>Cents, year to date</t>
        </is>
      </c>
      <c r="B18" s="15">
        <f>B16/B17*100</f>
        <v/>
      </c>
    </row>
    <row r="19">
      <c r="A19" s="2" t="inlineStr">
        <is>
          <t>Same period last year: Not available: the data starts October 2024.</t>
        </is>
      </c>
    </row>
    <row r="20"/>
    <row r="21"/>
    <row r="22">
      <c r="A22" s="4" t="inlineStr">
        <is>
          <t>Cost to raise a dollar, by source, February 2026</t>
        </is>
      </c>
    </row>
    <row r="23">
      <c r="A23" s="12" t="inlineStr">
        <is>
          <t>Fundraising cost ÷ money raised, for each source, in cents</t>
        </is>
      </c>
    </row>
    <row r="24">
      <c r="A24" s="5" t="inlineStr"/>
      <c r="B24" s="6" t="inlineStr">
        <is>
          <t>Feb 2026</t>
        </is>
      </c>
    </row>
    <row r="25">
      <c r="A25" t="inlineStr">
        <is>
          <t>Grants: cost (grant writing and reporting)</t>
        </is>
      </c>
      <c r="B25" s="13" t="n">
        <v>7100</v>
      </c>
    </row>
    <row r="26">
      <c r="A26" t="inlineStr">
        <is>
          <t>Grants: raised</t>
        </is>
      </c>
      <c r="B26" s="13" t="n">
        <v>55759</v>
      </c>
    </row>
    <row r="27">
      <c r="A27" t="inlineStr">
        <is>
          <t>Donations: cost (donor campaigns)</t>
        </is>
      </c>
      <c r="B27" s="13" t="n">
        <v>2200</v>
      </c>
    </row>
    <row r="28">
      <c r="A28" t="inlineStr">
        <is>
          <t>Donations: raised</t>
        </is>
      </c>
      <c r="B28" s="13" t="n">
        <v>16400</v>
      </c>
    </row>
    <row r="29">
      <c r="A29" t="inlineStr">
        <is>
          <t>Grants: cost per dollar raised</t>
        </is>
      </c>
      <c r="B29" s="16">
        <f>B25/B26*100</f>
        <v/>
      </c>
    </row>
    <row r="30">
      <c r="A30" s="14" t="inlineStr">
        <is>
          <t>Donations: cost per dollar raised</t>
        </is>
      </c>
      <c r="B30" s="15">
        <f>B27/B28*100</f>
        <v/>
      </c>
    </row>
    <row r="31">
      <c r="A31" s="2" t="inlineStr">
        <is>
          <t xml:space="preserve">Nothing raised from fundraising events in February. </t>
        </is>
      </c>
    </row>
    <row r="32"/>
    <row r="33"/>
    <row r="34">
      <c r="A34" s="4" t="inlineStr">
        <is>
          <t>Cost to raise a dollar, grants, February and January</t>
        </is>
      </c>
    </row>
    <row r="35">
      <c r="A35" s="12" t="inlineStr">
        <is>
          <t>Cost of raising it ÷ money raised, in cents</t>
        </is>
      </c>
    </row>
    <row r="36">
      <c r="A36" s="5" t="inlineStr"/>
      <c r="B36" s="6" t="inlineStr">
        <is>
          <t>Feb 26</t>
        </is>
      </c>
      <c r="C36" s="6" t="inlineStr">
        <is>
          <t>Jan 26</t>
        </is>
      </c>
    </row>
    <row r="37">
      <c r="A37" t="inlineStr">
        <is>
          <t>Cost of raising it</t>
        </is>
      </c>
      <c r="B37" s="13" t="n">
        <v>7100</v>
      </c>
      <c r="C37" s="13" t="n">
        <v>7100</v>
      </c>
    </row>
    <row r="38">
      <c r="A38" t="inlineStr">
        <is>
          <t>Money raised</t>
        </is>
      </c>
      <c r="B38" s="13" t="n">
        <v>55759</v>
      </c>
      <c r="C38" s="13" t="n">
        <v>59785</v>
      </c>
    </row>
    <row r="39">
      <c r="A39" s="14" t="inlineStr">
        <is>
          <t>Cents per dollar</t>
        </is>
      </c>
      <c r="B39" s="15">
        <f>B37/B38*100</f>
        <v/>
      </c>
      <c r="C39" s="15">
        <f>C37/C38*100</f>
        <v/>
      </c>
    </row>
    <row r="40"/>
    <row r="41"/>
    <row r="42">
      <c r="A42" s="4" t="inlineStr">
        <is>
          <t>Cost to raise a dollar, grants, year to date</t>
        </is>
      </c>
    </row>
    <row r="43">
      <c r="A43" s="12" t="inlineStr">
        <is>
          <t>Cost ÷ money raised, in cents</t>
        </is>
      </c>
    </row>
    <row r="44">
      <c r="A44" s="5" t="inlineStr"/>
      <c r="B44" s="6" t="inlineStr">
        <is>
          <t>Year to date</t>
        </is>
      </c>
    </row>
    <row r="45">
      <c r="A45" t="inlineStr">
        <is>
          <t>Cost, year to date</t>
        </is>
      </c>
      <c r="B45" s="13" t="n">
        <v>56800</v>
      </c>
    </row>
    <row r="46">
      <c r="A46" t="inlineStr">
        <is>
          <t>Raised, year to date</t>
        </is>
      </c>
      <c r="B46" s="13" t="n">
        <v>506430</v>
      </c>
    </row>
    <row r="47">
      <c r="A47" s="14" t="inlineStr">
        <is>
          <t>Cents, year to date</t>
        </is>
      </c>
      <c r="B47" s="15">
        <f>B45/B46*100</f>
        <v/>
      </c>
    </row>
    <row r="48">
      <c r="A48" s="2" t="inlineStr">
        <is>
          <t>Same period last year: Not available: the data starts October 2024.</t>
        </is>
      </c>
    </row>
    <row r="49"/>
    <row r="50"/>
    <row r="51">
      <c r="A51" s="4" t="inlineStr">
        <is>
          <t>Cost to raise a dollar, donations, February and January</t>
        </is>
      </c>
    </row>
    <row r="52">
      <c r="A52" s="12" t="inlineStr">
        <is>
          <t>Cost of raising it ÷ money raised, in cents</t>
        </is>
      </c>
    </row>
    <row r="53">
      <c r="A53" s="5" t="inlineStr"/>
      <c r="B53" s="6" t="inlineStr">
        <is>
          <t>Feb 26</t>
        </is>
      </c>
      <c r="C53" s="6" t="inlineStr">
        <is>
          <t>Jan 26</t>
        </is>
      </c>
    </row>
    <row r="54">
      <c r="A54" t="inlineStr">
        <is>
          <t>Cost of raising it</t>
        </is>
      </c>
      <c r="B54" s="13" t="n">
        <v>2200</v>
      </c>
      <c r="C54" s="13" t="n">
        <v>2200</v>
      </c>
    </row>
    <row r="55">
      <c r="A55" t="inlineStr">
        <is>
          <t>Money raised</t>
        </is>
      </c>
      <c r="B55" s="13" t="n">
        <v>16400</v>
      </c>
      <c r="C55" s="13" t="n">
        <v>13100</v>
      </c>
    </row>
    <row r="56">
      <c r="A56" s="14" t="inlineStr">
        <is>
          <t>Cents per dollar</t>
        </is>
      </c>
      <c r="B56" s="15">
        <f>B54/B55*100</f>
        <v/>
      </c>
      <c r="C56" s="15">
        <f>C54/C55*100</f>
        <v/>
      </c>
    </row>
    <row r="57"/>
    <row r="58"/>
    <row r="59">
      <c r="A59" s="4" t="inlineStr">
        <is>
          <t>Cost to raise a dollar, donations, year to date</t>
        </is>
      </c>
    </row>
    <row r="60">
      <c r="A60" s="12" t="inlineStr">
        <is>
          <t>Cost ÷ money raised, in cents</t>
        </is>
      </c>
    </row>
    <row r="61">
      <c r="A61" s="5" t="inlineStr"/>
      <c r="B61" s="6" t="inlineStr">
        <is>
          <t>Year to date</t>
        </is>
      </c>
    </row>
    <row r="62">
      <c r="A62" t="inlineStr">
        <is>
          <t>Cost, year to date</t>
        </is>
      </c>
      <c r="B62" s="13" t="n">
        <v>20700</v>
      </c>
    </row>
    <row r="63">
      <c r="A63" t="inlineStr">
        <is>
          <t>Raised, year to date</t>
        </is>
      </c>
      <c r="B63" s="13" t="n">
        <v>136100</v>
      </c>
    </row>
    <row r="64">
      <c r="A64" s="14" t="inlineStr">
        <is>
          <t>Cents, year to date</t>
        </is>
      </c>
      <c r="B64" s="15">
        <f>B62/B63*100</f>
        <v/>
      </c>
    </row>
    <row r="65">
      <c r="A65" s="2" t="inlineStr">
        <is>
          <t>Same period last year: Not available: the data starts October 2024.</t>
        </is>
      </c>
    </row>
    <row r="66"/>
    <row r="67"/>
    <row r="68">
      <c r="A68" s="4" t="inlineStr">
        <is>
          <t>Cost to raise a dollar, fundraising events, February and January</t>
        </is>
      </c>
    </row>
    <row r="69">
      <c r="A69" s="12" t="inlineStr">
        <is>
          <t>Cost of raising it ÷ money raised, in cents</t>
        </is>
      </c>
    </row>
    <row r="70">
      <c r="A70" s="5" t="inlineStr"/>
      <c r="B70" s="6" t="inlineStr">
        <is>
          <t>Feb 26</t>
        </is>
      </c>
      <c r="C70" s="6" t="inlineStr">
        <is>
          <t>Jan 26</t>
        </is>
      </c>
    </row>
    <row r="71">
      <c r="A71" t="inlineStr">
        <is>
          <t>Cost of raising it</t>
        </is>
      </c>
      <c r="B71" s="13" t="n">
        <v>0</v>
      </c>
      <c r="C71" s="13" t="n">
        <v>0</v>
      </c>
    </row>
    <row r="72">
      <c r="A72" s="14" t="inlineStr">
        <is>
          <t>Money raised</t>
        </is>
      </c>
      <c r="B72" s="17" t="n">
        <v>0</v>
      </c>
      <c r="C72" s="17" t="n">
        <v>0</v>
      </c>
    </row>
    <row r="73">
      <c r="A73" s="2" t="inlineStr">
        <is>
          <t>Nothing raised in one of the months, so there's no cost per dollar for it.</t>
        </is>
      </c>
    </row>
    <row r="74"/>
    <row r="75"/>
    <row r="76">
      <c r="A76" s="4" t="inlineStr">
        <is>
          <t>Cost to raise a dollar, fundraising events, year to date</t>
        </is>
      </c>
    </row>
    <row r="77">
      <c r="A77" s="12" t="inlineStr">
        <is>
          <t>Cost ÷ money raised, in cents</t>
        </is>
      </c>
    </row>
    <row r="78">
      <c r="A78" s="5" t="inlineStr"/>
      <c r="B78" s="6" t="inlineStr">
        <is>
          <t>Year to date</t>
        </is>
      </c>
    </row>
    <row r="79">
      <c r="A79" t="inlineStr">
        <is>
          <t>Cost, year to date</t>
        </is>
      </c>
      <c r="B79" s="13" t="n">
        <v>17800</v>
      </c>
    </row>
    <row r="80">
      <c r="A80" t="inlineStr">
        <is>
          <t>Raised, year to date</t>
        </is>
      </c>
      <c r="B80" s="13" t="n">
        <v>43000</v>
      </c>
    </row>
    <row r="81">
      <c r="A81" s="14" t="inlineStr">
        <is>
          <t>Cents, year to date</t>
        </is>
      </c>
      <c r="B81" s="15">
        <f>B79/B80*100</f>
        <v/>
      </c>
    </row>
    <row r="82">
      <c r="A82" s="2" t="inlineStr">
        <is>
          <t>Same period last year: Not available: the data starts October 2024.</t>
        </is>
      </c>
    </row>
    <row r="83"/>
    <row r="84"/>
    <row r="85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cost-to-raise.xlsx&amp;C&amp;"Roboto,Regular"&amp;8 Data retrieved 2pm, Tue 6 Oct 2026&amp;R&amp;"Roboto,Regular"&amp;8 Page &amp;P of &amp;N</oddFooter>
    <evenHeader/>
    <evenFooter/>
    <firstHeader/>
    <firstFooter/>
  </headerFooter>
  <rowBreaks count="3" manualBreakCount="3">
    <brk id="21" min="0" max="16383" man="1"/>
    <brk id="50" min="0" max="16383" man="1"/>
    <brk id="75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2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February 2026 · Data status: Jan 2026 locked · Feb 2026 locked · Oct 2026 incomplete (data retrieved 2pm, Tue 6 Oct 2026)</t>
        </is>
      </c>
    </row>
    <row r="4"/>
    <row r="5">
      <c r="A5" s="5" t="inlineStr">
        <is>
          <t>Month</t>
        </is>
      </c>
      <c r="B5" s="6" t="inlineStr">
        <is>
          <t>Status</t>
        </is>
      </c>
      <c r="C5" s="6" t="inlineStr">
        <is>
          <t>Grant writing</t>
        </is>
      </c>
      <c r="D5" s="6" t="inlineStr">
        <is>
          <t>Donor campaigns</t>
        </is>
      </c>
      <c r="E5" s="6" t="inlineStr">
        <is>
          <t>Event costs</t>
        </is>
      </c>
      <c r="F5" s="6" t="inlineStr">
        <is>
          <t>Grant income</t>
        </is>
      </c>
      <c r="G5" s="6" t="inlineStr">
        <is>
          <t>Donations</t>
        </is>
      </c>
      <c r="H5" s="6" t="inlineStr">
        <is>
          <t>Events</t>
        </is>
      </c>
      <c r="I5" s="6" t="inlineStr">
        <is>
          <t>Cents per $1</t>
        </is>
      </c>
    </row>
    <row r="6">
      <c r="A6" s="18" t="inlineStr">
        <is>
          <t>Oct 24</t>
        </is>
      </c>
      <c r="B6" s="18" t="inlineStr">
        <is>
          <t>Locked</t>
        </is>
      </c>
      <c r="C6" s="13" t="n">
        <v>6500</v>
      </c>
      <c r="D6" s="13" t="n">
        <v>2200</v>
      </c>
      <c r="E6" s="13" t="n">
        <v>0</v>
      </c>
      <c r="F6" s="13" t="n">
        <v>26600</v>
      </c>
      <c r="G6" s="13" t="n">
        <v>15300</v>
      </c>
      <c r="H6" s="13" t="n">
        <v>0</v>
      </c>
      <c r="I6" s="16">
        <f>IF(SUM(F6:H6)=0,"",SUM(C6:E6)/SUM(F6:H6)*100)</f>
        <v/>
      </c>
    </row>
    <row r="7">
      <c r="A7" s="18" t="inlineStr">
        <is>
          <t>Nov 24</t>
        </is>
      </c>
      <c r="B7" s="18" t="inlineStr">
        <is>
          <t>Locked</t>
        </is>
      </c>
      <c r="C7" s="13" t="n">
        <v>6500</v>
      </c>
      <c r="D7" s="13" t="n">
        <v>3100</v>
      </c>
      <c r="E7" s="13" t="n">
        <v>0</v>
      </c>
      <c r="F7" s="13" t="n">
        <v>31800</v>
      </c>
      <c r="G7" s="13" t="n">
        <v>17700</v>
      </c>
      <c r="H7" s="13" t="n">
        <v>0</v>
      </c>
      <c r="I7" s="16">
        <f>IF(SUM(F7:H7)=0,"",SUM(C7:E7)/SUM(F7:H7)*100)</f>
        <v/>
      </c>
    </row>
    <row r="8">
      <c r="A8" s="18" t="inlineStr">
        <is>
          <t>Dec 24</t>
        </is>
      </c>
      <c r="B8" s="18" t="inlineStr">
        <is>
          <t>Locked</t>
        </is>
      </c>
      <c r="C8" s="13" t="n">
        <v>6500</v>
      </c>
      <c r="D8" s="13" t="n">
        <v>4400</v>
      </c>
      <c r="E8" s="13" t="n">
        <v>2600</v>
      </c>
      <c r="F8" s="13" t="n">
        <v>29700</v>
      </c>
      <c r="G8" s="13" t="n">
        <v>24700</v>
      </c>
      <c r="H8" s="13" t="n">
        <v>6200</v>
      </c>
      <c r="I8" s="16">
        <f>IF(SUM(F8:H8)=0,"",SUM(C8:E8)/SUM(F8:H8)*100)</f>
        <v/>
      </c>
    </row>
    <row r="9">
      <c r="A9" s="18" t="inlineStr">
        <is>
          <t>Jan 25</t>
        </is>
      </c>
      <c r="B9" s="18" t="inlineStr">
        <is>
          <t>Locked</t>
        </is>
      </c>
      <c r="C9" s="13" t="n">
        <v>6500</v>
      </c>
      <c r="D9" s="13" t="n">
        <v>2200</v>
      </c>
      <c r="E9" s="13" t="n">
        <v>0</v>
      </c>
      <c r="F9" s="13" t="n">
        <v>62700</v>
      </c>
      <c r="G9" s="13" t="n">
        <v>12400</v>
      </c>
      <c r="H9" s="13" t="n">
        <v>0</v>
      </c>
      <c r="I9" s="16">
        <f>IF(SUM(F9:H9)=0,"",SUM(C9:E9)/SUM(F9:H9)*100)</f>
        <v/>
      </c>
    </row>
    <row r="10">
      <c r="A10" s="18" t="inlineStr">
        <is>
          <t>Feb 25</t>
        </is>
      </c>
      <c r="B10" s="18" t="inlineStr">
        <is>
          <t>Locked</t>
        </is>
      </c>
      <c r="C10" s="13" t="n">
        <v>6500</v>
      </c>
      <c r="D10" s="13" t="n">
        <v>2200</v>
      </c>
      <c r="E10" s="13" t="n">
        <v>0</v>
      </c>
      <c r="F10" s="13" t="n">
        <v>61700</v>
      </c>
      <c r="G10" s="13" t="n">
        <v>15600</v>
      </c>
      <c r="H10" s="13" t="n">
        <v>0</v>
      </c>
      <c r="I10" s="16">
        <f>IF(SUM(F10:H10)=0,"",SUM(C10:E10)/SUM(F10:H10)*100)</f>
        <v/>
      </c>
    </row>
    <row r="11">
      <c r="A11" s="18" t="inlineStr">
        <is>
          <t>Mar 25</t>
        </is>
      </c>
      <c r="B11" s="18" t="inlineStr">
        <is>
          <t>Locked</t>
        </is>
      </c>
      <c r="C11" s="13" t="n">
        <v>6500</v>
      </c>
      <c r="D11" s="13" t="n">
        <v>2200</v>
      </c>
      <c r="E11" s="13" t="n">
        <v>0</v>
      </c>
      <c r="F11" s="13" t="n">
        <v>54500</v>
      </c>
      <c r="G11" s="13" t="n">
        <v>15700</v>
      </c>
      <c r="H11" s="13" t="n">
        <v>0</v>
      </c>
      <c r="I11" s="16">
        <f>IF(SUM(F11:H11)=0,"",SUM(C11:E11)/SUM(F11:H11)*100)</f>
        <v/>
      </c>
    </row>
    <row r="12">
      <c r="A12" s="18" t="inlineStr">
        <is>
          <t>Apr 25</t>
        </is>
      </c>
      <c r="B12" s="18" t="inlineStr">
        <is>
          <t>Locked</t>
        </is>
      </c>
      <c r="C12" s="13" t="n">
        <v>6500</v>
      </c>
      <c r="D12" s="13" t="n">
        <v>2200</v>
      </c>
      <c r="E12" s="13" t="n">
        <v>0</v>
      </c>
      <c r="F12" s="13" t="n">
        <v>61500</v>
      </c>
      <c r="G12" s="13" t="n">
        <v>15700</v>
      </c>
      <c r="H12" s="13" t="n">
        <v>0</v>
      </c>
      <c r="I12" s="16">
        <f>IF(SUM(F12:H12)=0,"",SUM(C12:E12)/SUM(F12:H12)*100)</f>
        <v/>
      </c>
    </row>
    <row r="13">
      <c r="A13" s="18" t="inlineStr">
        <is>
          <t>May 25</t>
        </is>
      </c>
      <c r="B13" s="18" t="inlineStr">
        <is>
          <t>Locked</t>
        </is>
      </c>
      <c r="C13" s="13" t="n">
        <v>6500</v>
      </c>
      <c r="D13" s="13" t="n">
        <v>2200</v>
      </c>
      <c r="E13" s="13" t="n">
        <v>0</v>
      </c>
      <c r="F13" s="13" t="n">
        <v>61700</v>
      </c>
      <c r="G13" s="13" t="n">
        <v>15800</v>
      </c>
      <c r="H13" s="13" t="n">
        <v>0</v>
      </c>
      <c r="I13" s="16">
        <f>IF(SUM(F13:H13)=0,"",SUM(C13:E13)/SUM(F13:H13)*100)</f>
        <v/>
      </c>
    </row>
    <row r="14">
      <c r="A14" s="18" t="inlineStr">
        <is>
          <t>Jun 25</t>
        </is>
      </c>
      <c r="B14" s="18" t="inlineStr">
        <is>
          <t>Locked</t>
        </is>
      </c>
      <c r="C14" s="13" t="n">
        <v>6500</v>
      </c>
      <c r="D14" s="13" t="n">
        <v>5500</v>
      </c>
      <c r="E14" s="13" t="n">
        <v>0</v>
      </c>
      <c r="F14" s="13" t="n">
        <v>52200</v>
      </c>
      <c r="G14" s="13" t="n">
        <v>38100</v>
      </c>
      <c r="H14" s="13" t="n">
        <v>0</v>
      </c>
      <c r="I14" s="16">
        <f>IF(SUM(F14:H14)=0,"",SUM(C14:E14)/SUM(F14:H14)*100)</f>
        <v/>
      </c>
    </row>
    <row r="15">
      <c r="A15" s="18" t="inlineStr">
        <is>
          <t>Jul 25</t>
        </is>
      </c>
      <c r="B15" s="18" t="inlineStr">
        <is>
          <t>Locked</t>
        </is>
      </c>
      <c r="C15" s="13" t="n">
        <v>7100</v>
      </c>
      <c r="D15" s="13" t="n">
        <v>2200</v>
      </c>
      <c r="E15" s="13" t="n">
        <v>0</v>
      </c>
      <c r="F15" s="13" t="n">
        <v>59063</v>
      </c>
      <c r="G15" s="13" t="n">
        <v>13500</v>
      </c>
      <c r="H15" s="13" t="n">
        <v>0</v>
      </c>
      <c r="I15" s="16">
        <f>IF(SUM(F15:H15)=0,"",SUM(C15:E15)/SUM(F15:H15)*100)</f>
        <v/>
      </c>
    </row>
    <row r="16">
      <c r="A16" s="18" t="inlineStr">
        <is>
          <t>Aug 25</t>
        </is>
      </c>
      <c r="B16" s="18" t="inlineStr">
        <is>
          <t>Locked</t>
        </is>
      </c>
      <c r="C16" s="13" t="n">
        <v>7100</v>
      </c>
      <c r="D16" s="13" t="n">
        <v>2200</v>
      </c>
      <c r="E16" s="13" t="n">
        <v>0</v>
      </c>
      <c r="F16" s="13" t="n">
        <v>61544</v>
      </c>
      <c r="G16" s="13" t="n">
        <v>16000</v>
      </c>
      <c r="H16" s="13" t="n">
        <v>0</v>
      </c>
      <c r="I16" s="16">
        <f>IF(SUM(F16:H16)=0,"",SUM(C16:E16)/SUM(F16:H16)*100)</f>
        <v/>
      </c>
    </row>
    <row r="17">
      <c r="A17" s="18" t="inlineStr">
        <is>
          <t>Sep 25</t>
        </is>
      </c>
      <c r="B17" s="18" t="inlineStr">
        <is>
          <t>Locked</t>
        </is>
      </c>
      <c r="C17" s="13" t="n">
        <v>7100</v>
      </c>
      <c r="D17" s="13" t="n">
        <v>2200</v>
      </c>
      <c r="E17" s="13" t="n">
        <v>15200</v>
      </c>
      <c r="F17" s="13" t="n">
        <v>62137</v>
      </c>
      <c r="G17" s="13" t="n">
        <v>16100</v>
      </c>
      <c r="H17" s="13" t="n">
        <v>36800</v>
      </c>
      <c r="I17" s="16">
        <f>IF(SUM(F17:H17)=0,"",SUM(C17:E17)/SUM(F17:H17)*100)</f>
        <v/>
      </c>
    </row>
    <row r="18">
      <c r="A18" s="18" t="inlineStr">
        <is>
          <t>Oct 25</t>
        </is>
      </c>
      <c r="B18" s="18" t="inlineStr">
        <is>
          <t>Locked</t>
        </is>
      </c>
      <c r="C18" s="13" t="n">
        <v>7100</v>
      </c>
      <c r="D18" s="13" t="n">
        <v>2200</v>
      </c>
      <c r="E18" s="13" t="n">
        <v>0</v>
      </c>
      <c r="F18" s="13" t="n">
        <v>69185</v>
      </c>
      <c r="G18" s="13" t="n">
        <v>16200</v>
      </c>
      <c r="H18" s="13" t="n">
        <v>0</v>
      </c>
      <c r="I18" s="16">
        <f>IF(SUM(F18:H18)=0,"",SUM(C18:E18)/SUM(F18:H18)*100)</f>
        <v/>
      </c>
    </row>
    <row r="19">
      <c r="A19" s="18" t="inlineStr">
        <is>
          <t>Nov 25</t>
        </is>
      </c>
      <c r="B19" s="18" t="inlineStr">
        <is>
          <t>Locked</t>
        </is>
      </c>
      <c r="C19" s="13" t="n">
        <v>7100</v>
      </c>
      <c r="D19" s="13" t="n">
        <v>3100</v>
      </c>
      <c r="E19" s="13" t="n">
        <v>0</v>
      </c>
      <c r="F19" s="13" t="n">
        <v>70164</v>
      </c>
      <c r="G19" s="13" t="n">
        <v>18700</v>
      </c>
      <c r="H19" s="13" t="n">
        <v>0</v>
      </c>
      <c r="I19" s="16">
        <f>IF(SUM(F19:H19)=0,"",SUM(C19:E19)/SUM(F19:H19)*100)</f>
        <v/>
      </c>
    </row>
    <row r="20">
      <c r="A20" s="18" t="inlineStr">
        <is>
          <t>Dec 25</t>
        </is>
      </c>
      <c r="B20" s="18" t="inlineStr">
        <is>
          <t>Locked</t>
        </is>
      </c>
      <c r="C20" s="13" t="n">
        <v>7100</v>
      </c>
      <c r="D20" s="13" t="n">
        <v>4400</v>
      </c>
      <c r="E20" s="13" t="n">
        <v>2600</v>
      </c>
      <c r="F20" s="13" t="n">
        <v>68793</v>
      </c>
      <c r="G20" s="13" t="n">
        <v>26100</v>
      </c>
      <c r="H20" s="13" t="n">
        <v>6200</v>
      </c>
      <c r="I20" s="16">
        <f>IF(SUM(F20:H20)=0,"",SUM(C20:E20)/SUM(F20:H20)*100)</f>
        <v/>
      </c>
    </row>
    <row r="21">
      <c r="A21" s="18" t="inlineStr">
        <is>
          <t>Jan 26</t>
        </is>
      </c>
      <c r="B21" s="18" t="inlineStr">
        <is>
          <t>Locked</t>
        </is>
      </c>
      <c r="C21" s="13" t="n">
        <v>7100</v>
      </c>
      <c r="D21" s="13" t="n">
        <v>2200</v>
      </c>
      <c r="E21" s="13" t="n">
        <v>0</v>
      </c>
      <c r="F21" s="13" t="n">
        <v>59785</v>
      </c>
      <c r="G21" s="13" t="n">
        <v>13100</v>
      </c>
      <c r="H21" s="13" t="n">
        <v>0</v>
      </c>
      <c r="I21" s="16">
        <f>IF(SUM(F21:H21)=0,"",SUM(C21:E21)/SUM(F21:H21)*100)</f>
        <v/>
      </c>
    </row>
    <row r="22">
      <c r="A22" s="18" t="inlineStr">
        <is>
          <t>Feb 26</t>
        </is>
      </c>
      <c r="B22" s="18" t="inlineStr">
        <is>
          <t>Locked</t>
        </is>
      </c>
      <c r="C22" s="13" t="n">
        <v>7100</v>
      </c>
      <c r="D22" s="13" t="n">
        <v>2200</v>
      </c>
      <c r="E22" s="13" t="n">
        <v>0</v>
      </c>
      <c r="F22" s="13" t="n">
        <v>55759</v>
      </c>
      <c r="G22" s="13" t="n">
        <v>16400</v>
      </c>
      <c r="H22" s="13" t="n">
        <v>0</v>
      </c>
      <c r="I22" s="16">
        <f>IF(SUM(F22:H22)=0,"",SUM(C22:E22)/SUM(F22:H22)*100)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cost-to-raise.xlsx&amp;C&amp;"Roboto,Regular"&amp;8 Data retrieved 2pm, Tue 6 Oct 2026&amp;R&amp;"Roboto,Regular"&amp;8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2026-10-07T07:37:17Z</dcterms:created>
  <dcterms:modified xmlns:dcterms="http://purl.org/dc/terms/" xmlns:xsi="http://www.w3.org/2001/XMLSchema-instance" xsi:type="dcterms:W3CDTF">2026-10-07T07:37:17Z</dcterms:modified>
</cp:coreProperties>
</file>