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October">'Report'!$B$8</definedName>
    <definedName name="Median_wait_October">'Report'!$B$9</definedName>
    <definedName name="Enquiries_October">'Report'!$B$10</definedName>
    <definedName name="_xlnm.Print_Area" localSheetId="0">'Report'!$A$1:$D$32</definedName>
    <definedName name="_xlnm.Print_Area" localSheetId="1">'Workings'!$A$1:$C$53</definedName>
    <definedName name="_xlnm.Print_Titles" localSheetId="3">'Data'!$5:$5</definedName>
    <definedName name="_xlnm.Print_Area" localSheetId="3">'Data'!$A$1:$G$18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164" fontId="0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October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'Report'!$A$14:$A$16</f>
            </numRef>
          </cat>
          <val>
            <numRef>
              <f>'Report'!$B$14:$B$16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18" headerRowCount="1">
  <autoFilter ref="A5:G18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8 Oct 2026, 6:28pm</t>
        </is>
      </c>
    </row>
    <row r="4"/>
    <row r="5" ht="32" customHeight="1">
      <c r="A5" s="3" t="inlineStr">
        <is>
          <t>Every customer enquiry (phone, web form, email) and how long until someone first called back, in working minutes. Every call-out job has the enquiry that booked it.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Called back within 2 working hours, October</t>
        </is>
      </c>
      <c r="B8" s="6">
        <f>Workings!B10</f>
        <v/>
      </c>
      <c r="C8" s="7" t="inlineStr">
        <is>
          <t>target 80.0% · September 69.7%</t>
        </is>
      </c>
    </row>
    <row r="9">
      <c r="A9" t="inlineStr">
        <is>
          <t>Median wait, October</t>
        </is>
      </c>
      <c r="B9" s="8">
        <f>Workings!B17</f>
        <v/>
      </c>
      <c r="C9" s="7" t="inlineStr">
        <is>
          <t>September 82 min (working minutes)</t>
        </is>
      </c>
    </row>
    <row r="10">
      <c r="A10" t="inlineStr">
        <is>
          <t>Enquiries, October</t>
        </is>
      </c>
      <c r="B10" s="8">
        <f>Workings!B28</f>
        <v/>
      </c>
      <c r="C10" s="7" t="inlineStr">
        <is>
          <t>September 109</t>
        </is>
      </c>
    </row>
    <row r="11"/>
    <row r="12">
      <c r="A12" s="9" t="inlineStr">
        <is>
          <t>Called back within 2 working hours, by channel, October 2025</t>
        </is>
      </c>
    </row>
    <row r="13">
      <c r="A13" s="4" t="inlineStr"/>
      <c r="B13" s="5" t="inlineStr">
        <is>
          <t>Called back within 2 working hours</t>
        </is>
      </c>
    </row>
    <row r="14">
      <c r="A14" t="inlineStr">
        <is>
          <t>Phone</t>
        </is>
      </c>
      <c r="B14" s="6">
        <f>Workings!B37</f>
        <v/>
      </c>
    </row>
    <row r="15">
      <c r="A15" t="inlineStr">
        <is>
          <t>Web form</t>
        </is>
      </c>
      <c r="B15" s="6">
        <f>Workings!B45</f>
        <v/>
      </c>
    </row>
    <row r="16">
      <c r="A16" t="inlineStr">
        <is>
          <t>Email</t>
        </is>
      </c>
      <c r="B16" s="6">
        <f>Workings!B53</f>
        <v/>
      </c>
    </row>
    <row r="17"/>
    <row r="18"/>
    <row r="19"/>
    <row r="20"/>
    <row r="21"/>
    <row r="22"/>
    <row r="23"/>
    <row r="24"/>
    <row r="25"/>
    <row r="26">
      <c r="A26" s="10" t="inlineStr">
        <is>
          <t>Callbacks by month: every month is on the Data sheet.</t>
        </is>
      </c>
    </row>
    <row r="27"/>
    <row r="28">
      <c r="A28" s="11" t="inlineStr">
        <is>
          <t>What it shows</t>
        </is>
      </c>
    </row>
    <row r="29" ht="30" customHeight="1">
      <c r="A29" s="3" t="inlineStr">
        <is>
          <t>67.0% of the 100 enquiries called back in October heard back within 2 working hours (target 80.0%), down from 69.7% in September. The median wait was 75 working minutes.</t>
        </is>
      </c>
    </row>
    <row r="30"/>
    <row r="31">
      <c r="A31" s="11" t="inlineStr">
        <is>
          <t>What you'd do about it</t>
        </is>
      </c>
    </row>
    <row r="32" ht="30" customHeight="1">
      <c r="A32" s="3" t="inlineStr">
        <is>
          <t>13 more enquiries would have needed a faster callback to reach the 80.0% target. Email enquiries are the slowest: 54.5% within 2 working hours.</t>
        </is>
      </c>
    </row>
    <row r="33"/>
    <row r="34"/>
  </sheetData>
  <mergeCells count="3">
    <mergeCell ref="A5:D5"/>
    <mergeCell ref="A32:D32"/>
    <mergeCell ref="A29:D29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rowBreaks count="1" manualBreakCount="1">
    <brk id="2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8 Oct 2026, 6:28pm</t>
        </is>
      </c>
    </row>
    <row r="4"/>
    <row r="5">
      <c r="A5" s="12" t="inlineStr">
        <is>
          <t>Callbacks within 2 working hours, October and September</t>
        </is>
      </c>
    </row>
    <row r="6">
      <c r="A6" s="10" t="inlineStr">
        <is>
          <t>Within 2 working hours ÷ called back</t>
        </is>
      </c>
    </row>
    <row r="7">
      <c r="A7" s="4" t="inlineStr"/>
      <c r="B7" s="5" t="inlineStr">
        <is>
          <t>Oct 25</t>
        </is>
      </c>
      <c r="C7" s="5" t="inlineStr">
        <is>
          <t>Sep 25</t>
        </is>
      </c>
    </row>
    <row r="8">
      <c r="A8" t="inlineStr">
        <is>
          <t>Called back</t>
        </is>
      </c>
      <c r="B8" s="13" t="n">
        <v>100</v>
      </c>
      <c r="C8" s="13" t="n">
        <v>109</v>
      </c>
    </row>
    <row r="9">
      <c r="A9" t="inlineStr">
        <is>
          <t>Within 2 working hours</t>
        </is>
      </c>
      <c r="B9" s="13" t="n">
        <v>67</v>
      </c>
      <c r="C9" s="13" t="n">
        <v>76</v>
      </c>
    </row>
    <row r="10">
      <c r="A10" s="14" t="inlineStr">
        <is>
          <t>Share</t>
        </is>
      </c>
      <c r="B10" s="15">
        <f>B9/B8</f>
        <v/>
      </c>
      <c r="C10" s="15">
        <f>C9/C8</f>
        <v/>
      </c>
    </row>
    <row r="11"/>
    <row r="12"/>
    <row r="13">
      <c r="A13" s="12" t="inlineStr">
        <is>
          <t>Median wait for a callback, October and September</t>
        </is>
      </c>
    </row>
    <row r="14">
      <c r="A14" s="10" t="inlineStr">
        <is>
          <t>The middle wait, in working minutes</t>
        </is>
      </c>
    </row>
    <row r="15">
      <c r="A15" s="4" t="inlineStr"/>
      <c r="B15" s="5" t="inlineStr">
        <is>
          <t>Oct 25</t>
        </is>
      </c>
      <c r="C15" s="5" t="inlineStr">
        <is>
          <t>Sep 25</t>
        </is>
      </c>
    </row>
    <row r="16">
      <c r="A16" t="inlineStr">
        <is>
          <t>Median wait (working minutes)</t>
        </is>
      </c>
      <c r="B16" s="13" t="n">
        <v>75</v>
      </c>
      <c r="C16" s="13" t="n">
        <v>82</v>
      </c>
    </row>
    <row r="17">
      <c r="A17" s="14" t="inlineStr">
        <is>
          <t>Enquiries called back</t>
        </is>
      </c>
      <c r="B17" s="16" t="n">
        <v>100</v>
      </c>
      <c r="C17" s="16" t="n">
        <v>109</v>
      </c>
    </row>
    <row r="18">
      <c r="A18" s="2" t="inlineStr">
        <is>
          <t>Working minutes: 8:30am to 5pm on working days.</t>
        </is>
      </c>
    </row>
    <row r="19"/>
    <row r="20"/>
    <row r="21">
      <c r="A21" s="12" t="inlineStr">
        <is>
          <t>Callbacks, Oct 25</t>
        </is>
      </c>
    </row>
    <row r="22">
      <c r="A22" s="10" t="inlineStr">
        <is>
          <t>Enquiries called back within 2 working hours ÷ enquiries called back</t>
        </is>
      </c>
    </row>
    <row r="23">
      <c r="A23" s="4" t="inlineStr"/>
      <c r="B23" s="5" t="inlineStr">
        <is>
          <t>Oct 25</t>
        </is>
      </c>
    </row>
    <row r="24">
      <c r="A24" t="inlineStr">
        <is>
          <t>Enquiries</t>
        </is>
      </c>
      <c r="B24" s="13" t="n">
        <v>100</v>
      </c>
    </row>
    <row r="25">
      <c r="A25" t="inlineStr">
        <is>
          <t>Called back</t>
        </is>
      </c>
      <c r="B25" s="13" t="n">
        <v>100</v>
      </c>
    </row>
    <row r="26">
      <c r="A26" t="inlineStr">
        <is>
          <t>Called back within 2 working hours</t>
        </is>
      </c>
      <c r="B26" s="13" t="n">
        <v>67</v>
      </c>
    </row>
    <row r="27">
      <c r="A27" t="inlineStr">
        <is>
          <t>Share within 2 working hours</t>
        </is>
      </c>
      <c r="B27" s="17">
        <f>B26/B25</f>
        <v/>
      </c>
    </row>
    <row r="28">
      <c r="A28" s="14" t="inlineStr">
        <is>
          <t>Median wait (working minutes)</t>
        </is>
      </c>
      <c r="B28" s="16" t="n">
        <v>75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2" t="inlineStr">
        <is>
          <t>Phone: callbacks, October 2025</t>
        </is>
      </c>
    </row>
    <row r="33">
      <c r="A33" s="10" t="inlineStr">
        <is>
          <t>Within 2 working hours ÷ called back</t>
        </is>
      </c>
    </row>
    <row r="34">
      <c r="A34" s="4" t="inlineStr"/>
      <c r="B34" s="5" t="inlineStr">
        <is>
          <t>Oct 2025</t>
        </is>
      </c>
    </row>
    <row r="35">
      <c r="A35" t="inlineStr">
        <is>
          <t>Called back</t>
        </is>
      </c>
      <c r="B35" s="13" t="n">
        <v>60</v>
      </c>
    </row>
    <row r="36">
      <c r="A36" t="inlineStr">
        <is>
          <t>Within 2 working hours</t>
        </is>
      </c>
      <c r="B36" s="13" t="n">
        <v>41</v>
      </c>
    </row>
    <row r="37">
      <c r="A37" s="14" t="inlineStr">
        <is>
          <t>Share</t>
        </is>
      </c>
      <c r="B37" s="15">
        <f>B36/B35</f>
        <v/>
      </c>
    </row>
    <row r="38"/>
    <row r="39"/>
    <row r="40">
      <c r="A40" s="12" t="inlineStr">
        <is>
          <t>Web form: callbacks, October 2025</t>
        </is>
      </c>
    </row>
    <row r="41">
      <c r="A41" s="10" t="inlineStr">
        <is>
          <t>Within 2 working hours ÷ called back</t>
        </is>
      </c>
    </row>
    <row r="42">
      <c r="A42" s="4" t="inlineStr"/>
      <c r="B42" s="5" t="inlineStr">
        <is>
          <t>Oct 2025</t>
        </is>
      </c>
    </row>
    <row r="43">
      <c r="A43" t="inlineStr">
        <is>
          <t>Called back</t>
        </is>
      </c>
      <c r="B43" s="13" t="n">
        <v>29</v>
      </c>
    </row>
    <row r="44">
      <c r="A44" t="inlineStr">
        <is>
          <t>Within 2 working hours</t>
        </is>
      </c>
      <c r="B44" s="13" t="n">
        <v>20</v>
      </c>
    </row>
    <row r="45">
      <c r="A45" s="14" t="inlineStr">
        <is>
          <t>Share</t>
        </is>
      </c>
      <c r="B45" s="15">
        <f>B44/B43</f>
        <v/>
      </c>
    </row>
    <row r="46"/>
    <row r="47"/>
    <row r="48">
      <c r="A48" s="12" t="inlineStr">
        <is>
          <t>Email: callbacks, October 2025</t>
        </is>
      </c>
    </row>
    <row r="49">
      <c r="A49" s="10" t="inlineStr">
        <is>
          <t>Within 2 working hours ÷ called back</t>
        </is>
      </c>
    </row>
    <row r="50">
      <c r="A50" s="4" t="inlineStr"/>
      <c r="B50" s="5" t="inlineStr">
        <is>
          <t>Oct 2025</t>
        </is>
      </c>
    </row>
    <row r="51">
      <c r="A51" t="inlineStr">
        <is>
          <t>Called back</t>
        </is>
      </c>
      <c r="B51" s="13" t="n">
        <v>11</v>
      </c>
    </row>
    <row r="52">
      <c r="A52" t="inlineStr">
        <is>
          <t>Within 2 working hours</t>
        </is>
      </c>
      <c r="B52" s="13" t="n">
        <v>6</v>
      </c>
    </row>
    <row r="53">
      <c r="A53" s="14" t="inlineStr">
        <is>
          <t>Share</t>
        </is>
      </c>
      <c r="B53" s="15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October 2025: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8 Oct 2026, 6:28pm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Enquiries</t>
        </is>
      </c>
      <c r="D5" s="5" t="inlineStr">
        <is>
          <t>Called back</t>
        </is>
      </c>
      <c r="E5" s="5" t="inlineStr">
        <is>
          <t>Within 2 working hours</t>
        </is>
      </c>
      <c r="F5" s="5" t="inlineStr">
        <is>
          <t>Share within target</t>
        </is>
      </c>
      <c r="G5" s="5" t="inlineStr">
        <is>
          <t>Median wait (min)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96</v>
      </c>
      <c r="D6" s="13" t="n">
        <v>96</v>
      </c>
      <c r="E6" s="13" t="n">
        <v>83</v>
      </c>
      <c r="F6" s="17">
        <f>IF(D6=0,"",E6/D6)</f>
        <v/>
      </c>
      <c r="G6" s="13" t="n">
        <v>40</v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102</v>
      </c>
      <c r="D7" s="13" t="n">
        <v>102</v>
      </c>
      <c r="E7" s="13" t="n">
        <v>87</v>
      </c>
      <c r="F7" s="17">
        <f>IF(D7=0,"",E7/D7)</f>
        <v/>
      </c>
      <c r="G7" s="13" t="n">
        <v>36</v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121</v>
      </c>
      <c r="D8" s="13" t="n">
        <v>121</v>
      </c>
      <c r="E8" s="13" t="n">
        <v>100</v>
      </c>
      <c r="F8" s="17">
        <f>IF(D8=0,"",E8/D8)</f>
        <v/>
      </c>
      <c r="G8" s="13" t="n">
        <v>38</v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117</v>
      </c>
      <c r="D9" s="13" t="n">
        <v>117</v>
      </c>
      <c r="E9" s="13" t="n">
        <v>93</v>
      </c>
      <c r="F9" s="17">
        <f>IF(D9=0,"",E9/D9)</f>
        <v/>
      </c>
      <c r="G9" s="13" t="n">
        <v>44</v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97</v>
      </c>
      <c r="D10" s="13" t="n">
        <v>97</v>
      </c>
      <c r="E10" s="13" t="n">
        <v>72</v>
      </c>
      <c r="F10" s="17">
        <f>IF(D10=0,"",E10/D10)</f>
        <v/>
      </c>
      <c r="G10" s="13" t="n">
        <v>51</v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96</v>
      </c>
      <c r="D11" s="13" t="n">
        <v>96</v>
      </c>
      <c r="E11" s="13" t="n">
        <v>70</v>
      </c>
      <c r="F11" s="17">
        <f>IF(D11=0,"",E11/D11)</f>
        <v/>
      </c>
      <c r="G11" s="13" t="n">
        <v>66</v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90</v>
      </c>
      <c r="D12" s="13" t="n">
        <v>90</v>
      </c>
      <c r="E12" s="13" t="n">
        <v>64</v>
      </c>
      <c r="F12" s="17">
        <f>IF(D12=0,"",E12/D12)</f>
        <v/>
      </c>
      <c r="G12" s="13" t="n">
        <v>71</v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96</v>
      </c>
      <c r="D13" s="13" t="n">
        <v>96</v>
      </c>
      <c r="E13" s="13" t="n">
        <v>71</v>
      </c>
      <c r="F13" s="17">
        <f>IF(D13=0,"",E13/D13)</f>
        <v/>
      </c>
      <c r="G13" s="13" t="n">
        <v>55</v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94</v>
      </c>
      <c r="D14" s="13" t="n">
        <v>94</v>
      </c>
      <c r="E14" s="13" t="n">
        <v>64</v>
      </c>
      <c r="F14" s="17">
        <f>IF(D14=0,"",E14/D14)</f>
        <v/>
      </c>
      <c r="G14" s="13" t="n">
        <v>72</v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96</v>
      </c>
      <c r="D15" s="13" t="n">
        <v>96</v>
      </c>
      <c r="E15" s="13" t="n">
        <v>64</v>
      </c>
      <c r="F15" s="17">
        <f>IF(D15=0,"",E15/D15)</f>
        <v/>
      </c>
      <c r="G15" s="13" t="n">
        <v>67</v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98</v>
      </c>
      <c r="D16" s="13" t="n">
        <v>98</v>
      </c>
      <c r="E16" s="13" t="n">
        <v>65</v>
      </c>
      <c r="F16" s="17">
        <f>IF(D16=0,"",E16/D16)</f>
        <v/>
      </c>
      <c r="G16" s="13" t="n">
        <v>76</v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109</v>
      </c>
      <c r="D17" s="13" t="n">
        <v>109</v>
      </c>
      <c r="E17" s="13" t="n">
        <v>76</v>
      </c>
      <c r="F17" s="17">
        <f>IF(D17=0,"",E17/D17)</f>
        <v/>
      </c>
      <c r="G17" s="13" t="n">
        <v>82</v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100</v>
      </c>
      <c r="D18" s="13" t="n">
        <v>100</v>
      </c>
      <c r="E18" s="13" t="n">
        <v>67</v>
      </c>
      <c r="F18" s="17">
        <f>IF(D18=0,"",E18/D18)</f>
        <v/>
      </c>
      <c r="G18" s="13" t="n">
        <v>75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2026-10-08T08:29:22Z</dcterms:created>
  <dcterms:modified xmlns:dcterms="http://purl.org/dc/terms/" xmlns:xsi="http://www.w3.org/2001/XMLSchema-instance" xsi:type="dcterms:W3CDTF">2026-10-08T08:29:22Z</dcterms:modified>
</cp:coreProperties>
</file>