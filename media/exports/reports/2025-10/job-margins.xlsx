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2"/>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October · All jobs</t>
        </is>
      </c>
      <c r="B15" s="8">
        <f>Workings!B28</f>
        <v/>
      </c>
      <c r="C15" s="9" t="inlineStr">
        <is>
          <t>September 37.6%</t>
        </is>
      </c>
    </row>
    <row r="16"/>
    <row r="17">
      <c r="A17" s="10" t="inlineStr">
        <is>
          <t>Job gross margin by type of job, October 2025</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October maintenance contracts made a 59.5% job gross margin, installations made a 26.1% job gross margin, call-outs and repairs made a 43.3% job gross margin (technician time at $68 an hour, wages and all on-costs). Jobs need 52.5% just to cover overheads.</t>
        </is>
      </c>
    </row>
    <row r="25"/>
    <row r="26">
      <c r="A26" s="4" t="inlineStr">
        <is>
          <t>What you'd do about it</t>
        </is>
      </c>
    </row>
    <row r="27" ht="30" customHeight="1">
      <c r="A27" s="3" t="inlineStr">
        <is>
          <t>Maintenance contracts: 59.5% gross margin, the most profitable work you do. Installations: 26.1% gross margin, below the 52.5%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October · Maintenance contracts</t>
        </is>
      </c>
      <c r="B31" s="8">
        <f>Workings!B64</f>
        <v/>
      </c>
      <c r="C31" s="9" t="inlineStr">
        <is>
          <t>September 59.5%</t>
        </is>
      </c>
    </row>
    <row r="32"/>
    <row r="33">
      <c r="A33" s="10" t="inlineStr">
        <is>
          <t>Job gross margin on each maintenance contract, October 2025</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5.8 points clear of the 52.5%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October · Installations</t>
        </is>
      </c>
      <c r="B56" s="8">
        <f>Workings!B229</f>
        <v/>
      </c>
      <c r="C56" s="9" t="inlineStr">
        <is>
          <t>September 26.2%</t>
        </is>
      </c>
    </row>
    <row r="57"/>
    <row r="58">
      <c r="A58" s="10" t="inlineStr">
        <is>
          <t>Job gross margin on each installation invoiced in October 2025</t>
        </is>
      </c>
    </row>
    <row r="59">
      <c r="A59" s="6" t="inlineStr"/>
      <c r="B59" s="7" t="inlineStr">
        <is>
          <t>Gross margin %</t>
        </is>
      </c>
      <c r="C59" s="7" t="inlineStr">
        <is>
          <t>Gross margin $</t>
        </is>
      </c>
    </row>
    <row r="60">
      <c r="A60" t="inlineStr">
        <is>
          <t>Aspley cafe data cabling</t>
        </is>
      </c>
      <c r="B60" s="8">
        <f>Workings!B242</f>
        <v/>
      </c>
      <c r="C60" s="11">
        <f>Workings!B241</f>
        <v/>
      </c>
    </row>
    <row r="61">
      <c r="A61" t="inlineStr">
        <is>
          <t>Coorparoo shop air-con install</t>
        </is>
      </c>
      <c r="B61" s="8">
        <f>Workings!B255</f>
        <v/>
      </c>
      <c r="C61" s="11">
        <f>Workings!B254</f>
        <v/>
      </c>
    </row>
    <row r="62">
      <c r="A62" t="inlineStr">
        <is>
          <t>Salisbury shop solar and battery</t>
        </is>
      </c>
      <c r="B62" s="8">
        <f>Workings!B268</f>
        <v/>
      </c>
      <c r="C62" s="11">
        <f>Workings!B267</f>
        <v/>
      </c>
    </row>
    <row r="63"/>
    <row r="64">
      <c r="A64" s="4" t="inlineStr">
        <is>
          <t>What it shows</t>
        </is>
      </c>
    </row>
    <row r="65" ht="60" customHeight="1">
      <c r="A65" s="3" t="inlineStr">
        <is>
          <t>2 of the 3 installation jobs invoiced in October made less than the 35.0% job gross margin target. The Salisbury shop solar and battery made a 17.3% job gross margin: 120.0 h of technician time ($8,160) and $3,900 of subcontractors on a $35,500 job. Jobs need 52.5% gross margin just to cover overheads.</t>
        </is>
      </c>
    </row>
    <row r="66"/>
    <row r="67">
      <c r="A67" s="4" t="inlineStr">
        <is>
          <t>What you'd do about it</t>
        </is>
      </c>
    </row>
    <row r="68" ht="45" customHeight="1">
      <c r="A68" s="3" t="inlineStr">
        <is>
          <t>Below the 52.5% overheads need: Aspley cafe data cabling (37.8%), Coorparoo shop air-con install (32.5%), Salisbury shop solar and battery (17.3%). Most profitable: Aspley cafe data cabling (37.8%).</t>
        </is>
      </c>
    </row>
    <row r="69"/>
    <row r="70">
      <c r="A70" s="5" t="inlineStr">
        <is>
          <t>Type of job: Call-outs and repairs</t>
        </is>
      </c>
    </row>
    <row r="71">
      <c r="A71" s="6" t="inlineStr">
        <is>
          <t>Headline number</t>
        </is>
      </c>
      <c r="B71" s="7" t="inlineStr">
        <is>
          <t>Value</t>
        </is>
      </c>
      <c r="C71" s="7" t="inlineStr">
        <is>
          <t>Compared with</t>
        </is>
      </c>
    </row>
    <row r="72">
      <c r="A72" t="inlineStr">
        <is>
          <t>Job gross margin, October · Call-outs and repairs</t>
        </is>
      </c>
      <c r="B72" s="8">
        <f>Workings!B277</f>
        <v/>
      </c>
      <c r="C72" s="9" t="inlineStr">
        <is>
          <t>September 44.0%</t>
        </is>
      </c>
    </row>
    <row r="73"/>
    <row r="74">
      <c r="A74" s="10" t="inlineStr">
        <is>
          <t>Job gross margin on call-outs by length, October 2025</t>
        </is>
      </c>
    </row>
    <row r="75">
      <c r="A75" s="6" t="inlineStr"/>
      <c r="B75" s="7" t="inlineStr">
        <is>
          <t>Gross margin %</t>
        </is>
      </c>
      <c r="C75" s="7" t="inlineStr">
        <is>
          <t>Gross margin $</t>
        </is>
      </c>
    </row>
    <row r="76">
      <c r="A76" t="inlineStr">
        <is>
          <t>1-hour call-outs (7)</t>
        </is>
      </c>
      <c r="B76" s="8">
        <f>Workings!B288</f>
        <v/>
      </c>
      <c r="C76" s="11">
        <f>Workings!B287</f>
        <v/>
      </c>
    </row>
    <row r="77">
      <c r="A77" t="inlineStr">
        <is>
          <t>1.5-hour call-outs (3)</t>
        </is>
      </c>
      <c r="B77" s="8">
        <f>Workings!B299</f>
        <v/>
      </c>
      <c r="C77" s="11">
        <f>Workings!B298</f>
        <v/>
      </c>
    </row>
    <row r="78">
      <c r="A78" t="inlineStr">
        <is>
          <t>2-hour call-outs (9)</t>
        </is>
      </c>
      <c r="B78" s="8">
        <f>Workings!B310</f>
        <v/>
      </c>
      <c r="C78" s="11">
        <f>Workings!B309</f>
        <v/>
      </c>
    </row>
    <row r="79">
      <c r="A79" t="inlineStr">
        <is>
          <t>2.5-hour call-outs (8)</t>
        </is>
      </c>
      <c r="B79" s="8">
        <f>Workings!B321</f>
        <v/>
      </c>
      <c r="C79" s="11">
        <f>Workings!B320</f>
        <v/>
      </c>
    </row>
    <row r="80">
      <c r="A80" t="inlineStr">
        <is>
          <t>3-hour call-outs (10)</t>
        </is>
      </c>
      <c r="B80" s="8">
        <f>Workings!B332</f>
        <v/>
      </c>
      <c r="C80" s="11">
        <f>Workings!B331</f>
        <v/>
      </c>
    </row>
    <row r="81">
      <c r="A81" t="inlineStr">
        <is>
          <t>4-hour call-outs (6)</t>
        </is>
      </c>
      <c r="B81" s="8">
        <f>Workings!B343</f>
        <v/>
      </c>
      <c r="C81" s="11">
        <f>Workings!B342</f>
        <v/>
      </c>
    </row>
    <row r="82"/>
    <row r="83">
      <c r="A83" s="4" t="inlineStr">
        <is>
          <t>What it shows</t>
        </is>
      </c>
    </row>
    <row r="84" ht="45" customHeight="1">
      <c r="A84" s="3" t="inlineStr">
        <is>
          <t>43 call-outs in October made a 43.3% job gross margin between them. Gross margins run from 37.8% to 45.9% by length: the hourly rate covers technician time comfortably, so the gross margin mostly moves with how much material goes on the van.</t>
        </is>
      </c>
    </row>
    <row r="85"/>
    <row r="86">
      <c r="A86" s="4" t="inlineStr">
        <is>
          <t>What you'd do about it</t>
        </is>
      </c>
    </row>
    <row r="87" ht="30" customHeight="1">
      <c r="A87" s="3" t="inlineStr">
        <is>
          <t>Call-outs: 43.3% gross margin, below the 52.5% needed to cover overheads.</t>
        </is>
      </c>
    </row>
    <row r="88"/>
    <row r="89">
      <c r="A89" s="5" t="inlineStr">
        <is>
          <t>Every type of job at once</t>
        </is>
      </c>
    </row>
    <row r="90">
      <c r="A90" s="12" t="inlineStr">
        <is>
          <t>Job gross margin by month: every month is on the Data sheet.</t>
        </is>
      </c>
    </row>
    <row r="91"/>
    <row r="92"/>
  </sheetData>
  <mergeCells count="11">
    <mergeCell ref="A5:D5"/>
    <mergeCell ref="A27:D27"/>
    <mergeCell ref="A8:D8"/>
    <mergeCell ref="A68:D68"/>
    <mergeCell ref="A52:D52"/>
    <mergeCell ref="A87:D87"/>
    <mergeCell ref="A65:D65"/>
    <mergeCell ref="A24:D24"/>
    <mergeCell ref="A11:D11"/>
    <mergeCell ref="A84:D84"/>
    <mergeCell ref="A49:D49"/>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7" min="0" max="16383" man="1"/>
    <brk id="70" min="0" max="16383" man="1"/>
  </rowBreaks>
</worksheet>
</file>

<file path=xl/worksheets/sheet2.xml><?xml version="1.0" encoding="utf-8"?>
<worksheet xmlns="http://schemas.openxmlformats.org/spreadsheetml/2006/main">
  <sheetPr>
    <outlinePr summaryBelow="1" summaryRight="1"/>
    <pageSetUpPr fitToPage="1"/>
  </sheetPr>
  <dimension ref="A1:C346"/>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c r="A5" s="5" t="inlineStr">
        <is>
          <t>From gross margin to profit, October 2025</t>
        </is>
      </c>
    </row>
    <row r="6">
      <c r="A6" s="12" t="inlineStr">
        <is>
          <t>Gross margin on the work − time not charged − overheads = profit before tax</t>
        </is>
      </c>
    </row>
    <row r="7">
      <c r="A7" s="6" t="inlineStr"/>
      <c r="B7" s="7" t="inlineStr">
        <is>
          <t>Oct 2025</t>
        </is>
      </c>
    </row>
    <row r="8">
      <c r="A8" t="inlineStr">
        <is>
          <t>Gross margin on jobs</t>
        </is>
      </c>
      <c r="B8" s="13" t="n">
        <v>49446</v>
      </c>
    </row>
    <row r="9">
      <c r="A9" t="inlineStr">
        <is>
          <t>Technician wages and on-costs</t>
        </is>
      </c>
      <c r="B9" s="13" t="n">
        <v>46800</v>
      </c>
    </row>
    <row r="10">
      <c r="A10" t="inlineStr">
        <is>
          <t>Technician time charged to jobs (at cost)</t>
        </is>
      </c>
      <c r="B10" s="13" t="n">
        <v>37162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57980</v>
      </c>
    </row>
    <row r="14">
      <c r="A14" t="inlineStr">
        <is>
          <t>Profit before tax (the P&amp;L)</t>
        </is>
      </c>
      <c r="B14" s="13">
        <f>B12-B13</f>
        <v/>
      </c>
    </row>
    <row r="15">
      <c r="A15" t="inlineStr">
        <is>
          <t>Revenue</t>
        </is>
      </c>
      <c r="B15" s="13" t="n">
        <v>128898</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October 2025 P&amp;L (locked). Wages always include all on-costs: super, payroll tax, workers' compensation insurance and leave.</t>
        </is>
      </c>
    </row>
    <row r="20"/>
    <row r="21"/>
    <row r="22">
      <c r="A22" s="5" t="inlineStr">
        <is>
          <t>All lines: gross margin, October and September</t>
        </is>
      </c>
    </row>
    <row r="23">
      <c r="A23" s="12" t="inlineStr">
        <is>
          <t>Revenue less direct cost, over revenue. Before overheads.</t>
        </is>
      </c>
    </row>
    <row r="24">
      <c r="A24" s="6" t="inlineStr"/>
      <c r="B24" s="7" t="inlineStr">
        <is>
          <t>Oct 25</t>
        </is>
      </c>
      <c r="C24" s="7" t="inlineStr">
        <is>
          <t>Sep 25</t>
        </is>
      </c>
    </row>
    <row r="25">
      <c r="A25" t="inlineStr">
        <is>
          <t>Revenue</t>
        </is>
      </c>
      <c r="B25" s="13" t="n">
        <v>128898</v>
      </c>
      <c r="C25" s="13" t="n">
        <v>128255</v>
      </c>
    </row>
    <row r="26">
      <c r="A26" t="inlineStr">
        <is>
          <t>Direct cost</t>
        </is>
      </c>
      <c r="B26" s="13" t="n">
        <v>79452</v>
      </c>
      <c r="C26" s="13" t="n">
        <v>80054</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October</t>
        </is>
      </c>
    </row>
    <row r="32">
      <c r="A32" s="12" t="inlineStr">
        <is>
          <t>Revenue less direct cost (materials, subcontractors, technician time at cost)</t>
        </is>
      </c>
    </row>
    <row r="33">
      <c r="A33" s="6" t="inlineStr"/>
      <c r="B33" s="7" t="inlineStr">
        <is>
          <t>Oct 2025</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October</t>
        </is>
      </c>
    </row>
    <row r="41">
      <c r="A41" s="12" t="inlineStr">
        <is>
          <t>Revenue less direct cost (materials, subcontractors, technician time at cost)</t>
        </is>
      </c>
    </row>
    <row r="42">
      <c r="A42" s="6" t="inlineStr"/>
      <c r="B42" s="7" t="inlineStr">
        <is>
          <t>Oct 2025</t>
        </is>
      </c>
    </row>
    <row r="43">
      <c r="A43" t="inlineStr">
        <is>
          <t>Revenue</t>
        </is>
      </c>
      <c r="B43" s="13" t="n">
        <v>70800</v>
      </c>
    </row>
    <row r="44">
      <c r="A44" t="inlineStr">
        <is>
          <t>Direct cost</t>
        </is>
      </c>
      <c r="B44" s="13" t="n">
        <v>52288</v>
      </c>
    </row>
    <row r="45">
      <c r="A45" t="inlineStr">
        <is>
          <t>Gross margin</t>
        </is>
      </c>
      <c r="B45" s="13">
        <f>B43-B44</f>
        <v/>
      </c>
    </row>
    <row r="46">
      <c r="A46" s="15" t="inlineStr">
        <is>
          <t>Gross margin %</t>
        </is>
      </c>
      <c r="B46" s="16">
        <f>B45/B43</f>
        <v/>
      </c>
    </row>
    <row r="47"/>
    <row r="48"/>
    <row r="49">
      <c r="A49" s="5" t="inlineStr">
        <is>
          <t>Call-outs and repairs, October</t>
        </is>
      </c>
    </row>
    <row r="50">
      <c r="A50" s="12" t="inlineStr">
        <is>
          <t>Revenue less direct cost (materials, subcontractors, technician time at cost)</t>
        </is>
      </c>
    </row>
    <row r="51">
      <c r="A51" s="6" t="inlineStr"/>
      <c r="B51" s="7" t="inlineStr">
        <is>
          <t>Oct 2025</t>
        </is>
      </c>
    </row>
    <row r="52">
      <c r="A52" t="inlineStr">
        <is>
          <t>Revenue</t>
        </is>
      </c>
      <c r="B52" s="13" t="n">
        <v>22298</v>
      </c>
    </row>
    <row r="53">
      <c r="A53" t="inlineStr">
        <is>
          <t>Direct cost</t>
        </is>
      </c>
      <c r="B53" s="13" t="n">
        <v>12648</v>
      </c>
    </row>
    <row r="54">
      <c r="A54" t="inlineStr">
        <is>
          <t>Gross margin</t>
        </is>
      </c>
      <c r="B54" s="13">
        <f>B52-B53</f>
        <v/>
      </c>
    </row>
    <row r="55">
      <c r="A55" s="15" t="inlineStr">
        <is>
          <t>Gross margin %</t>
        </is>
      </c>
      <c r="B55" s="16">
        <f>B54/B52</f>
        <v/>
      </c>
    </row>
    <row r="56"/>
    <row r="57"/>
    <row r="58">
      <c r="A58" s="5" t="inlineStr">
        <is>
          <t>Maintenance contracts: gross margin, October and September</t>
        </is>
      </c>
    </row>
    <row r="59">
      <c r="A59" s="12" t="inlineStr">
        <is>
          <t>Revenue less direct cost, over revenue. Before overheads.</t>
        </is>
      </c>
    </row>
    <row r="60">
      <c r="A60" s="6" t="inlineStr"/>
      <c r="B60" s="7" t="inlineStr">
        <is>
          <t>Oct 25</t>
        </is>
      </c>
      <c r="C60" s="7" t="inlineStr">
        <is>
          <t>Sep 25</t>
        </is>
      </c>
    </row>
    <row r="61">
      <c r="A61" t="inlineStr">
        <is>
          <t>Revenue</t>
        </is>
      </c>
      <c r="B61" s="13" t="n">
        <v>35800</v>
      </c>
      <c r="C61" s="13" t="n">
        <v>33200</v>
      </c>
    </row>
    <row r="62">
      <c r="A62" t="inlineStr">
        <is>
          <t>Direct cost</t>
        </is>
      </c>
      <c r="B62" s="13" t="n">
        <v>14516</v>
      </c>
      <c r="C62" s="13" t="n">
        <v>13446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October and September</t>
        </is>
      </c>
    </row>
    <row r="224">
      <c r="A224" s="12" t="inlineStr">
        <is>
          <t>Revenue less direct cost, over revenue. Before overheads.</t>
        </is>
      </c>
    </row>
    <row r="225">
      <c r="A225" s="6" t="inlineStr"/>
      <c r="B225" s="7" t="inlineStr">
        <is>
          <t>Oct 25</t>
        </is>
      </c>
      <c r="C225" s="7" t="inlineStr">
        <is>
          <t>Sep 25</t>
        </is>
      </c>
    </row>
    <row r="226">
      <c r="A226" t="inlineStr">
        <is>
          <t>Revenue</t>
        </is>
      </c>
      <c r="B226" s="13" t="n">
        <v>70800</v>
      </c>
      <c r="C226" s="13" t="n">
        <v>75100</v>
      </c>
    </row>
    <row r="227">
      <c r="A227" t="inlineStr">
        <is>
          <t>Direct cost</t>
        </is>
      </c>
      <c r="B227" s="13" t="n">
        <v>52288</v>
      </c>
      <c r="C227" s="13" t="n">
        <v>55440</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Aspley cafe data cabling</t>
        </is>
      </c>
    </row>
    <row r="233">
      <c r="A233" s="12" t="inlineStr">
        <is>
          <t>Job gross margin ÷ revenue for this job (before overheads)</t>
        </is>
      </c>
    </row>
    <row r="234">
      <c r="A234" s="6" t="inlineStr"/>
      <c r="B234" s="7" t="inlineStr">
        <is>
          <t>This job</t>
        </is>
      </c>
    </row>
    <row r="235">
      <c r="A235" t="inlineStr">
        <is>
          <t>Revenue</t>
        </is>
      </c>
      <c r="B235" s="13" t="n">
        <v>16800</v>
      </c>
    </row>
    <row r="236">
      <c r="A236" t="inlineStr">
        <is>
          <t>Materials</t>
        </is>
      </c>
      <c r="B236" s="13" t="n">
        <v>-4500</v>
      </c>
    </row>
    <row r="237">
      <c r="A237" t="inlineStr">
        <is>
          <t>Subcontractors</t>
        </is>
      </c>
      <c r="B237" s="13" t="n">
        <v>-2000</v>
      </c>
    </row>
    <row r="238">
      <c r="A238" t="inlineStr">
        <is>
          <t>Technician hours</t>
        </is>
      </c>
      <c r="B238" s="17" t="n">
        <v>58</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Coorparoo shop air-con install</t>
        </is>
      </c>
    </row>
    <row r="246">
      <c r="A246" s="12" t="inlineStr">
        <is>
          <t>Job gross margin ÷ revenue for this job (before overheads)</t>
        </is>
      </c>
    </row>
    <row r="247">
      <c r="A247" s="6" t="inlineStr"/>
      <c r="B247" s="7" t="inlineStr">
        <is>
          <t>This job</t>
        </is>
      </c>
    </row>
    <row r="248">
      <c r="A248" t="inlineStr">
        <is>
          <t>Revenue</t>
        </is>
      </c>
      <c r="B248" s="13" t="n">
        <v>18500</v>
      </c>
    </row>
    <row r="249">
      <c r="A249" t="inlineStr">
        <is>
          <t>Materials</t>
        </is>
      </c>
      <c r="B249" s="13" t="n">
        <v>-6900</v>
      </c>
    </row>
    <row r="250">
      <c r="A250" t="inlineStr">
        <is>
          <t>Subcontractors</t>
        </is>
      </c>
      <c r="B250" s="13" t="n">
        <v>-1300</v>
      </c>
    </row>
    <row r="251">
      <c r="A251" t="inlineStr">
        <is>
          <t>Technician hours</t>
        </is>
      </c>
      <c r="B251" s="17" t="n">
        <v>63</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Salisbury shop solar and battery</t>
        </is>
      </c>
    </row>
    <row r="259">
      <c r="A259" s="12" t="inlineStr">
        <is>
          <t>Job gross margin ÷ revenue for this job (before overheads)</t>
        </is>
      </c>
    </row>
    <row r="260">
      <c r="A260" s="6" t="inlineStr"/>
      <c r="B260" s="7" t="inlineStr">
        <is>
          <t>This job</t>
        </is>
      </c>
    </row>
    <row r="261">
      <c r="A261" t="inlineStr">
        <is>
          <t>Revenue</t>
        </is>
      </c>
      <c r="B261" s="13" t="n">
        <v>35500</v>
      </c>
    </row>
    <row r="262">
      <c r="A262" t="inlineStr">
        <is>
          <t>Materials</t>
        </is>
      </c>
      <c r="B262" s="13" t="n">
        <v>-17300</v>
      </c>
    </row>
    <row r="263">
      <c r="A263" t="inlineStr">
        <is>
          <t>Subcontractors</t>
        </is>
      </c>
      <c r="B263" s="13" t="n">
        <v>-3900</v>
      </c>
    </row>
    <row r="264">
      <c r="A264" t="inlineStr">
        <is>
          <t>Technician hours</t>
        </is>
      </c>
      <c r="B264" s="17" t="n">
        <v>120</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Call-outs and repairs: gross margin, October and September</t>
        </is>
      </c>
    </row>
    <row r="272">
      <c r="A272" s="12" t="inlineStr">
        <is>
          <t>Revenue less direct cost, over revenue. Before overheads.</t>
        </is>
      </c>
    </row>
    <row r="273">
      <c r="A273" s="6" t="inlineStr"/>
      <c r="B273" s="7" t="inlineStr">
        <is>
          <t>Oct 25</t>
        </is>
      </c>
      <c r="C273" s="7" t="inlineStr">
        <is>
          <t>Sep 25</t>
        </is>
      </c>
    </row>
    <row r="274">
      <c r="A274" t="inlineStr">
        <is>
          <t>Revenue</t>
        </is>
      </c>
      <c r="B274" s="13" t="n">
        <v>22298</v>
      </c>
      <c r="C274" s="13" t="n">
        <v>19955</v>
      </c>
    </row>
    <row r="275">
      <c r="A275" t="inlineStr">
        <is>
          <t>Direct cost</t>
        </is>
      </c>
      <c r="B275" s="13" t="n">
        <v>12648</v>
      </c>
      <c r="C275" s="13" t="n">
        <v>11168</v>
      </c>
    </row>
    <row r="276">
      <c r="A276" t="inlineStr">
        <is>
          <t>Gross margin</t>
        </is>
      </c>
      <c r="B276" s="13">
        <f>B274-B275</f>
        <v/>
      </c>
      <c r="C276" s="13">
        <f>C274-C275</f>
        <v/>
      </c>
    </row>
    <row r="277">
      <c r="A277" s="15" t="inlineStr">
        <is>
          <t>Gross margin %</t>
        </is>
      </c>
      <c r="B277" s="16">
        <f>B276/B274</f>
        <v/>
      </c>
      <c r="C277" s="16">
        <f>C276/C274</f>
        <v/>
      </c>
    </row>
    <row r="278"/>
    <row r="279"/>
    <row r="280">
      <c r="A280" s="5" t="inlineStr">
        <is>
          <t>1-hour call-outs (7)</t>
        </is>
      </c>
    </row>
    <row r="281">
      <c r="A281" s="12" t="inlineStr">
        <is>
          <t>Call-outs of this length in October, added together</t>
        </is>
      </c>
    </row>
    <row r="282">
      <c r="A282" s="6" t="inlineStr"/>
      <c r="B282" s="7" t="inlineStr">
        <is>
          <t>Oct 2025</t>
        </is>
      </c>
    </row>
    <row r="283">
      <c r="A283" t="inlineStr">
        <is>
          <t>Call-outs</t>
        </is>
      </c>
      <c r="B283" s="13" t="n">
        <v>7</v>
      </c>
    </row>
    <row r="284">
      <c r="A284" t="inlineStr">
        <is>
          <t>Revenue</t>
        </is>
      </c>
      <c r="B284" s="13" t="n">
        <v>2068</v>
      </c>
    </row>
    <row r="285">
      <c r="A285" t="inlineStr">
        <is>
          <t>Materials</t>
        </is>
      </c>
      <c r="B285" s="13" t="n">
        <v>-810</v>
      </c>
    </row>
    <row r="286">
      <c r="A286" t="inlineStr">
        <is>
          <t>Technician time at cost</t>
        </is>
      </c>
      <c r="B286" s="13" t="n">
        <v>-476</v>
      </c>
    </row>
    <row r="287">
      <c r="A287" t="inlineStr">
        <is>
          <t>Job gross margin</t>
        </is>
      </c>
      <c r="B287" s="13">
        <f>B284+B285+B286</f>
        <v/>
      </c>
    </row>
    <row r="288">
      <c r="A288" s="15" t="inlineStr">
        <is>
          <t>Job gross margin %</t>
        </is>
      </c>
      <c r="B288" s="16">
        <f>B287/B284</f>
        <v/>
      </c>
    </row>
    <row r="289"/>
    <row r="290"/>
    <row r="291">
      <c r="A291" s="5" t="inlineStr">
        <is>
          <t>1.5-hour call-outs (3)</t>
        </is>
      </c>
    </row>
    <row r="292">
      <c r="A292" s="12" t="inlineStr">
        <is>
          <t>Call-outs of this length in October, added together</t>
        </is>
      </c>
    </row>
    <row r="293">
      <c r="A293" s="6" t="inlineStr"/>
      <c r="B293" s="7" t="inlineStr">
        <is>
          <t>Oct 2025</t>
        </is>
      </c>
    </row>
    <row r="294">
      <c r="A294" t="inlineStr">
        <is>
          <t>Call-outs</t>
        </is>
      </c>
      <c r="B294" s="13" t="n">
        <v>3</v>
      </c>
    </row>
    <row r="295">
      <c r="A295" t="inlineStr">
        <is>
          <t>Revenue</t>
        </is>
      </c>
      <c r="B295" s="13" t="n">
        <v>1288</v>
      </c>
    </row>
    <row r="296">
      <c r="A296" t="inlineStr">
        <is>
          <t>Materials</t>
        </is>
      </c>
      <c r="B296" s="13" t="n">
        <v>-490</v>
      </c>
    </row>
    <row r="297">
      <c r="A297" t="inlineStr">
        <is>
          <t>Technician time at cost</t>
        </is>
      </c>
      <c r="B297" s="13" t="n">
        <v>-306</v>
      </c>
    </row>
    <row r="298">
      <c r="A298" t="inlineStr">
        <is>
          <t>Job gross margin</t>
        </is>
      </c>
      <c r="B298" s="13">
        <f>B295+B296+B297</f>
        <v/>
      </c>
    </row>
    <row r="299">
      <c r="A299" s="15" t="inlineStr">
        <is>
          <t>Job gross margin %</t>
        </is>
      </c>
      <c r="B299" s="16">
        <f>B298/B295</f>
        <v/>
      </c>
    </row>
    <row r="300"/>
    <row r="301"/>
    <row r="302">
      <c r="A302" s="5" t="inlineStr">
        <is>
          <t>2-hour call-outs (9)</t>
        </is>
      </c>
    </row>
    <row r="303">
      <c r="A303" s="12" t="inlineStr">
        <is>
          <t>Call-outs of this length in October, added together</t>
        </is>
      </c>
    </row>
    <row r="304">
      <c r="A304" s="6" t="inlineStr"/>
      <c r="B304" s="7" t="inlineStr">
        <is>
          <t>Oct 2025</t>
        </is>
      </c>
    </row>
    <row r="305">
      <c r="A305" t="inlineStr">
        <is>
          <t>Call-outs</t>
        </is>
      </c>
      <c r="B305" s="13" t="n">
        <v>9</v>
      </c>
    </row>
    <row r="306">
      <c r="A306" t="inlineStr">
        <is>
          <t>Revenue</t>
        </is>
      </c>
      <c r="B306" s="13" t="n">
        <v>4443</v>
      </c>
    </row>
    <row r="307">
      <c r="A307" t="inlineStr">
        <is>
          <t>Materials</t>
        </is>
      </c>
      <c r="B307" s="13" t="n">
        <v>-1410</v>
      </c>
    </row>
    <row r="308">
      <c r="A308" t="inlineStr">
        <is>
          <t>Technician time at cost</t>
        </is>
      </c>
      <c r="B308" s="13" t="n">
        <v>-1224</v>
      </c>
    </row>
    <row r="309">
      <c r="A309" t="inlineStr">
        <is>
          <t>Job gross margin</t>
        </is>
      </c>
      <c r="B309" s="13">
        <f>B306+B307+B308</f>
        <v/>
      </c>
    </row>
    <row r="310">
      <c r="A310" s="15" t="inlineStr">
        <is>
          <t>Job gross margin %</t>
        </is>
      </c>
      <c r="B310" s="16">
        <f>B309/B306</f>
        <v/>
      </c>
    </row>
    <row r="311"/>
    <row r="312"/>
    <row r="313">
      <c r="A313" s="5" t="inlineStr">
        <is>
          <t>2.5-hour call-outs (8)</t>
        </is>
      </c>
    </row>
    <row r="314">
      <c r="A314" s="12" t="inlineStr">
        <is>
          <t>Call-outs of this length in October, added together</t>
        </is>
      </c>
    </row>
    <row r="315">
      <c r="A315" s="6" t="inlineStr"/>
      <c r="B315" s="7" t="inlineStr">
        <is>
          <t>Oct 2025</t>
        </is>
      </c>
    </row>
    <row r="316">
      <c r="A316" t="inlineStr">
        <is>
          <t>Call-outs</t>
        </is>
      </c>
      <c r="B316" s="13" t="n">
        <v>8</v>
      </c>
    </row>
    <row r="317">
      <c r="A317" t="inlineStr">
        <is>
          <t>Revenue</t>
        </is>
      </c>
      <c r="B317" s="13" t="n">
        <v>4134</v>
      </c>
    </row>
    <row r="318">
      <c r="A318" t="inlineStr">
        <is>
          <t>Materials</t>
        </is>
      </c>
      <c r="B318" s="13" t="n">
        <v>-950</v>
      </c>
    </row>
    <row r="319">
      <c r="A319" t="inlineStr">
        <is>
          <t>Technician time at cost</t>
        </is>
      </c>
      <c r="B319" s="13" t="n">
        <v>-1360</v>
      </c>
    </row>
    <row r="320">
      <c r="A320" t="inlineStr">
        <is>
          <t>Job gross margin</t>
        </is>
      </c>
      <c r="B320" s="13">
        <f>B317+B318+B319</f>
        <v/>
      </c>
    </row>
    <row r="321">
      <c r="A321" s="15" t="inlineStr">
        <is>
          <t>Job gross margin %</t>
        </is>
      </c>
      <c r="B321" s="16">
        <f>B320/B317</f>
        <v/>
      </c>
    </row>
    <row r="322"/>
    <row r="323"/>
    <row r="324">
      <c r="A324" s="5" t="inlineStr">
        <is>
          <t>3-hour call-outs (10)</t>
        </is>
      </c>
    </row>
    <row r="325">
      <c r="A325" s="12" t="inlineStr">
        <is>
          <t>Call-outs of this length in October, added together</t>
        </is>
      </c>
    </row>
    <row r="326">
      <c r="A326" s="6" t="inlineStr"/>
      <c r="B326" s="7" t="inlineStr">
        <is>
          <t>Oct 2025</t>
        </is>
      </c>
    </row>
    <row r="327">
      <c r="A327" t="inlineStr">
        <is>
          <t>Call-outs</t>
        </is>
      </c>
      <c r="B327" s="13" t="n">
        <v>10</v>
      </c>
    </row>
    <row r="328">
      <c r="A328" t="inlineStr">
        <is>
          <t>Revenue</t>
        </is>
      </c>
      <c r="B328" s="13" t="n">
        <v>5780</v>
      </c>
    </row>
    <row r="329">
      <c r="A329" t="inlineStr">
        <is>
          <t>Materials</t>
        </is>
      </c>
      <c r="B329" s="13" t="n">
        <v>-1100</v>
      </c>
    </row>
    <row r="330">
      <c r="A330" t="inlineStr">
        <is>
          <t>Technician time at cost</t>
        </is>
      </c>
      <c r="B330" s="13" t="n">
        <v>-2040</v>
      </c>
    </row>
    <row r="331">
      <c r="A331" t="inlineStr">
        <is>
          <t>Job gross margin</t>
        </is>
      </c>
      <c r="B331" s="13">
        <f>B328+B329+B330</f>
        <v/>
      </c>
    </row>
    <row r="332">
      <c r="A332" s="15" t="inlineStr">
        <is>
          <t>Job gross margin %</t>
        </is>
      </c>
      <c r="B332" s="16">
        <f>B331/B328</f>
        <v/>
      </c>
    </row>
    <row r="333"/>
    <row r="334"/>
    <row r="335">
      <c r="A335" s="5" t="inlineStr">
        <is>
          <t>4-hour call-outs (6)</t>
        </is>
      </c>
    </row>
    <row r="336">
      <c r="A336" s="12" t="inlineStr">
        <is>
          <t>Call-outs of this length in October, added together</t>
        </is>
      </c>
    </row>
    <row r="337">
      <c r="A337" s="6" t="inlineStr"/>
      <c r="B337" s="7" t="inlineStr">
        <is>
          <t>Oct 2025</t>
        </is>
      </c>
    </row>
    <row r="338">
      <c r="A338" t="inlineStr">
        <is>
          <t>Call-outs</t>
        </is>
      </c>
      <c r="B338" s="13" t="n">
        <v>6</v>
      </c>
    </row>
    <row r="339">
      <c r="A339" t="inlineStr">
        <is>
          <t>Revenue</t>
        </is>
      </c>
      <c r="B339" s="13" t="n">
        <v>4585</v>
      </c>
    </row>
    <row r="340">
      <c r="A340" t="inlineStr">
        <is>
          <t>Materials</t>
        </is>
      </c>
      <c r="B340" s="13" t="n">
        <v>-850</v>
      </c>
    </row>
    <row r="341">
      <c r="A341" t="inlineStr">
        <is>
          <t>Technician time at cost</t>
        </is>
      </c>
      <c r="B341" s="13" t="n">
        <v>-1632</v>
      </c>
    </row>
    <row r="342">
      <c r="A342" t="inlineStr">
        <is>
          <t>Job gross margin</t>
        </is>
      </c>
      <c r="B342" s="13">
        <f>B339+B340+B341</f>
        <v/>
      </c>
    </row>
    <row r="343">
      <c r="A343" s="15" t="inlineStr">
        <is>
          <t>Job gross margin %</t>
        </is>
      </c>
      <c r="B343" s="16">
        <f>B342/B339</f>
        <v/>
      </c>
    </row>
    <row r="344"/>
    <row r="345"/>
    <row r="346"/>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3" manualBreakCount="13">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79" min="0" max="16383" man="1"/>
    <brk id="301" min="0" max="16383" man="1"/>
    <brk id="323"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Maintenance contracts</t>
        </is>
      </c>
      <c r="B19" s="18" t="inlineStr">
        <is>
          <t>Oct 24</t>
        </is>
      </c>
      <c r="C19" s="18" t="inlineStr">
        <is>
          <t>Locked</t>
        </is>
      </c>
      <c r="D19" s="13" t="n">
        <v>24670</v>
      </c>
      <c r="E19" s="13" t="n">
        <v>10420</v>
      </c>
      <c r="F19" s="13">
        <f>D19-E19</f>
        <v/>
      </c>
      <c r="G19" s="14">
        <f>IF(D19=0,"",F19/D19)</f>
        <v/>
      </c>
    </row>
    <row r="20">
      <c r="A20" s="18" t="inlineStr">
        <is>
          <t>Maintenance contracts</t>
        </is>
      </c>
      <c r="B20" s="18" t="inlineStr">
        <is>
          <t>Nov 24</t>
        </is>
      </c>
      <c r="C20" s="18" t="inlineStr">
        <is>
          <t>Locked</t>
        </is>
      </c>
      <c r="D20" s="13" t="n">
        <v>24670</v>
      </c>
      <c r="E20" s="13" t="n">
        <v>10420</v>
      </c>
      <c r="F20" s="13">
        <f>D20-E20</f>
        <v/>
      </c>
      <c r="G20" s="14">
        <f>IF(D20=0,"",F20/D20)</f>
        <v/>
      </c>
    </row>
    <row r="21">
      <c r="A21" s="18" t="inlineStr">
        <is>
          <t>Maintenance contracts</t>
        </is>
      </c>
      <c r="B21" s="18" t="inlineStr">
        <is>
          <t>Dec 24</t>
        </is>
      </c>
      <c r="C21" s="18" t="inlineStr">
        <is>
          <t>Locked</t>
        </is>
      </c>
      <c r="D21" s="13" t="n">
        <v>24670</v>
      </c>
      <c r="E21" s="13" t="n">
        <v>10420</v>
      </c>
      <c r="F21" s="13">
        <f>D21-E21</f>
        <v/>
      </c>
      <c r="G21" s="14">
        <f>IF(D21=0,"",F21/D21)</f>
        <v/>
      </c>
    </row>
    <row r="22">
      <c r="A22" s="18" t="inlineStr">
        <is>
          <t>Maintenance contracts</t>
        </is>
      </c>
      <c r="B22" s="18" t="inlineStr">
        <is>
          <t>Jan 25</t>
        </is>
      </c>
      <c r="C22" s="18" t="inlineStr">
        <is>
          <t>Locked</t>
        </is>
      </c>
      <c r="D22" s="13" t="n">
        <v>24670</v>
      </c>
      <c r="E22" s="13" t="n">
        <v>10420</v>
      </c>
      <c r="F22" s="13">
        <f>D22-E22</f>
        <v/>
      </c>
      <c r="G22" s="14">
        <f>IF(D22=0,"",F22/D22)</f>
        <v/>
      </c>
    </row>
    <row r="23">
      <c r="A23" s="18" t="inlineStr">
        <is>
          <t>Maintenance contracts</t>
        </is>
      </c>
      <c r="B23" s="18" t="inlineStr">
        <is>
          <t>Feb 25</t>
        </is>
      </c>
      <c r="C23" s="18" t="inlineStr">
        <is>
          <t>Locked</t>
        </is>
      </c>
      <c r="D23" s="13" t="n">
        <v>27930</v>
      </c>
      <c r="E23" s="13" t="n">
        <v>11782</v>
      </c>
      <c r="F23" s="13">
        <f>D23-E23</f>
        <v/>
      </c>
      <c r="G23" s="14">
        <f>IF(D23=0,"",F23/D23)</f>
        <v/>
      </c>
    </row>
    <row r="24">
      <c r="A24" s="18" t="inlineStr">
        <is>
          <t>Maintenance contracts</t>
        </is>
      </c>
      <c r="B24" s="18" t="inlineStr">
        <is>
          <t>Mar 25</t>
        </is>
      </c>
      <c r="C24" s="18" t="inlineStr">
        <is>
          <t>Locked</t>
        </is>
      </c>
      <c r="D24" s="13" t="n">
        <v>27930</v>
      </c>
      <c r="E24" s="13" t="n">
        <v>11782</v>
      </c>
      <c r="F24" s="13">
        <f>D24-E24</f>
        <v/>
      </c>
      <c r="G24" s="14">
        <f>IF(D24=0,"",F24/D24)</f>
        <v/>
      </c>
    </row>
    <row r="25">
      <c r="A25" s="18" t="inlineStr">
        <is>
          <t>Maintenance contracts</t>
        </is>
      </c>
      <c r="B25" s="18" t="inlineStr">
        <is>
          <t>Apr 25</t>
        </is>
      </c>
      <c r="C25" s="18" t="inlineStr">
        <is>
          <t>Locked</t>
        </is>
      </c>
      <c r="D25" s="13" t="n">
        <v>27930</v>
      </c>
      <c r="E25" s="13" t="n">
        <v>11782</v>
      </c>
      <c r="F25" s="13">
        <f>D25-E25</f>
        <v/>
      </c>
      <c r="G25" s="14">
        <f>IF(D25=0,"",F25/D25)</f>
        <v/>
      </c>
    </row>
    <row r="26">
      <c r="A26" s="18" t="inlineStr">
        <is>
          <t>Maintenance contracts</t>
        </is>
      </c>
      <c r="B26" s="18" t="inlineStr">
        <is>
          <t>May 25</t>
        </is>
      </c>
      <c r="C26" s="18" t="inlineStr">
        <is>
          <t>Locked</t>
        </is>
      </c>
      <c r="D26" s="13" t="n">
        <v>27930</v>
      </c>
      <c r="E26" s="13" t="n">
        <v>11782</v>
      </c>
      <c r="F26" s="13">
        <f>D26-E26</f>
        <v/>
      </c>
      <c r="G26" s="14">
        <f>IF(D26=0,"",F26/D26)</f>
        <v/>
      </c>
    </row>
    <row r="27">
      <c r="A27" s="18" t="inlineStr">
        <is>
          <t>Maintenance contracts</t>
        </is>
      </c>
      <c r="B27" s="18" t="inlineStr">
        <is>
          <t>Jun 25</t>
        </is>
      </c>
      <c r="C27" s="18" t="inlineStr">
        <is>
          <t>Locked</t>
        </is>
      </c>
      <c r="D27" s="13" t="n">
        <v>31870</v>
      </c>
      <c r="E27" s="13" t="n">
        <v>13446</v>
      </c>
      <c r="F27" s="13">
        <f>D27-E27</f>
        <v/>
      </c>
      <c r="G27" s="14">
        <f>IF(D27=0,"",F27/D27)</f>
        <v/>
      </c>
    </row>
    <row r="28">
      <c r="A28" s="18" t="inlineStr">
        <is>
          <t>Maintenance contracts</t>
        </is>
      </c>
      <c r="B28" s="18" t="inlineStr">
        <is>
          <t>Jul 25</t>
        </is>
      </c>
      <c r="C28" s="18" t="inlineStr">
        <is>
          <t>Locked</t>
        </is>
      </c>
      <c r="D28" s="13" t="n">
        <v>33200</v>
      </c>
      <c r="E28" s="13" t="n">
        <v>13446</v>
      </c>
      <c r="F28" s="13">
        <f>D28-E28</f>
        <v/>
      </c>
      <c r="G28" s="14">
        <f>IF(D28=0,"",F28/D28)</f>
        <v/>
      </c>
    </row>
    <row r="29">
      <c r="A29" s="18" t="inlineStr">
        <is>
          <t>Maintenance contracts</t>
        </is>
      </c>
      <c r="B29" s="18" t="inlineStr">
        <is>
          <t>Aug 25</t>
        </is>
      </c>
      <c r="C29" s="18" t="inlineStr">
        <is>
          <t>Locked</t>
        </is>
      </c>
      <c r="D29" s="13" t="n">
        <v>33200</v>
      </c>
      <c r="E29" s="13" t="n">
        <v>13446</v>
      </c>
      <c r="F29" s="13">
        <f>D29-E29</f>
        <v/>
      </c>
      <c r="G29" s="14">
        <f>IF(D29=0,"",F29/D29)</f>
        <v/>
      </c>
    </row>
    <row r="30">
      <c r="A30" s="18" t="inlineStr">
        <is>
          <t>Maintenance contracts</t>
        </is>
      </c>
      <c r="B30" s="18" t="inlineStr">
        <is>
          <t>Sep 25</t>
        </is>
      </c>
      <c r="C30" s="18" t="inlineStr">
        <is>
          <t>Locked</t>
        </is>
      </c>
      <c r="D30" s="13" t="n">
        <v>33200</v>
      </c>
      <c r="E30" s="13" t="n">
        <v>13446</v>
      </c>
      <c r="F30" s="13">
        <f>D30-E30</f>
        <v/>
      </c>
      <c r="G30" s="14">
        <f>IF(D30=0,"",F30/D30)</f>
        <v/>
      </c>
    </row>
    <row r="31">
      <c r="A31" s="18" t="inlineStr">
        <is>
          <t>Maintenance contracts</t>
        </is>
      </c>
      <c r="B31" s="18" t="inlineStr">
        <is>
          <t>Oct 25</t>
        </is>
      </c>
      <c r="C31" s="18" t="inlineStr">
        <is>
          <t>Locked</t>
        </is>
      </c>
      <c r="D31" s="13" t="n">
        <v>35800</v>
      </c>
      <c r="E31" s="13" t="n">
        <v>14516</v>
      </c>
      <c r="F31" s="13">
        <f>D31-E31</f>
        <v/>
      </c>
      <c r="G31" s="14">
        <f>IF(D31=0,"",F31/D31)</f>
        <v/>
      </c>
    </row>
    <row r="32">
      <c r="A32" s="18" t="inlineStr">
        <is>
          <t>Installations</t>
        </is>
      </c>
      <c r="B32" s="18" t="inlineStr">
        <is>
          <t>Oct 24</t>
        </is>
      </c>
      <c r="C32" s="18" t="inlineStr">
        <is>
          <t>Locked</t>
        </is>
      </c>
      <c r="D32" s="13" t="n">
        <v>126300</v>
      </c>
      <c r="E32" s="13" t="n">
        <v>92430</v>
      </c>
      <c r="F32" s="13">
        <f>D32-E32</f>
        <v/>
      </c>
      <c r="G32" s="14">
        <f>IF(D32=0,"",F32/D32)</f>
        <v/>
      </c>
    </row>
    <row r="33">
      <c r="A33" s="18" t="inlineStr">
        <is>
          <t>Installations</t>
        </is>
      </c>
      <c r="B33" s="18" t="inlineStr">
        <is>
          <t>Nov 24</t>
        </is>
      </c>
      <c r="C33" s="18" t="inlineStr">
        <is>
          <t>Locked</t>
        </is>
      </c>
      <c r="D33" s="13" t="n">
        <v>131400</v>
      </c>
      <c r="E33" s="13" t="n">
        <v>89070</v>
      </c>
      <c r="F33" s="13">
        <f>D33-E33</f>
        <v/>
      </c>
      <c r="G33" s="14">
        <f>IF(D33=0,"",F33/D33)</f>
        <v/>
      </c>
    </row>
    <row r="34">
      <c r="A34" s="18" t="inlineStr">
        <is>
          <t>Installations</t>
        </is>
      </c>
      <c r="B34" s="18" t="inlineStr">
        <is>
          <t>Dec 24</t>
        </is>
      </c>
      <c r="C34" s="18" t="inlineStr">
        <is>
          <t>Locked</t>
        </is>
      </c>
      <c r="D34" s="13" t="n">
        <v>92600</v>
      </c>
      <c r="E34" s="13" t="n">
        <v>59908</v>
      </c>
      <c r="F34" s="13">
        <f>D34-E34</f>
        <v/>
      </c>
      <c r="G34" s="14">
        <f>IF(D34=0,"",F34/D34)</f>
        <v/>
      </c>
    </row>
    <row r="35">
      <c r="A35" s="18" t="inlineStr">
        <is>
          <t>Installations</t>
        </is>
      </c>
      <c r="B35" s="18" t="inlineStr">
        <is>
          <t>Jan 25</t>
        </is>
      </c>
      <c r="C35" s="18" t="inlineStr">
        <is>
          <t>Locked</t>
        </is>
      </c>
      <c r="D35" s="13" t="n">
        <v>89400</v>
      </c>
      <c r="E35" s="13" t="n">
        <v>54678</v>
      </c>
      <c r="F35" s="13">
        <f>D35-E35</f>
        <v/>
      </c>
      <c r="G35" s="14">
        <f>IF(D35=0,"",F35/D35)</f>
        <v/>
      </c>
    </row>
    <row r="36">
      <c r="A36" s="18" t="inlineStr">
        <is>
          <t>Installations</t>
        </is>
      </c>
      <c r="B36" s="18" t="inlineStr">
        <is>
          <t>Feb 25</t>
        </is>
      </c>
      <c r="C36" s="18" t="inlineStr">
        <is>
          <t>Locked</t>
        </is>
      </c>
      <c r="D36" s="13" t="n">
        <v>106000</v>
      </c>
      <c r="E36" s="13" t="n">
        <v>74966</v>
      </c>
      <c r="F36" s="13">
        <f>D36-E36</f>
        <v/>
      </c>
      <c r="G36" s="14">
        <f>IF(D36=0,"",F36/D36)</f>
        <v/>
      </c>
    </row>
    <row r="37">
      <c r="A37" s="18" t="inlineStr">
        <is>
          <t>Installations</t>
        </is>
      </c>
      <c r="B37" s="18" t="inlineStr">
        <is>
          <t>Mar 25</t>
        </is>
      </c>
      <c r="C37" s="18" t="inlineStr">
        <is>
          <t>Locked</t>
        </is>
      </c>
      <c r="D37" s="13" t="n">
        <v>86100</v>
      </c>
      <c r="E37" s="13" t="n">
        <v>61664</v>
      </c>
      <c r="F37" s="13">
        <f>D37-E37</f>
        <v/>
      </c>
      <c r="G37" s="14">
        <f>IF(D37=0,"",F37/D37)</f>
        <v/>
      </c>
    </row>
    <row r="38">
      <c r="A38" s="18" t="inlineStr">
        <is>
          <t>Installations</t>
        </is>
      </c>
      <c r="B38" s="18" t="inlineStr">
        <is>
          <t>Apr 25</t>
        </is>
      </c>
      <c r="C38" s="18" t="inlineStr">
        <is>
          <t>Locked</t>
        </is>
      </c>
      <c r="D38" s="13" t="n">
        <v>74900</v>
      </c>
      <c r="E38" s="13" t="n">
        <v>52264</v>
      </c>
      <c r="F38" s="13">
        <f>D38-E38</f>
        <v/>
      </c>
      <c r="G38" s="14">
        <f>IF(D38=0,"",F38/D38)</f>
        <v/>
      </c>
    </row>
    <row r="39">
      <c r="A39" s="18" t="inlineStr">
        <is>
          <t>Installations</t>
        </is>
      </c>
      <c r="B39" s="18" t="inlineStr">
        <is>
          <t>May 25</t>
        </is>
      </c>
      <c r="C39" s="18" t="inlineStr">
        <is>
          <t>Locked</t>
        </is>
      </c>
      <c r="D39" s="13" t="n">
        <v>80300</v>
      </c>
      <c r="E39" s="13" t="n">
        <v>59534</v>
      </c>
      <c r="F39" s="13">
        <f>D39-E39</f>
        <v/>
      </c>
      <c r="G39" s="14">
        <f>IF(D39=0,"",F39/D39)</f>
        <v/>
      </c>
    </row>
    <row r="40">
      <c r="A40" s="18" t="inlineStr">
        <is>
          <t>Installations</t>
        </is>
      </c>
      <c r="B40" s="18" t="inlineStr">
        <is>
          <t>Jun 25</t>
        </is>
      </c>
      <c r="C40" s="18" t="inlineStr">
        <is>
          <t>Locked</t>
        </is>
      </c>
      <c r="D40" s="13" t="n">
        <v>112700</v>
      </c>
      <c r="E40" s="13" t="n">
        <v>72976</v>
      </c>
      <c r="F40" s="13">
        <f>D40-E40</f>
        <v/>
      </c>
      <c r="G40" s="14">
        <f>IF(D40=0,"",F40/D40)</f>
        <v/>
      </c>
    </row>
    <row r="41">
      <c r="A41" s="18" t="inlineStr">
        <is>
          <t>Installations</t>
        </is>
      </c>
      <c r="B41" s="18" t="inlineStr">
        <is>
          <t>Jul 25</t>
        </is>
      </c>
      <c r="C41" s="18" t="inlineStr">
        <is>
          <t>Locked</t>
        </is>
      </c>
      <c r="D41" s="13" t="n">
        <v>135800</v>
      </c>
      <c r="E41" s="13" t="n">
        <v>96920</v>
      </c>
      <c r="F41" s="13">
        <f>D41-E41</f>
        <v/>
      </c>
      <c r="G41" s="14">
        <f>IF(D41=0,"",F41/D41)</f>
        <v/>
      </c>
    </row>
    <row r="42">
      <c r="A42" s="18" t="inlineStr">
        <is>
          <t>Installations</t>
        </is>
      </c>
      <c r="B42" s="18" t="inlineStr">
        <is>
          <t>Aug 25</t>
        </is>
      </c>
      <c r="C42" s="18" t="inlineStr">
        <is>
          <t>Locked</t>
        </is>
      </c>
      <c r="D42" s="13" t="n">
        <v>86200</v>
      </c>
      <c r="E42" s="13" t="n">
        <v>53590</v>
      </c>
      <c r="F42" s="13">
        <f>D42-E42</f>
        <v/>
      </c>
      <c r="G42" s="14">
        <f>IF(D42=0,"",F42/D42)</f>
        <v/>
      </c>
    </row>
    <row r="43">
      <c r="A43" s="18" t="inlineStr">
        <is>
          <t>Installations</t>
        </is>
      </c>
      <c r="B43" s="18" t="inlineStr">
        <is>
          <t>Sep 25</t>
        </is>
      </c>
      <c r="C43" s="18" t="inlineStr">
        <is>
          <t>Locked</t>
        </is>
      </c>
      <c r="D43" s="13" t="n">
        <v>75100</v>
      </c>
      <c r="E43" s="13" t="n">
        <v>55440</v>
      </c>
      <c r="F43" s="13">
        <f>D43-E43</f>
        <v/>
      </c>
      <c r="G43" s="14">
        <f>IF(D43=0,"",F43/D43)</f>
        <v/>
      </c>
    </row>
    <row r="44">
      <c r="A44" s="18" t="inlineStr">
        <is>
          <t>Installations</t>
        </is>
      </c>
      <c r="B44" s="18" t="inlineStr">
        <is>
          <t>Oct 25</t>
        </is>
      </c>
      <c r="C44" s="18" t="inlineStr">
        <is>
          <t>Locked</t>
        </is>
      </c>
      <c r="D44" s="13" t="n">
        <v>70800</v>
      </c>
      <c r="E44" s="13" t="n">
        <v>52288</v>
      </c>
      <c r="F44" s="13">
        <f>D44-E44</f>
        <v/>
      </c>
      <c r="G44" s="14">
        <f>IF(D44=0,"",F44/D44)</f>
        <v/>
      </c>
    </row>
    <row r="45">
      <c r="A45" s="18" t="inlineStr">
        <is>
          <t>Call-outs and repairs</t>
        </is>
      </c>
      <c r="B45" s="18" t="inlineStr">
        <is>
          <t>Oct 24</t>
        </is>
      </c>
      <c r="C45" s="18" t="inlineStr">
        <is>
          <t>Locked</t>
        </is>
      </c>
      <c r="D45" s="13" t="n">
        <v>20039</v>
      </c>
      <c r="E45" s="13" t="n">
        <v>11484</v>
      </c>
      <c r="F45" s="13">
        <f>D45-E45</f>
        <v/>
      </c>
      <c r="G45" s="14">
        <f>IF(D45=0,"",F45/D45)</f>
        <v/>
      </c>
    </row>
    <row r="46">
      <c r="A46" s="18" t="inlineStr">
        <is>
          <t>Call-outs and repairs</t>
        </is>
      </c>
      <c r="B46" s="18" t="inlineStr">
        <is>
          <t>Nov 24</t>
        </is>
      </c>
      <c r="C46" s="18" t="inlineStr">
        <is>
          <t>Locked</t>
        </is>
      </c>
      <c r="D46" s="13" t="n">
        <v>23404</v>
      </c>
      <c r="E46" s="13" t="n">
        <v>13526</v>
      </c>
      <c r="F46" s="13">
        <f>D46-E46</f>
        <v/>
      </c>
      <c r="G46" s="14">
        <f>IF(D46=0,"",F46/D46)</f>
        <v/>
      </c>
    </row>
    <row r="47">
      <c r="A47" s="18" t="inlineStr">
        <is>
          <t>Call-outs and repairs</t>
        </is>
      </c>
      <c r="B47" s="18" t="inlineStr">
        <is>
          <t>Dec 24</t>
        </is>
      </c>
      <c r="C47" s="18" t="inlineStr">
        <is>
          <t>Locked</t>
        </is>
      </c>
      <c r="D47" s="13" t="n">
        <v>25886</v>
      </c>
      <c r="E47" s="13" t="n">
        <v>14988</v>
      </c>
      <c r="F47" s="13">
        <f>D47-E47</f>
        <v/>
      </c>
      <c r="G47" s="14">
        <f>IF(D47=0,"",F47/D47)</f>
        <v/>
      </c>
    </row>
    <row r="48">
      <c r="A48" s="18" t="inlineStr">
        <is>
          <t>Call-outs and repairs</t>
        </is>
      </c>
      <c r="B48" s="18" t="inlineStr">
        <is>
          <t>Jan 25</t>
        </is>
      </c>
      <c r="C48" s="18" t="inlineStr">
        <is>
          <t>Locked</t>
        </is>
      </c>
      <c r="D48" s="13" t="n">
        <v>26839</v>
      </c>
      <c r="E48" s="13" t="n">
        <v>15644</v>
      </c>
      <c r="F48" s="13">
        <f>D48-E48</f>
        <v/>
      </c>
      <c r="G48" s="14">
        <f>IF(D48=0,"",F48/D48)</f>
        <v/>
      </c>
    </row>
    <row r="49">
      <c r="A49" s="18" t="inlineStr">
        <is>
          <t>Call-outs and repairs</t>
        </is>
      </c>
      <c r="B49" s="18" t="inlineStr">
        <is>
          <t>Feb 25</t>
        </is>
      </c>
      <c r="C49" s="18" t="inlineStr">
        <is>
          <t>Locked</t>
        </is>
      </c>
      <c r="D49" s="13" t="n">
        <v>27013</v>
      </c>
      <c r="E49" s="13" t="n">
        <v>15600</v>
      </c>
      <c r="F49" s="13">
        <f>D49-E49</f>
        <v/>
      </c>
      <c r="G49" s="14">
        <f>IF(D49=0,"",F49/D49)</f>
        <v/>
      </c>
    </row>
    <row r="50">
      <c r="A50" s="18" t="inlineStr">
        <is>
          <t>Call-outs and repairs</t>
        </is>
      </c>
      <c r="B50" s="18" t="inlineStr">
        <is>
          <t>Mar 25</t>
        </is>
      </c>
      <c r="C50" s="18" t="inlineStr">
        <is>
          <t>Locked</t>
        </is>
      </c>
      <c r="D50" s="13" t="n">
        <v>21052</v>
      </c>
      <c r="E50" s="13" t="n">
        <v>12306</v>
      </c>
      <c r="F50" s="13">
        <f>D50-E50</f>
        <v/>
      </c>
      <c r="G50" s="14">
        <f>IF(D50=0,"",F50/D50)</f>
        <v/>
      </c>
    </row>
    <row r="51">
      <c r="A51" s="18" t="inlineStr">
        <is>
          <t>Call-outs and repairs</t>
        </is>
      </c>
      <c r="B51" s="18" t="inlineStr">
        <is>
          <t>Apr 25</t>
        </is>
      </c>
      <c r="C51" s="18" t="inlineStr">
        <is>
          <t>Locked</t>
        </is>
      </c>
      <c r="D51" s="13" t="n">
        <v>21875</v>
      </c>
      <c r="E51" s="13" t="n">
        <v>12762</v>
      </c>
      <c r="F51" s="13">
        <f>D51-E51</f>
        <v/>
      </c>
      <c r="G51" s="14">
        <f>IF(D51=0,"",F51/D51)</f>
        <v/>
      </c>
    </row>
    <row r="52">
      <c r="A52" s="18" t="inlineStr">
        <is>
          <t>Call-outs and repairs</t>
        </is>
      </c>
      <c r="B52" s="18" t="inlineStr">
        <is>
          <t>May 25</t>
        </is>
      </c>
      <c r="C52" s="18" t="inlineStr">
        <is>
          <t>Locked</t>
        </is>
      </c>
      <c r="D52" s="13" t="n">
        <v>21586</v>
      </c>
      <c r="E52" s="13" t="n">
        <v>12384</v>
      </c>
      <c r="F52" s="13">
        <f>D52-E52</f>
        <v/>
      </c>
      <c r="G52" s="14">
        <f>IF(D52=0,"",F52/D52)</f>
        <v/>
      </c>
    </row>
    <row r="53">
      <c r="A53" s="18" t="inlineStr">
        <is>
          <t>Call-outs and repairs</t>
        </is>
      </c>
      <c r="B53" s="18" t="inlineStr">
        <is>
          <t>Jun 25</t>
        </is>
      </c>
      <c r="C53" s="18" t="inlineStr">
        <is>
          <t>Locked</t>
        </is>
      </c>
      <c r="D53" s="13" t="n">
        <v>19543</v>
      </c>
      <c r="E53" s="13" t="n">
        <v>11162</v>
      </c>
      <c r="F53" s="13">
        <f>D53-E53</f>
        <v/>
      </c>
      <c r="G53" s="14">
        <f>IF(D53=0,"",F53/D53)</f>
        <v/>
      </c>
    </row>
    <row r="54">
      <c r="A54" s="18" t="inlineStr">
        <is>
          <t>Call-outs and repairs</t>
        </is>
      </c>
      <c r="B54" s="18" t="inlineStr">
        <is>
          <t>Jul 25</t>
        </is>
      </c>
      <c r="C54" s="18" t="inlineStr">
        <is>
          <t>Locked</t>
        </is>
      </c>
      <c r="D54" s="13" t="n">
        <v>17760</v>
      </c>
      <c r="E54" s="13" t="n">
        <v>9960</v>
      </c>
      <c r="F54" s="13">
        <f>D54-E54</f>
        <v/>
      </c>
      <c r="G54" s="14">
        <f>IF(D54=0,"",F54/D54)</f>
        <v/>
      </c>
    </row>
    <row r="55">
      <c r="A55" s="18" t="inlineStr">
        <is>
          <t>Call-outs and repairs</t>
        </is>
      </c>
      <c r="B55" s="18" t="inlineStr">
        <is>
          <t>Aug 25</t>
        </is>
      </c>
      <c r="C55" s="18" t="inlineStr">
        <is>
          <t>Locked</t>
        </is>
      </c>
      <c r="D55" s="13" t="n">
        <v>19764</v>
      </c>
      <c r="E55" s="13" t="n">
        <v>11222</v>
      </c>
      <c r="F55" s="13">
        <f>D55-E55</f>
        <v/>
      </c>
      <c r="G55" s="14">
        <f>IF(D55=0,"",F55/D55)</f>
        <v/>
      </c>
    </row>
    <row r="56">
      <c r="A56" s="18" t="inlineStr">
        <is>
          <t>Call-outs and repairs</t>
        </is>
      </c>
      <c r="B56" s="18" t="inlineStr">
        <is>
          <t>Sep 25</t>
        </is>
      </c>
      <c r="C56" s="18" t="inlineStr">
        <is>
          <t>Locked</t>
        </is>
      </c>
      <c r="D56" s="13" t="n">
        <v>19955</v>
      </c>
      <c r="E56" s="13" t="n">
        <v>11168</v>
      </c>
      <c r="F56" s="13">
        <f>D56-E56</f>
        <v/>
      </c>
      <c r="G56" s="14">
        <f>IF(D56=0,"",F56/D56)</f>
        <v/>
      </c>
    </row>
    <row r="57">
      <c r="A57" s="18" t="inlineStr">
        <is>
          <t>Call-outs and repairs</t>
        </is>
      </c>
      <c r="B57" s="18" t="inlineStr">
        <is>
          <t>Oct 25</t>
        </is>
      </c>
      <c r="C57" s="18" t="inlineStr">
        <is>
          <t>Locked</t>
        </is>
      </c>
      <c r="D57" s="13" t="n">
        <v>22298</v>
      </c>
      <c r="E57" s="13" t="n">
        <v>12648</v>
      </c>
      <c r="F57" s="13">
        <f>D57-E57</f>
        <v/>
      </c>
      <c r="G57" s="14">
        <f>IF(D57=0,"",F57/D57)</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 manualBreakCount="1">
    <brk id="3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2026-10-06T07:09:31Z</dcterms:created>
  <dcterms:modified xmlns:dcterms="http://purl.org/dc/terms/" xmlns:xsi="http://www.w3.org/2001/XMLSchema-instance" xsi:type="dcterms:W3CDTF">2026-10-06T07:09:31Z</dcterms:modified>
</cp:coreProperties>
</file>