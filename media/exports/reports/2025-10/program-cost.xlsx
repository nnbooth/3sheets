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'Report'!$A$1:$D$65</definedName>
    <definedName name="_xlnm.Print_Area" localSheetId="1">'Workings'!$A$1:$B$67</definedName>
    <definedName name="_xlnm.Print_Titles" localSheetId="2">'Data'!$9:$9</definedName>
    <definedName name="_xlnm.Print_Area" localSheetId="2">'Data'!$A$1:$F$14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October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'Report'!$A$11:$A$15</f>
            </numRef>
          </cat>
          <val>
            <numRef>
              <f>'Report'!$B$11:$B$15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207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4" headerRowCount="1">
  <autoFilter ref="A9:F14"/>
  <tableColumns count="6">
    <tableColumn id="1" name="Program"/>
    <tableColumn id="2" name="Grant spending, Oct 2025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10 Oct 2026, 9:55pm</t>
        </is>
      </c>
    </row>
    <row r="4"/>
    <row r="5" ht="32" customHeight="1">
      <c r="A5" s="3" t="inlineStr">
        <is>
          <t>In short: Housing support (2025) costs $46,631 in full in October: $20,031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October 2025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 (2025)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Emergency relief</t>
        </is>
      </c>
      <c r="B13" s="9">
        <f>Workings!B41</f>
        <v/>
      </c>
      <c r="C13" s="10">
        <f>Workings!B36</f>
        <v/>
      </c>
    </row>
    <row r="14">
      <c r="A14" t="inlineStr">
        <is>
          <t>Digital literacy</t>
        </is>
      </c>
      <c r="B14" s="9">
        <f>Workings!B54</f>
        <v/>
      </c>
      <c r="C14" s="10">
        <f>Workings!B49</f>
        <v/>
      </c>
    </row>
    <row r="15">
      <c r="A15" t="inlineStr">
        <is>
          <t>Community meals (2025-26)</t>
        </is>
      </c>
      <c r="B15" s="9">
        <f>Workings!B67</f>
        <v/>
      </c>
      <c r="C15" s="10">
        <f>Workings!B62</f>
        <v/>
      </c>
    </row>
    <row r="16"/>
    <row r="17"/>
    <row r="18"/>
    <row r="19"/>
    <row r="20"/>
    <row r="21"/>
    <row r="22"/>
    <row r="23">
      <c r="A23" s="11" t="inlineStr">
        <is>
          <t>What it shows</t>
        </is>
      </c>
    </row>
    <row r="24" ht="45" customHeight="1">
      <c r="A24" s="4" t="inlineStr">
        <is>
          <t>Housing support (2025) is the biggest program: $46,631 in October once its share of untied program costs and administration is added to $26,600 of grant spending. Shared costs add 75.3% on top of grant spending across all programs.</t>
        </is>
      </c>
    </row>
    <row r="25"/>
    <row r="26">
      <c r="A26" s="11" t="inlineStr">
        <is>
          <t>What you'd do about it</t>
        </is>
      </c>
    </row>
    <row r="27" ht="30" customHeight="1">
      <c r="A27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28"/>
    <row r="29">
      <c r="A29" s="5" t="inlineStr">
        <is>
          <t>Program: Housing support (2025)</t>
        </is>
      </c>
    </row>
    <row r="30">
      <c r="A30" s="11" t="inlineStr">
        <is>
          <t>What it shows</t>
        </is>
      </c>
    </row>
    <row r="31" ht="45" customHeight="1">
      <c r="A31" s="4" t="inlineStr">
        <is>
          <t>Housing support (2025) cost $46,631 in full in October: $26,600 paid by the State Housing Program grant, and $20,031 of shared costs no grant covers. It has spent 98.9% of its budget to date, with $59,100 left and 2 months to go.</t>
        </is>
      </c>
    </row>
    <row r="32"/>
    <row r="33">
      <c r="A33" s="11" t="inlineStr">
        <is>
          <t>What you'd do about it</t>
        </is>
      </c>
    </row>
    <row r="34" ht="30" customHeight="1">
      <c r="A34" s="4" t="inlineStr">
        <is>
          <t>The full cost is $46,631 a month; $20,031 of it is shared cost the grant doesn't pay for. Worth asking for as much of it as the funder allows at renewal.</t>
        </is>
      </c>
    </row>
    <row r="35"/>
    <row r="36">
      <c r="A36" s="5" t="inlineStr">
        <is>
          <t>Program: Youth outreach</t>
        </is>
      </c>
    </row>
    <row r="37">
      <c r="A37" s="11" t="inlineStr">
        <is>
          <t>What it shows</t>
        </is>
      </c>
    </row>
    <row r="38" ht="45" customHeight="1">
      <c r="A38" s="4" t="inlineStr">
        <is>
          <t>Youth outreach cost $38,436 in full in October: $21,925 paid by the State Department of Families grant, and $16,511 of shared costs no grant covers. It has spent 97.5% of its budget to date, with $402,031 left and 20 months to go.</t>
        </is>
      </c>
    </row>
    <row r="39"/>
    <row r="40">
      <c r="A40" s="11" t="inlineStr">
        <is>
          <t>What you'd do about it</t>
        </is>
      </c>
    </row>
    <row r="41" ht="30" customHeight="1">
      <c r="A41" s="4" t="inlineStr">
        <is>
          <t>The full cost is $38,436 a month; $16,511 of it is shared cost the grant doesn't pay for. Worth asking for as much of it as the funder allows at renewal.</t>
        </is>
      </c>
    </row>
    <row r="42"/>
    <row r="43">
      <c r="A43" s="5" t="inlineStr">
        <is>
          <t>Program: Emergency relief</t>
        </is>
      </c>
    </row>
    <row r="44">
      <c r="A44" s="11" t="inlineStr">
        <is>
          <t>What it shows</t>
        </is>
      </c>
    </row>
    <row r="45" ht="45" customHeight="1">
      <c r="A45" s="4" t="inlineStr">
        <is>
          <t>Emergency relief cost $21,563 in full in October: $12,300 paid by the Federal community grant grant, and $9,263 of shared costs no grant covers. It has spent 99.9% of its budget to date (spending before October 2024 taken at budget), with $24,300 left and 2 months to go.</t>
        </is>
      </c>
    </row>
    <row r="46"/>
    <row r="47">
      <c r="A47" s="11" t="inlineStr">
        <is>
          <t>What you'd do about it</t>
        </is>
      </c>
    </row>
    <row r="48" ht="30" customHeight="1">
      <c r="A48" s="4" t="inlineStr">
        <is>
          <t>The full cost is $21,563 a month; $9,263 of it is shared cost the grant doesn't pay for. Worth asking for as much of it as the funder allows at renewal.</t>
        </is>
      </c>
    </row>
    <row r="49"/>
    <row r="50">
      <c r="A50" s="5" t="inlineStr">
        <is>
          <t>Program: Digital literacy</t>
        </is>
      </c>
    </row>
    <row r="51">
      <c r="A51" s="11" t="inlineStr">
        <is>
          <t>What it shows</t>
        </is>
      </c>
    </row>
    <row r="52" ht="45" customHeight="1">
      <c r="A52" s="4" t="inlineStr">
        <is>
          <t>Digital literacy cost $9,046 in full in October: $5,160 paid by the Philanthropic foundation grant, and $3,886 of shared costs no grant covers. It has spent 103.2% of its budget to date, with $84,840 left and 17 months to go.</t>
        </is>
      </c>
    </row>
    <row r="53"/>
    <row r="54">
      <c r="A54" s="11" t="inlineStr">
        <is>
          <t>What you'd do about it</t>
        </is>
      </c>
    </row>
    <row r="55" ht="30" customHeight="1">
      <c r="A55" s="4" t="inlineStr">
        <is>
          <t>The full cost is $9,046 a month; $3,886 of it is shared cost the grant doesn't pay for. Worth asking for as much of it as the funder allows at renewal.</t>
        </is>
      </c>
    </row>
    <row r="56"/>
    <row r="57">
      <c r="A57" s="5" t="inlineStr">
        <is>
          <t>Program: Community meals (2025-26)</t>
        </is>
      </c>
    </row>
    <row r="58">
      <c r="A58" s="11" t="inlineStr">
        <is>
          <t>What it shows</t>
        </is>
      </c>
    </row>
    <row r="59" ht="45" customHeight="1">
      <c r="A59" s="4" t="inlineStr">
        <is>
          <t>Community meals (2025-26) cost $5,610 in full in October: $3,200 paid by the Local council community grant grant, and $2,410 of shared costs no grant covers. It has spent 96.1% of its budget to date, with $29,900 left and 8 months to go.</t>
        </is>
      </c>
    </row>
    <row r="60"/>
    <row r="61">
      <c r="A61" s="11" t="inlineStr">
        <is>
          <t>What you'd do about it</t>
        </is>
      </c>
    </row>
    <row r="62" ht="30" customHeight="1">
      <c r="A62" s="4" t="inlineStr">
        <is>
          <t>The full cost is $5,610 a month; $2,410 of it is shared cost the grant doesn't pay for. Worth asking for as much of it as the funder allows at renewal.</t>
        </is>
      </c>
    </row>
    <row r="63"/>
    <row r="64">
      <c r="A64" s="5" t="inlineStr">
        <is>
          <t>Every program at once</t>
        </is>
      </c>
    </row>
    <row r="65">
      <c r="A65" s="12" t="inlineStr">
        <is>
          <t>Grant spending, by month: every month is on the Data sheet.</t>
        </is>
      </c>
    </row>
    <row r="66"/>
    <row r="67"/>
  </sheetData>
  <mergeCells count="14">
    <mergeCell ref="A5:D5"/>
    <mergeCell ref="A45:D45"/>
    <mergeCell ref="A27:D27"/>
    <mergeCell ref="A31:D31"/>
    <mergeCell ref="A6:D6"/>
    <mergeCell ref="A34:D34"/>
    <mergeCell ref="A48:D48"/>
    <mergeCell ref="A62:D62"/>
    <mergeCell ref="A38:D38"/>
    <mergeCell ref="A55:D55"/>
    <mergeCell ref="A52:D52"/>
    <mergeCell ref="A59:D59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2" min="0" max="16383" man="1"/>
    <brk id="43" min="0" max="16383" man="1"/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10 Oct 2026, 9:55pm</t>
        </is>
      </c>
    </row>
    <row r="4"/>
    <row r="5">
      <c r="A5" s="5" t="inlineStr">
        <is>
          <t>Housing support (2025): full cost, October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Oct 2025</t>
        </is>
      </c>
    </row>
    <row r="8">
      <c r="A8" t="inlineStr">
        <is>
          <t>Grant spending on the program</t>
        </is>
      </c>
      <c r="B8" s="13" t="n">
        <v>26600</v>
      </c>
    </row>
    <row r="9">
      <c r="A9" t="inlineStr">
        <is>
          <t>All grant-funded program spending</t>
        </is>
      </c>
      <c r="B9" s="13" t="n">
        <v>69185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16800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35300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October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Oct 2025</t>
        </is>
      </c>
    </row>
    <row r="21">
      <c r="A21" t="inlineStr">
        <is>
          <t>Grant spending on the program</t>
        </is>
      </c>
      <c r="B21" s="13" t="n">
        <v>21925</v>
      </c>
    </row>
    <row r="22">
      <c r="A22" t="inlineStr">
        <is>
          <t>All grant-funded program spending</t>
        </is>
      </c>
      <c r="B22" s="13" t="n">
        <v>69185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16800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35300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Emergency relief: full cost, October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Oct 2025</t>
        </is>
      </c>
    </row>
    <row r="34">
      <c r="A34" t="inlineStr">
        <is>
          <t>Grant spending on the program</t>
        </is>
      </c>
      <c r="B34" s="13" t="n">
        <v>12300</v>
      </c>
    </row>
    <row r="35">
      <c r="A35" t="inlineStr">
        <is>
          <t>All grant-funded program spending</t>
        </is>
      </c>
      <c r="B35" s="13" t="n">
        <v>69185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16800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35300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Digital literacy: full cost, October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Oct 2025</t>
        </is>
      </c>
    </row>
    <row r="47">
      <c r="A47" t="inlineStr">
        <is>
          <t>Grant spending on the program</t>
        </is>
      </c>
      <c r="B47" s="13" t="n">
        <v>5160</v>
      </c>
    </row>
    <row r="48">
      <c r="A48" t="inlineStr">
        <is>
          <t>All grant-funded program spending</t>
        </is>
      </c>
      <c r="B48" s="13" t="n">
        <v>69185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16800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35300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>
      <c r="A57" s="5" t="inlineStr">
        <is>
          <t>Community meals (2025-26): full cost, October</t>
        </is>
      </c>
    </row>
    <row r="58">
      <c r="A58" s="12" t="inlineStr">
        <is>
          <t>Grant spending + its share of untied program costs and administration (shared by grant spending)</t>
        </is>
      </c>
    </row>
    <row r="59">
      <c r="A59" s="7" t="inlineStr"/>
      <c r="B59" s="8" t="inlineStr">
        <is>
          <t>Oct 2025</t>
        </is>
      </c>
    </row>
    <row r="60">
      <c r="A60" t="inlineStr">
        <is>
          <t>Grant spending on the program</t>
        </is>
      </c>
      <c r="B60" s="13" t="n">
        <v>3200</v>
      </c>
    </row>
    <row r="61">
      <c r="A61" t="inlineStr">
        <is>
          <t>All grant-funded program spending</t>
        </is>
      </c>
      <c r="B61" s="13" t="n">
        <v>69185</v>
      </c>
    </row>
    <row r="62">
      <c r="A62" t="inlineStr">
        <is>
          <t>Share of program spending</t>
        </is>
      </c>
      <c r="B62" s="14">
        <f>B60/B61</f>
        <v/>
      </c>
    </row>
    <row r="63">
      <c r="A63" t="inlineStr">
        <is>
          <t>Untied program costs (all programs)</t>
        </is>
      </c>
      <c r="B63" s="13" t="n">
        <v>16800</v>
      </c>
    </row>
    <row r="64">
      <c r="A64" t="inlineStr">
        <is>
          <t>Share of untied program costs</t>
        </is>
      </c>
      <c r="B64" s="13">
        <f>B62*B63</f>
        <v/>
      </c>
    </row>
    <row r="65">
      <c r="A65" t="inlineStr">
        <is>
          <t>Administration (all)</t>
        </is>
      </c>
      <c r="B65" s="13" t="n">
        <v>35300</v>
      </c>
    </row>
    <row r="66">
      <c r="A66" t="inlineStr">
        <is>
          <t>Share of administration</t>
        </is>
      </c>
      <c r="B66" s="13">
        <f>B62*B65</f>
        <v/>
      </c>
    </row>
    <row r="67">
      <c r="A67" s="15" t="inlineStr">
        <is>
          <t>Full cost of the program</t>
        </is>
      </c>
      <c r="B67" s="16">
        <f>B60+B64+B66</f>
        <v/>
      </c>
    </row>
    <row r="68"/>
    <row r="69"/>
    <row r="7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10 Oct 2026, 9:55pm</t>
        </is>
      </c>
    </row>
    <row r="4"/>
    <row r="5">
      <c r="A5" t="inlineStr">
        <is>
          <t>All grant-funded program spending, October 2025</t>
        </is>
      </c>
      <c r="B5" s="9" t="n">
        <v>69185</v>
      </c>
    </row>
    <row r="6">
      <c r="A6" t="inlineStr">
        <is>
          <t>Untied program costs, October 2025 (all programs)</t>
        </is>
      </c>
      <c r="B6" s="9" t="n">
        <v>16800</v>
      </c>
    </row>
    <row r="7">
      <c r="A7" t="inlineStr">
        <is>
          <t>Administration, October 2025 (all)</t>
        </is>
      </c>
      <c r="B7" s="9" t="n">
        <v>35300</v>
      </c>
    </row>
    <row r="8"/>
    <row r="9">
      <c r="A9" s="7" t="inlineStr">
        <is>
          <t>Program</t>
        </is>
      </c>
      <c r="B9" s="8" t="inlineStr">
        <is>
          <t>Grant spending, Oct 2025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 (2025)</t>
        </is>
      </c>
      <c r="B10" s="13" t="n">
        <v>26600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21925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Emergency relief</t>
        </is>
      </c>
      <c r="B12" s="13" t="n">
        <v>12300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Digital literacy</t>
        </is>
      </c>
      <c r="B13" s="13" t="n">
        <v>5160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  <row r="14">
      <c r="A14" s="17" t="inlineStr">
        <is>
          <t>Community meals (2025-26)</t>
        </is>
      </c>
      <c r="B14" s="13" t="n">
        <v>3200</v>
      </c>
      <c r="C14" s="14">
        <f>B14/$B$5</f>
        <v/>
      </c>
      <c r="D14" s="13">
        <f>C14*$B$6</f>
        <v/>
      </c>
      <c r="E14" s="13">
        <f>C14*$B$7</f>
        <v/>
      </c>
      <c r="F14" s="13">
        <f>B14+D14+E14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2026-10-10T11:56:59Z</dcterms:created>
  <dcterms:modified xmlns:dcterms="http://purl.org/dc/terms/" xmlns:xsi="http://www.w3.org/2001/XMLSchema-instance" xsi:type="dcterms:W3CDTF">2026-10-10T11:56:59Z</dcterms:modified>
</cp:coreProperties>
</file>