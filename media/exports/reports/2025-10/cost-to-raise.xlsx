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_xlnm.Print_Titles" localSheetId="2">'Data'!$5:$5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&quot;¢&quot;;[Red](0&quot;¢&quot;)"/>
  </numFmts>
  <fonts count="10">
    <font>
      <name val="Calibri"/>
      <family val="2"/>
      <color theme="1"/>
      <sz val="11"/>
      <scheme val="minor"/>
    </font>
    <font>
      <b val="1"/>
      <color rgb="0025342A"/>
      <sz val="14"/>
    </font>
    <font>
      <i val="1"/>
      <color rgb="005F6F63"/>
      <sz val="9"/>
    </font>
    <font>
      <b val="1"/>
      <color rgb="002F7A5D"/>
      <sz val="12"/>
    </font>
    <font>
      <b val="1"/>
      <color rgb="00FFFFFF"/>
    </font>
    <font>
      <i val="1"/>
      <color rgb="005F6F63"/>
    </font>
    <font>
      <b val="1"/>
    </font>
    <font>
      <color rgb="005F6F63"/>
    </font>
    <font>
      <b val="1"/>
      <color rgb="0025342A"/>
    </font>
    <font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right" vertical="center" wrapText="1"/>
    </xf>
    <xf numFmtId="165" fontId="0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4" fontId="0" fillId="0" borderId="0" pivotButton="0" quotePrefix="0" xfId="0"/>
    <xf numFmtId="0" fontId="5" fillId="0" borderId="0" pivotButton="0" quotePrefix="0" xfId="0"/>
    <xf numFmtId="164" fontId="0" fillId="0" borderId="0" applyAlignment="1" pivotButton="0" quotePrefix="0" xfId="0">
      <alignment horizontal="right"/>
    </xf>
    <xf numFmtId="0" fontId="6" fillId="0" borderId="1" pivotButton="0" quotePrefix="0" xfId="0"/>
    <xf numFmtId="165" fontId="6" fillId="0" borderId="1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164" fontId="6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59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What does it cost to raise a dollar?</t>
        </is>
      </c>
    </row>
    <row r="2">
      <c r="A2" s="2" t="inlineStr">
        <is>
          <t>Sample Community Services Ltd · SAMPLE DATA (invented) · The Fourth Sheet</t>
        </is>
      </c>
    </row>
    <row r="3">
      <c r="A3" s="2" t="inlineStr">
        <is>
          <t>Period: October 2025 · Data status: Sep 2025 locked · Oct 2025 locked · Oct 2026 incomplete (data retrieved 2pm, Tue 6 Oct 2026)</t>
        </is>
      </c>
    </row>
    <row r="4"/>
    <row r="5" ht="32" customHeight="1">
      <c r="A5" s="3" t="inlineStr">
        <is>
          <t>What fundraising costs (grant writing, donor campaigns, events) for every dollar it brings in. Pick a source and every number, chart and note follows it.</t>
        </is>
      </c>
    </row>
    <row r="6"/>
    <row r="7">
      <c r="A7" s="4" t="inlineStr">
        <is>
          <t>Source: All fundraising</t>
        </is>
      </c>
    </row>
    <row r="8">
      <c r="A8" s="5" t="inlineStr">
        <is>
          <t>Headline number</t>
        </is>
      </c>
      <c r="B8" s="6" t="inlineStr">
        <is>
          <t>Value</t>
        </is>
      </c>
      <c r="C8" s="6" t="inlineStr">
        <is>
          <t>Compared with</t>
        </is>
      </c>
    </row>
    <row r="9">
      <c r="A9" t="inlineStr">
        <is>
          <t>October · all fundraising</t>
        </is>
      </c>
      <c r="B9" s="7">
        <f>Workings!B10</f>
        <v/>
      </c>
      <c r="C9" s="8" t="inlineStr">
        <is>
          <t>September 21¢</t>
        </is>
      </c>
    </row>
    <row r="10">
      <c r="A10" t="inlineStr">
        <is>
          <t>Year to date (Jul to Oct 2025)</t>
        </is>
      </c>
      <c r="B10" s="7">
        <f>Workings!B18</f>
        <v/>
      </c>
      <c r="C10" s="8" t="inlineStr">
        <is>
          <t>same period last year: not in the data</t>
        </is>
      </c>
    </row>
    <row r="11"/>
    <row r="12">
      <c r="A12" s="9" t="inlineStr">
        <is>
          <t>Cost to raise a dollar, by source, October 2025 (cents)</t>
        </is>
      </c>
    </row>
    <row r="13">
      <c r="A13" s="5" t="inlineStr"/>
      <c r="B13" s="6" t="inlineStr">
        <is>
          <t>Value</t>
        </is>
      </c>
    </row>
    <row r="14">
      <c r="A14" t="inlineStr">
        <is>
          <t>Grants</t>
        </is>
      </c>
      <c r="B14" s="7" t="n">
        <v>10</v>
      </c>
    </row>
    <row r="15">
      <c r="A15" t="inlineStr">
        <is>
          <t>Donations</t>
        </is>
      </c>
      <c r="B15" s="7" t="n">
        <v>14</v>
      </c>
    </row>
    <row r="16"/>
    <row r="17">
      <c r="A17" s="10" t="inlineStr">
        <is>
          <t>What it shows</t>
        </is>
      </c>
    </row>
    <row r="18" ht="30" customHeight="1">
      <c r="A18" s="3" t="inlineStr">
        <is>
          <t>October cost 11¢ to raise each dollar, against 21¢ in September. This financial year to date it has cost 15¢ a dollar.</t>
        </is>
      </c>
    </row>
    <row r="19"/>
    <row r="20">
      <c r="A20" s="10" t="inlineStr">
        <is>
          <t>What you'd do about it</t>
        </is>
      </c>
    </row>
    <row r="21" ht="30" customHeight="1">
      <c r="A21" s="3" t="inlineStr">
        <is>
          <t>The year-to-date figure is steadier than single months: events make some months jump. Pick a source above to see which one moves it.</t>
        </is>
      </c>
    </row>
    <row r="22"/>
    <row r="23">
      <c r="A23" s="4" t="inlineStr">
        <is>
          <t>Source: Grants</t>
        </is>
      </c>
    </row>
    <row r="24">
      <c r="A24" s="5" t="inlineStr">
        <is>
          <t>Headline number</t>
        </is>
      </c>
      <c r="B24" s="6" t="inlineStr">
        <is>
          <t>Value</t>
        </is>
      </c>
      <c r="C24" s="6" t="inlineStr">
        <is>
          <t>Compared with</t>
        </is>
      </c>
    </row>
    <row r="25">
      <c r="A25" t="inlineStr">
        <is>
          <t>October · Grants</t>
        </is>
      </c>
      <c r="B25" s="7">
        <f>Workings!B39</f>
        <v/>
      </c>
      <c r="C25" s="8" t="inlineStr">
        <is>
          <t>September 11¢</t>
        </is>
      </c>
    </row>
    <row r="26">
      <c r="A26" t="inlineStr">
        <is>
          <t>Year to date (Jul to Oct 2025)</t>
        </is>
      </c>
      <c r="B26" s="7">
        <f>Workings!B47</f>
        <v/>
      </c>
      <c r="C26" s="8" t="inlineStr">
        <is>
          <t>same period last year: not in the data</t>
        </is>
      </c>
    </row>
    <row r="27"/>
    <row r="28">
      <c r="A28" s="10" t="inlineStr">
        <is>
          <t>What it shows</t>
        </is>
      </c>
    </row>
    <row r="29" ht="30" customHeight="1">
      <c r="A29" s="3" t="inlineStr">
        <is>
          <t>Grants cost 11¢ to raise each dollar this financial year to date ($28,400 of grant writing and reporting for $251,929).</t>
        </is>
      </c>
    </row>
    <row r="30"/>
    <row r="31">
      <c r="A31" s="10" t="inlineStr">
        <is>
          <t>What you'd do about it</t>
        </is>
      </c>
    </row>
    <row r="32" ht="30" customHeight="1">
      <c r="A32" s="3" t="inlineStr">
        <is>
          <t>Usually the cheapest money to raise, as long as the time that goes into applications and acquittals is protected.</t>
        </is>
      </c>
    </row>
    <row r="33"/>
    <row r="34">
      <c r="A34" s="4" t="inlineStr">
        <is>
          <t>Source: Donations</t>
        </is>
      </c>
    </row>
    <row r="35">
      <c r="A35" s="5" t="inlineStr">
        <is>
          <t>Headline number</t>
        </is>
      </c>
      <c r="B35" s="6" t="inlineStr">
        <is>
          <t>Value</t>
        </is>
      </c>
      <c r="C35" s="6" t="inlineStr">
        <is>
          <t>Compared with</t>
        </is>
      </c>
    </row>
    <row r="36">
      <c r="A36" t="inlineStr">
        <is>
          <t>October · Donations</t>
        </is>
      </c>
      <c r="B36" s="7">
        <f>Workings!B56</f>
        <v/>
      </c>
      <c r="C36" s="8" t="inlineStr">
        <is>
          <t>September 14¢</t>
        </is>
      </c>
    </row>
    <row r="37">
      <c r="A37" t="inlineStr">
        <is>
          <t>Year to date (Jul to Oct 2025)</t>
        </is>
      </c>
      <c r="B37" s="7">
        <f>Workings!B64</f>
        <v/>
      </c>
      <c r="C37" s="8" t="inlineStr">
        <is>
          <t>same period last year: not in the data</t>
        </is>
      </c>
    </row>
    <row r="38"/>
    <row r="39">
      <c r="A39" s="10" t="inlineStr">
        <is>
          <t>What it shows</t>
        </is>
      </c>
    </row>
    <row r="40" ht="30" customHeight="1">
      <c r="A40" s="3" t="inlineStr">
        <is>
          <t>Donations cost 14¢ to raise each dollar this financial year to date ($8,800 of donor campaigns for $61,800).</t>
        </is>
      </c>
    </row>
    <row r="41"/>
    <row r="42">
      <c r="A42" s="10" t="inlineStr">
        <is>
          <t>What you'd do about it</t>
        </is>
      </c>
    </row>
    <row r="43" ht="30" customHeight="1">
      <c r="A43" s="3" t="inlineStr">
        <is>
          <t>Steady and cheap, and untied: the money that builds reserves.</t>
        </is>
      </c>
    </row>
    <row r="44"/>
    <row r="45">
      <c r="A45" s="4" t="inlineStr">
        <is>
          <t>Source: Fundraising events</t>
        </is>
      </c>
    </row>
    <row r="46">
      <c r="A46" s="5" t="inlineStr">
        <is>
          <t>Headline number</t>
        </is>
      </c>
      <c r="B46" s="6" t="inlineStr">
        <is>
          <t>Value</t>
        </is>
      </c>
      <c r="C46" s="6" t="inlineStr">
        <is>
          <t>Compared with</t>
        </is>
      </c>
    </row>
    <row r="47">
      <c r="A47" t="inlineStr">
        <is>
          <t>October · Fundraising events</t>
        </is>
      </c>
      <c r="B47" s="11">
        <f>Workings!B72</f>
        <v/>
      </c>
      <c r="C47" s="8" t="inlineStr">
        <is>
          <t>September 41¢</t>
        </is>
      </c>
    </row>
    <row r="48">
      <c r="A48" t="inlineStr">
        <is>
          <t>Year to date (Jul to Oct 2025)</t>
        </is>
      </c>
      <c r="B48" s="7">
        <f>Workings!B81</f>
        <v/>
      </c>
      <c r="C48" s="8" t="inlineStr">
        <is>
          <t>same period last year: not in the data</t>
        </is>
      </c>
    </row>
    <row r="49"/>
    <row r="50">
      <c r="A50" s="10" t="inlineStr">
        <is>
          <t>What it shows</t>
        </is>
      </c>
    </row>
    <row r="51" ht="30" customHeight="1">
      <c r="A51" s="3" t="inlineStr">
        <is>
          <t>Fundraising events cost 41¢ to raise each dollar this financial year to date ($15,200 of event costs for $36,800).</t>
        </is>
      </c>
    </row>
    <row r="52"/>
    <row r="53">
      <c r="A53" s="10" t="inlineStr">
        <is>
          <t>What you'd do about it</t>
        </is>
      </c>
    </row>
    <row r="54" ht="30" customHeight="1">
      <c r="A54" s="3" t="inlineStr">
        <is>
          <t>Usually the dearest money to raise: events are worth counting for what else they bring too (new donors, profile).</t>
        </is>
      </c>
    </row>
    <row r="55"/>
    <row r="56">
      <c r="A56" s="4" t="inlineStr">
        <is>
          <t>Every source at once</t>
        </is>
      </c>
    </row>
    <row r="57">
      <c r="A57" s="12" t="inlineStr">
        <is>
          <t>Cost to raise a dollar, by month (cents): every month is on the Data sheet.</t>
        </is>
      </c>
    </row>
    <row r="58"/>
    <row r="59"/>
  </sheetData>
  <mergeCells count="9">
    <mergeCell ref="A5:D5"/>
    <mergeCell ref="A40:D40"/>
    <mergeCell ref="A18:D18"/>
    <mergeCell ref="A21:D21"/>
    <mergeCell ref="A54:D54"/>
    <mergeCell ref="A29:D29"/>
    <mergeCell ref="A43:D43"/>
    <mergeCell ref="A51:D51"/>
    <mergeCell ref="A32:D32"/>
  </mergeCells>
  <printOptions horizontalCentered="1"/>
  <pageMargins left="0.5" right="0.5" top="0.75" bottom="0.75" header="0.5" footer="0.5"/>
  <pageSetup orientation="landscape" paperSize="9" fitToHeight="0" fitToWidth="1"/>
  <headerFooter>
    <oddHeader>&amp;L&amp;8 Sample Community Services Ltd&amp;R&amp;8 &amp;A</oddHeader>
    <oddFooter>&amp;L&amp;8 cost-to-raise.xlsx&amp;C&amp;8 Data retrieved 2pm, Tue 6 Oct 2026&amp;R&amp;8 Page &amp;P of &amp;N</oddFooter>
    <evenHeader/>
    <evenFooter/>
    <firstHeader/>
    <firstFooter/>
  </headerFooter>
  <rowBreaks count="2" manualBreakCount="2">
    <brk id="27" min="0" max="16383" man="1"/>
    <brk id="49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85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</t>
        </is>
      </c>
    </row>
    <row r="3">
      <c r="A3" s="2" t="inlineStr">
        <is>
          <t>Period: October 2025 · Data status: Sep 2025 locked · Oct 2025 locked · Oct 2026 incomplete (data retrieved 2pm, Tue 6 Oct 2026)</t>
        </is>
      </c>
    </row>
    <row r="4"/>
    <row r="5">
      <c r="A5" s="4" t="inlineStr">
        <is>
          <t>Cost to raise a dollar, all fundraising, October and September</t>
        </is>
      </c>
    </row>
    <row r="6">
      <c r="A6" s="12" t="inlineStr">
        <is>
          <t>Cost of raising it ÷ money raised, in cents</t>
        </is>
      </c>
    </row>
    <row r="7">
      <c r="A7" s="5" t="inlineStr"/>
      <c r="B7" s="6" t="inlineStr">
        <is>
          <t>Oct 25</t>
        </is>
      </c>
      <c r="C7" s="6" t="inlineStr">
        <is>
          <t>Sep 25</t>
        </is>
      </c>
    </row>
    <row r="8">
      <c r="A8" t="inlineStr">
        <is>
          <t>Cost of raising it</t>
        </is>
      </c>
      <c r="B8" s="13" t="n">
        <v>9300</v>
      </c>
      <c r="C8" s="13" t="n">
        <v>24500</v>
      </c>
    </row>
    <row r="9">
      <c r="A9" t="inlineStr">
        <is>
          <t>Money raised</t>
        </is>
      </c>
      <c r="B9" s="13" t="n">
        <v>85385</v>
      </c>
      <c r="C9" s="13" t="n">
        <v>115037</v>
      </c>
    </row>
    <row r="10">
      <c r="A10" s="14" t="inlineStr">
        <is>
          <t>Cents per dollar</t>
        </is>
      </c>
      <c r="B10" s="15">
        <f>B8/B9*100</f>
        <v/>
      </c>
      <c r="C10" s="15">
        <f>C8/C9*100</f>
        <v/>
      </c>
    </row>
    <row r="11"/>
    <row r="12"/>
    <row r="13">
      <c r="A13" s="4" t="inlineStr">
        <is>
          <t>Cost to raise a dollar, all fundraising, year to date</t>
        </is>
      </c>
    </row>
    <row r="14">
      <c r="A14" s="12" t="inlineStr">
        <is>
          <t>Cost ÷ money raised, in cents</t>
        </is>
      </c>
    </row>
    <row r="15">
      <c r="A15" s="5" t="inlineStr"/>
      <c r="B15" s="6" t="inlineStr">
        <is>
          <t>Year to date</t>
        </is>
      </c>
    </row>
    <row r="16">
      <c r="A16" t="inlineStr">
        <is>
          <t>Cost, year to date</t>
        </is>
      </c>
      <c r="B16" s="13" t="n">
        <v>52400</v>
      </c>
    </row>
    <row r="17">
      <c r="A17" t="inlineStr">
        <is>
          <t>Raised, year to date</t>
        </is>
      </c>
      <c r="B17" s="13" t="n">
        <v>350529</v>
      </c>
    </row>
    <row r="18">
      <c r="A18" s="14" t="inlineStr">
        <is>
          <t>Cents, year to date</t>
        </is>
      </c>
      <c r="B18" s="15">
        <f>B16/B17*100</f>
        <v/>
      </c>
    </row>
    <row r="19">
      <c r="A19" s="2" t="inlineStr">
        <is>
          <t>Same period last year: Not available: the data starts October 2024.</t>
        </is>
      </c>
    </row>
    <row r="20"/>
    <row r="21"/>
    <row r="22">
      <c r="A22" s="4" t="inlineStr">
        <is>
          <t>Cost to raise a dollar, by source, October 2025</t>
        </is>
      </c>
    </row>
    <row r="23">
      <c r="A23" s="12" t="inlineStr">
        <is>
          <t>Fundraising cost ÷ money raised, for each source, in cents</t>
        </is>
      </c>
    </row>
    <row r="24">
      <c r="A24" s="5" t="inlineStr"/>
      <c r="B24" s="6" t="inlineStr">
        <is>
          <t>Oct 2025</t>
        </is>
      </c>
    </row>
    <row r="25">
      <c r="A25" t="inlineStr">
        <is>
          <t>Grants: cost (grant writing and reporting)</t>
        </is>
      </c>
      <c r="B25" s="13" t="n">
        <v>7100</v>
      </c>
    </row>
    <row r="26">
      <c r="A26" t="inlineStr">
        <is>
          <t>Grants: raised</t>
        </is>
      </c>
      <c r="B26" s="13" t="n">
        <v>69185</v>
      </c>
    </row>
    <row r="27">
      <c r="A27" t="inlineStr">
        <is>
          <t>Donations: cost (donor campaigns)</t>
        </is>
      </c>
      <c r="B27" s="13" t="n">
        <v>2200</v>
      </c>
    </row>
    <row r="28">
      <c r="A28" t="inlineStr">
        <is>
          <t>Donations: raised</t>
        </is>
      </c>
      <c r="B28" s="13" t="n">
        <v>16200</v>
      </c>
    </row>
    <row r="29">
      <c r="A29" t="inlineStr">
        <is>
          <t>Grants: cost per dollar raised</t>
        </is>
      </c>
      <c r="B29" s="16">
        <f>B25/B26*100</f>
        <v/>
      </c>
    </row>
    <row r="30">
      <c r="A30" s="14" t="inlineStr">
        <is>
          <t>Donations: cost per dollar raised</t>
        </is>
      </c>
      <c r="B30" s="15">
        <f>B27/B28*100</f>
        <v/>
      </c>
    </row>
    <row r="31">
      <c r="A31" s="2" t="inlineStr">
        <is>
          <t xml:space="preserve">Nothing raised from fundraising events in October. </t>
        </is>
      </c>
    </row>
    <row r="32"/>
    <row r="33"/>
    <row r="34">
      <c r="A34" s="4" t="inlineStr">
        <is>
          <t>Cost to raise a dollar, grants, October and September</t>
        </is>
      </c>
    </row>
    <row r="35">
      <c r="A35" s="12" t="inlineStr">
        <is>
          <t>Cost of raising it ÷ money raised, in cents</t>
        </is>
      </c>
    </row>
    <row r="36">
      <c r="A36" s="5" t="inlineStr"/>
      <c r="B36" s="6" t="inlineStr">
        <is>
          <t>Oct 25</t>
        </is>
      </c>
      <c r="C36" s="6" t="inlineStr">
        <is>
          <t>Sep 25</t>
        </is>
      </c>
    </row>
    <row r="37">
      <c r="A37" t="inlineStr">
        <is>
          <t>Cost of raising it</t>
        </is>
      </c>
      <c r="B37" s="13" t="n">
        <v>7100</v>
      </c>
      <c r="C37" s="13" t="n">
        <v>7100</v>
      </c>
    </row>
    <row r="38">
      <c r="A38" t="inlineStr">
        <is>
          <t>Money raised</t>
        </is>
      </c>
      <c r="B38" s="13" t="n">
        <v>69185</v>
      </c>
      <c r="C38" s="13" t="n">
        <v>62137</v>
      </c>
    </row>
    <row r="39">
      <c r="A39" s="14" t="inlineStr">
        <is>
          <t>Cents per dollar</t>
        </is>
      </c>
      <c r="B39" s="15">
        <f>B37/B38*100</f>
        <v/>
      </c>
      <c r="C39" s="15">
        <f>C37/C38*100</f>
        <v/>
      </c>
    </row>
    <row r="40"/>
    <row r="41"/>
    <row r="42">
      <c r="A42" s="4" t="inlineStr">
        <is>
          <t>Cost to raise a dollar, grants, year to date</t>
        </is>
      </c>
    </row>
    <row r="43">
      <c r="A43" s="12" t="inlineStr">
        <is>
          <t>Cost ÷ money raised, in cents</t>
        </is>
      </c>
    </row>
    <row r="44">
      <c r="A44" s="5" t="inlineStr"/>
      <c r="B44" s="6" t="inlineStr">
        <is>
          <t>Year to date</t>
        </is>
      </c>
    </row>
    <row r="45">
      <c r="A45" t="inlineStr">
        <is>
          <t>Cost, year to date</t>
        </is>
      </c>
      <c r="B45" s="13" t="n">
        <v>28400</v>
      </c>
    </row>
    <row r="46">
      <c r="A46" t="inlineStr">
        <is>
          <t>Raised, year to date</t>
        </is>
      </c>
      <c r="B46" s="13" t="n">
        <v>251929</v>
      </c>
    </row>
    <row r="47">
      <c r="A47" s="14" t="inlineStr">
        <is>
          <t>Cents, year to date</t>
        </is>
      </c>
      <c r="B47" s="15">
        <f>B45/B46*100</f>
        <v/>
      </c>
    </row>
    <row r="48">
      <c r="A48" s="2" t="inlineStr">
        <is>
          <t>Same period last year: Not available: the data starts October 2024.</t>
        </is>
      </c>
    </row>
    <row r="49"/>
    <row r="50"/>
    <row r="51">
      <c r="A51" s="4" t="inlineStr">
        <is>
          <t>Cost to raise a dollar, donations, October and September</t>
        </is>
      </c>
    </row>
    <row r="52">
      <c r="A52" s="12" t="inlineStr">
        <is>
          <t>Cost of raising it ÷ money raised, in cents</t>
        </is>
      </c>
    </row>
    <row r="53">
      <c r="A53" s="5" t="inlineStr"/>
      <c r="B53" s="6" t="inlineStr">
        <is>
          <t>Oct 25</t>
        </is>
      </c>
      <c r="C53" s="6" t="inlineStr">
        <is>
          <t>Sep 25</t>
        </is>
      </c>
    </row>
    <row r="54">
      <c r="A54" t="inlineStr">
        <is>
          <t>Cost of raising it</t>
        </is>
      </c>
      <c r="B54" s="13" t="n">
        <v>2200</v>
      </c>
      <c r="C54" s="13" t="n">
        <v>2200</v>
      </c>
    </row>
    <row r="55">
      <c r="A55" t="inlineStr">
        <is>
          <t>Money raised</t>
        </is>
      </c>
      <c r="B55" s="13" t="n">
        <v>16200</v>
      </c>
      <c r="C55" s="13" t="n">
        <v>16100</v>
      </c>
    </row>
    <row r="56">
      <c r="A56" s="14" t="inlineStr">
        <is>
          <t>Cents per dollar</t>
        </is>
      </c>
      <c r="B56" s="15">
        <f>B54/B55*100</f>
        <v/>
      </c>
      <c r="C56" s="15">
        <f>C54/C55*100</f>
        <v/>
      </c>
    </row>
    <row r="57"/>
    <row r="58"/>
    <row r="59">
      <c r="A59" s="4" t="inlineStr">
        <is>
          <t>Cost to raise a dollar, donations, year to date</t>
        </is>
      </c>
    </row>
    <row r="60">
      <c r="A60" s="12" t="inlineStr">
        <is>
          <t>Cost ÷ money raised, in cents</t>
        </is>
      </c>
    </row>
    <row r="61">
      <c r="A61" s="5" t="inlineStr"/>
      <c r="B61" s="6" t="inlineStr">
        <is>
          <t>Year to date</t>
        </is>
      </c>
    </row>
    <row r="62">
      <c r="A62" t="inlineStr">
        <is>
          <t>Cost, year to date</t>
        </is>
      </c>
      <c r="B62" s="13" t="n">
        <v>8800</v>
      </c>
    </row>
    <row r="63">
      <c r="A63" t="inlineStr">
        <is>
          <t>Raised, year to date</t>
        </is>
      </c>
      <c r="B63" s="13" t="n">
        <v>61800</v>
      </c>
    </row>
    <row r="64">
      <c r="A64" s="14" t="inlineStr">
        <is>
          <t>Cents, year to date</t>
        </is>
      </c>
      <c r="B64" s="15">
        <f>B62/B63*100</f>
        <v/>
      </c>
    </row>
    <row r="65">
      <c r="A65" s="2" t="inlineStr">
        <is>
          <t>Same period last year: Not available: the data starts October 2024.</t>
        </is>
      </c>
    </row>
    <row r="66"/>
    <row r="67"/>
    <row r="68">
      <c r="A68" s="4" t="inlineStr">
        <is>
          <t>Cost to raise a dollar, fundraising events, October and September</t>
        </is>
      </c>
    </row>
    <row r="69">
      <c r="A69" s="12" t="inlineStr">
        <is>
          <t>Cost of raising it ÷ money raised, in cents</t>
        </is>
      </c>
    </row>
    <row r="70">
      <c r="A70" s="5" t="inlineStr"/>
      <c r="B70" s="6" t="inlineStr">
        <is>
          <t>Oct 25</t>
        </is>
      </c>
      <c r="C70" s="6" t="inlineStr">
        <is>
          <t>Sep 25</t>
        </is>
      </c>
    </row>
    <row r="71">
      <c r="A71" t="inlineStr">
        <is>
          <t>Cost of raising it</t>
        </is>
      </c>
      <c r="B71" s="13" t="n">
        <v>0</v>
      </c>
      <c r="C71" s="13" t="n">
        <v>15200</v>
      </c>
    </row>
    <row r="72">
      <c r="A72" s="14" t="inlineStr">
        <is>
          <t>Money raised</t>
        </is>
      </c>
      <c r="B72" s="17" t="n">
        <v>0</v>
      </c>
      <c r="C72" s="17" t="n">
        <v>36800</v>
      </c>
    </row>
    <row r="73">
      <c r="A73" s="2" t="inlineStr">
        <is>
          <t>Nothing raised in one of the months, so there's no cost per dollar for it.</t>
        </is>
      </c>
    </row>
    <row r="74"/>
    <row r="75"/>
    <row r="76">
      <c r="A76" s="4" t="inlineStr">
        <is>
          <t>Cost to raise a dollar, fundraising events, year to date</t>
        </is>
      </c>
    </row>
    <row r="77">
      <c r="A77" s="12" t="inlineStr">
        <is>
          <t>Cost ÷ money raised, in cents</t>
        </is>
      </c>
    </row>
    <row r="78">
      <c r="A78" s="5" t="inlineStr"/>
      <c r="B78" s="6" t="inlineStr">
        <is>
          <t>Year to date</t>
        </is>
      </c>
    </row>
    <row r="79">
      <c r="A79" t="inlineStr">
        <is>
          <t>Cost, year to date</t>
        </is>
      </c>
      <c r="B79" s="13" t="n">
        <v>15200</v>
      </c>
    </row>
    <row r="80">
      <c r="A80" t="inlineStr">
        <is>
          <t>Raised, year to date</t>
        </is>
      </c>
      <c r="B80" s="13" t="n">
        <v>36800</v>
      </c>
    </row>
    <row r="81">
      <c r="A81" s="14" t="inlineStr">
        <is>
          <t>Cents, year to date</t>
        </is>
      </c>
      <c r="B81" s="15">
        <f>B79/B80*100</f>
        <v/>
      </c>
    </row>
    <row r="82">
      <c r="A82" s="2" t="inlineStr">
        <is>
          <t>Same period last year: Not available: the data starts October 2024.</t>
        </is>
      </c>
    </row>
    <row r="83"/>
    <row r="84"/>
    <row r="85"/>
  </sheetData>
  <printOptions horizontalCentered="1"/>
  <pageMargins left="0.5" right="0.5" top="0.75" bottom="0.75" header="0.5" footer="0.5"/>
  <pageSetup orientation="landscape" paperSize="9" fitToHeight="0" fitToWidth="1"/>
  <headerFooter>
    <oddHeader>&amp;L&amp;8 Sample Community Services Ltd&amp;R&amp;8 &amp;A</oddHeader>
    <oddFooter>&amp;L&amp;8 cost-to-raise.xlsx&amp;C&amp;8 Data retrieved 2pm, Tue 6 Oct 2026&amp;R&amp;8 Page &amp;P of &amp;N</oddFooter>
    <evenHeader/>
    <evenFooter/>
    <firstHeader/>
    <firstFooter/>
  </headerFooter>
  <rowBreaks count="3" manualBreakCount="3">
    <brk id="21" min="0" max="16383" man="1"/>
    <brk id="50" min="0" max="16383" man="1"/>
    <brk id="75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18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</t>
        </is>
      </c>
    </row>
    <row r="3">
      <c r="A3" s="2" t="inlineStr">
        <is>
          <t>Period: October 2025 · Data status: Sep 2025 locked · Oct 2025 locked · Oct 2026 incomplete (data retrieved 2pm, Tue 6 Oct 2026)</t>
        </is>
      </c>
    </row>
    <row r="4"/>
    <row r="5">
      <c r="A5" s="5" t="inlineStr">
        <is>
          <t>Month</t>
        </is>
      </c>
      <c r="B5" s="6" t="inlineStr">
        <is>
          <t>Status</t>
        </is>
      </c>
      <c r="C5" s="6" t="inlineStr">
        <is>
          <t>Grant writing</t>
        </is>
      </c>
      <c r="D5" s="6" t="inlineStr">
        <is>
          <t>Donor campaigns</t>
        </is>
      </c>
      <c r="E5" s="6" t="inlineStr">
        <is>
          <t>Event costs</t>
        </is>
      </c>
      <c r="F5" s="6" t="inlineStr">
        <is>
          <t>Grant income</t>
        </is>
      </c>
      <c r="G5" s="6" t="inlineStr">
        <is>
          <t>Donations</t>
        </is>
      </c>
      <c r="H5" s="6" t="inlineStr">
        <is>
          <t>Events</t>
        </is>
      </c>
      <c r="I5" s="6" t="inlineStr">
        <is>
          <t>Cents per $1</t>
        </is>
      </c>
    </row>
    <row r="6">
      <c r="A6" s="18" t="inlineStr">
        <is>
          <t>Oct 24</t>
        </is>
      </c>
      <c r="B6" s="18" t="inlineStr">
        <is>
          <t>Locked</t>
        </is>
      </c>
      <c r="C6" s="13" t="n">
        <v>6500</v>
      </c>
      <c r="D6" s="13" t="n">
        <v>2200</v>
      </c>
      <c r="E6" s="13" t="n">
        <v>0</v>
      </c>
      <c r="F6" s="13" t="n">
        <v>26600</v>
      </c>
      <c r="G6" s="13" t="n">
        <v>15300</v>
      </c>
      <c r="H6" s="13" t="n">
        <v>0</v>
      </c>
      <c r="I6" s="16">
        <f>IF(SUM(F6:H6)=0,"",SUM(C6:E6)/SUM(F6:H6)*100)</f>
        <v/>
      </c>
    </row>
    <row r="7">
      <c r="A7" s="18" t="inlineStr">
        <is>
          <t>Nov 24</t>
        </is>
      </c>
      <c r="B7" s="18" t="inlineStr">
        <is>
          <t>Locked</t>
        </is>
      </c>
      <c r="C7" s="13" t="n">
        <v>6500</v>
      </c>
      <c r="D7" s="13" t="n">
        <v>3100</v>
      </c>
      <c r="E7" s="13" t="n">
        <v>0</v>
      </c>
      <c r="F7" s="13" t="n">
        <v>31800</v>
      </c>
      <c r="G7" s="13" t="n">
        <v>17700</v>
      </c>
      <c r="H7" s="13" t="n">
        <v>0</v>
      </c>
      <c r="I7" s="16">
        <f>IF(SUM(F7:H7)=0,"",SUM(C7:E7)/SUM(F7:H7)*100)</f>
        <v/>
      </c>
    </row>
    <row r="8">
      <c r="A8" s="18" t="inlineStr">
        <is>
          <t>Dec 24</t>
        </is>
      </c>
      <c r="B8" s="18" t="inlineStr">
        <is>
          <t>Locked</t>
        </is>
      </c>
      <c r="C8" s="13" t="n">
        <v>6500</v>
      </c>
      <c r="D8" s="13" t="n">
        <v>4400</v>
      </c>
      <c r="E8" s="13" t="n">
        <v>2600</v>
      </c>
      <c r="F8" s="13" t="n">
        <v>29700</v>
      </c>
      <c r="G8" s="13" t="n">
        <v>24700</v>
      </c>
      <c r="H8" s="13" t="n">
        <v>6200</v>
      </c>
      <c r="I8" s="16">
        <f>IF(SUM(F8:H8)=0,"",SUM(C8:E8)/SUM(F8:H8)*100)</f>
        <v/>
      </c>
    </row>
    <row r="9">
      <c r="A9" s="18" t="inlineStr">
        <is>
          <t>Jan 25</t>
        </is>
      </c>
      <c r="B9" s="18" t="inlineStr">
        <is>
          <t>Locked</t>
        </is>
      </c>
      <c r="C9" s="13" t="n">
        <v>6500</v>
      </c>
      <c r="D9" s="13" t="n">
        <v>2200</v>
      </c>
      <c r="E9" s="13" t="n">
        <v>0</v>
      </c>
      <c r="F9" s="13" t="n">
        <v>62700</v>
      </c>
      <c r="G9" s="13" t="n">
        <v>12400</v>
      </c>
      <c r="H9" s="13" t="n">
        <v>0</v>
      </c>
      <c r="I9" s="16">
        <f>IF(SUM(F9:H9)=0,"",SUM(C9:E9)/SUM(F9:H9)*100)</f>
        <v/>
      </c>
    </row>
    <row r="10">
      <c r="A10" s="18" t="inlineStr">
        <is>
          <t>Feb 25</t>
        </is>
      </c>
      <c r="B10" s="18" t="inlineStr">
        <is>
          <t>Locked</t>
        </is>
      </c>
      <c r="C10" s="13" t="n">
        <v>6500</v>
      </c>
      <c r="D10" s="13" t="n">
        <v>2200</v>
      </c>
      <c r="E10" s="13" t="n">
        <v>0</v>
      </c>
      <c r="F10" s="13" t="n">
        <v>61700</v>
      </c>
      <c r="G10" s="13" t="n">
        <v>15600</v>
      </c>
      <c r="H10" s="13" t="n">
        <v>0</v>
      </c>
      <c r="I10" s="16">
        <f>IF(SUM(F10:H10)=0,"",SUM(C10:E10)/SUM(F10:H10)*100)</f>
        <v/>
      </c>
    </row>
    <row r="11">
      <c r="A11" s="18" t="inlineStr">
        <is>
          <t>Mar 25</t>
        </is>
      </c>
      <c r="B11" s="18" t="inlineStr">
        <is>
          <t>Locked</t>
        </is>
      </c>
      <c r="C11" s="13" t="n">
        <v>6500</v>
      </c>
      <c r="D11" s="13" t="n">
        <v>2200</v>
      </c>
      <c r="E11" s="13" t="n">
        <v>0</v>
      </c>
      <c r="F11" s="13" t="n">
        <v>54500</v>
      </c>
      <c r="G11" s="13" t="n">
        <v>15700</v>
      </c>
      <c r="H11" s="13" t="n">
        <v>0</v>
      </c>
      <c r="I11" s="16">
        <f>IF(SUM(F11:H11)=0,"",SUM(C11:E11)/SUM(F11:H11)*100)</f>
        <v/>
      </c>
    </row>
    <row r="12">
      <c r="A12" s="18" t="inlineStr">
        <is>
          <t>Apr 25</t>
        </is>
      </c>
      <c r="B12" s="18" t="inlineStr">
        <is>
          <t>Locked</t>
        </is>
      </c>
      <c r="C12" s="13" t="n">
        <v>6500</v>
      </c>
      <c r="D12" s="13" t="n">
        <v>2200</v>
      </c>
      <c r="E12" s="13" t="n">
        <v>0</v>
      </c>
      <c r="F12" s="13" t="n">
        <v>61500</v>
      </c>
      <c r="G12" s="13" t="n">
        <v>15700</v>
      </c>
      <c r="H12" s="13" t="n">
        <v>0</v>
      </c>
      <c r="I12" s="16">
        <f>IF(SUM(F12:H12)=0,"",SUM(C12:E12)/SUM(F12:H12)*100)</f>
        <v/>
      </c>
    </row>
    <row r="13">
      <c r="A13" s="18" t="inlineStr">
        <is>
          <t>May 25</t>
        </is>
      </c>
      <c r="B13" s="18" t="inlineStr">
        <is>
          <t>Locked</t>
        </is>
      </c>
      <c r="C13" s="13" t="n">
        <v>6500</v>
      </c>
      <c r="D13" s="13" t="n">
        <v>2200</v>
      </c>
      <c r="E13" s="13" t="n">
        <v>0</v>
      </c>
      <c r="F13" s="13" t="n">
        <v>61700</v>
      </c>
      <c r="G13" s="13" t="n">
        <v>15800</v>
      </c>
      <c r="H13" s="13" t="n">
        <v>0</v>
      </c>
      <c r="I13" s="16">
        <f>IF(SUM(F13:H13)=0,"",SUM(C13:E13)/SUM(F13:H13)*100)</f>
        <v/>
      </c>
    </row>
    <row r="14">
      <c r="A14" s="18" t="inlineStr">
        <is>
          <t>Jun 25</t>
        </is>
      </c>
      <c r="B14" s="18" t="inlineStr">
        <is>
          <t>Locked</t>
        </is>
      </c>
      <c r="C14" s="13" t="n">
        <v>6500</v>
      </c>
      <c r="D14" s="13" t="n">
        <v>5500</v>
      </c>
      <c r="E14" s="13" t="n">
        <v>0</v>
      </c>
      <c r="F14" s="13" t="n">
        <v>52200</v>
      </c>
      <c r="G14" s="13" t="n">
        <v>38100</v>
      </c>
      <c r="H14" s="13" t="n">
        <v>0</v>
      </c>
      <c r="I14" s="16">
        <f>IF(SUM(F14:H14)=0,"",SUM(C14:E14)/SUM(F14:H14)*100)</f>
        <v/>
      </c>
    </row>
    <row r="15">
      <c r="A15" s="18" t="inlineStr">
        <is>
          <t>Jul 25</t>
        </is>
      </c>
      <c r="B15" s="18" t="inlineStr">
        <is>
          <t>Locked</t>
        </is>
      </c>
      <c r="C15" s="13" t="n">
        <v>7100</v>
      </c>
      <c r="D15" s="13" t="n">
        <v>2200</v>
      </c>
      <c r="E15" s="13" t="n">
        <v>0</v>
      </c>
      <c r="F15" s="13" t="n">
        <v>59063</v>
      </c>
      <c r="G15" s="13" t="n">
        <v>13500</v>
      </c>
      <c r="H15" s="13" t="n">
        <v>0</v>
      </c>
      <c r="I15" s="16">
        <f>IF(SUM(F15:H15)=0,"",SUM(C15:E15)/SUM(F15:H15)*100)</f>
        <v/>
      </c>
    </row>
    <row r="16">
      <c r="A16" s="18" t="inlineStr">
        <is>
          <t>Aug 25</t>
        </is>
      </c>
      <c r="B16" s="18" t="inlineStr">
        <is>
          <t>Locked</t>
        </is>
      </c>
      <c r="C16" s="13" t="n">
        <v>7100</v>
      </c>
      <c r="D16" s="13" t="n">
        <v>2200</v>
      </c>
      <c r="E16" s="13" t="n">
        <v>0</v>
      </c>
      <c r="F16" s="13" t="n">
        <v>61544</v>
      </c>
      <c r="G16" s="13" t="n">
        <v>16000</v>
      </c>
      <c r="H16" s="13" t="n">
        <v>0</v>
      </c>
      <c r="I16" s="16">
        <f>IF(SUM(F16:H16)=0,"",SUM(C16:E16)/SUM(F16:H16)*100)</f>
        <v/>
      </c>
    </row>
    <row r="17">
      <c r="A17" s="18" t="inlineStr">
        <is>
          <t>Sep 25</t>
        </is>
      </c>
      <c r="B17" s="18" t="inlineStr">
        <is>
          <t>Locked</t>
        </is>
      </c>
      <c r="C17" s="13" t="n">
        <v>7100</v>
      </c>
      <c r="D17" s="13" t="n">
        <v>2200</v>
      </c>
      <c r="E17" s="13" t="n">
        <v>15200</v>
      </c>
      <c r="F17" s="13" t="n">
        <v>62137</v>
      </c>
      <c r="G17" s="13" t="n">
        <v>16100</v>
      </c>
      <c r="H17" s="13" t="n">
        <v>36800</v>
      </c>
      <c r="I17" s="16">
        <f>IF(SUM(F17:H17)=0,"",SUM(C17:E17)/SUM(F17:H17)*100)</f>
        <v/>
      </c>
    </row>
    <row r="18">
      <c r="A18" s="18" t="inlineStr">
        <is>
          <t>Oct 25</t>
        </is>
      </c>
      <c r="B18" s="18" t="inlineStr">
        <is>
          <t>Locked</t>
        </is>
      </c>
      <c r="C18" s="13" t="n">
        <v>7100</v>
      </c>
      <c r="D18" s="13" t="n">
        <v>2200</v>
      </c>
      <c r="E18" s="13" t="n">
        <v>0</v>
      </c>
      <c r="F18" s="13" t="n">
        <v>69185</v>
      </c>
      <c r="G18" s="13" t="n">
        <v>16200</v>
      </c>
      <c r="H18" s="13" t="n">
        <v>0</v>
      </c>
      <c r="I18" s="16">
        <f>IF(SUM(F18:H18)=0,"",SUM(C18:E18)/SUM(F18:H18)*100)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&amp;L&amp;8 Sample Community Services Ltd&amp;R&amp;8 &amp;A</oddHeader>
    <oddFooter>&amp;L&amp;8 cost-to-raise.xlsx&amp;C&amp;8 Data retrieved 2pm, Tue 6 Oct 2026&amp;R&amp;8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2026-10-06T07:09:34Z</dcterms:created>
  <dcterms:modified xmlns:dcterms="http://purl.org/dc/terms/" xmlns:xsi="http://www.w3.org/2001/XMLSchema-instance" xsi:type="dcterms:W3CDTF">2026-10-06T07:09:34Z</dcterms:modified>
</cp:coreProperties>
</file>