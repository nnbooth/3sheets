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May_against_May_last_year">'Report'!$B$16</definedName>
    <definedName name="Services_Year_to_date_Jul_to_May_2026">'Report'!$B$17</definedName>
    <definedName name="Services_Gross_margin_year_to_date">'Report'!$B$18</definedName>
    <definedName name="Services_May_against_May_last_year_2">'Report'!$B$28</definedName>
    <definedName name="Services_Year_to_date_Jul_to_May_2026_2">'Report'!$B$29</definedName>
    <definedName name="Services_Gross_margin_year_to_date_2">'Report'!$B$30</definedName>
    <definedName name="Services_May_against_May_last_year_3">'Report'!$B$40</definedName>
    <definedName name="Services_Year_to_date_Jul_to_May_2026_3">'Report'!$B$41</definedName>
    <definedName name="Services_Gross_margin_year_to_date_3">'Report'!$B$42</definedName>
    <definedName name="Services_May_against_May_last_year_4">'Report'!$B$52</definedName>
    <definedName name="Services_Year_to_date_Jul_to_May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Services'!$A$1:$G$85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Services'!$B$6:$B$25</f>
            </numRef>
          </cat>
          <val>
            <numRef>
              <f>'Data Services'!$D$6:$D$25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Services'!$B$6:$B$25</f>
            </numRef>
          </cat>
          <val>
            <numRef>
              <f>'Data Services'!$D$26:$D$45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Services'!$B$6:$B$25</f>
            </numRef>
          </cat>
          <val>
            <numRef>
              <f>'Data Services'!$D$46:$D$65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Services'!$B$6:$B$25</f>
            </numRef>
          </cat>
          <val>
            <numRef>
              <f>'Data Services'!$D$66:$D$85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85" headerRowCount="1">
  <autoFilter ref="A5:G85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8 Oct 2026, 9:35am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May's client work made $49,410 gross margin (64.1%). Consultant time not charged to client work took $19,920 and overheads $51,750, leaving ($22,260) profit before tax ((28.9%) of revenue). To cover overheads, client work needs a 93.0%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75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always include all on-costs: super, payroll tax, workers' compensation insurance and leave.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May against May last year</t>
        </is>
      </c>
      <c r="B16" s="9">
        <f>Workings!B27</f>
        <v/>
      </c>
      <c r="C16" s="10" t="inlineStr">
        <is>
          <t>$77,090 against $95,555</t>
        </is>
      </c>
    </row>
    <row r="17">
      <c r="A17" t="inlineStr">
        <is>
          <t>Year to date (Jul to May 2026)</t>
        </is>
      </c>
      <c r="B17" s="9">
        <f>Workings!B35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$570,900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$891,920 this financial year to date (Jul to May 2026). Training makes the highest gross margin (75.1%); Projects the lowest (61.7%). The business needs 93.0%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61.7% gross margin, 21.7 points over the 40.0% target ($119,872 ahead on $552,820 this financial year to date). Training: 75.1% gross margin, 35.1 points over the 40.0% target ($26,580 ahead on $75,800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May against May last year</t>
        </is>
      </c>
      <c r="B28" s="9">
        <f>Workings!B51</f>
        <v/>
      </c>
      <c r="C28" s="10" t="inlineStr">
        <is>
          <t>$43,590 against $59,755</t>
        </is>
      </c>
    </row>
    <row r="29">
      <c r="A29" t="inlineStr">
        <is>
          <t>Year to date (Jul to May 2026)</t>
        </is>
      </c>
      <c r="B29" s="9">
        <f>Workings!B59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$341,000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$552,820 this financial year to date, at a 61.7% gross margin (below the 64.0%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61.7% gross margin, 21.7 points over the 40.0% target ($119,872 ahead on $552,820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May against May last year</t>
        </is>
      </c>
      <c r="B40" s="9">
        <f>Workings!B75</f>
        <v/>
      </c>
      <c r="C40" s="10" t="inlineStr">
        <is>
          <t>$28,300 against $21,800</t>
        </is>
      </c>
    </row>
    <row r="41">
      <c r="A41" t="inlineStr">
        <is>
          <t>Year to date (Jul to May 2026)</t>
        </is>
      </c>
      <c r="B41" s="9">
        <f>Workings!B83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$173,000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$263,300 this financial year to date, at a 65.7% gross margin (above the 64.0%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65.7% gross margin, 25.7 points over the 40.0% target ($67,680 ahead on $263,300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May against May last year</t>
        </is>
      </c>
      <c r="B52" s="9">
        <f>Workings!B99</f>
        <v/>
      </c>
      <c r="C52" s="10" t="inlineStr">
        <is>
          <t>$5,200 against $14,000</t>
        </is>
      </c>
    </row>
    <row r="53">
      <c r="A53" t="inlineStr">
        <is>
          <t>Year to date (Jul to May 2026)</t>
        </is>
      </c>
      <c r="B53" s="9">
        <f>Workings!B107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$56,900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$75,800 this financial year to date, at a 75.1% gross margin (above the 64.0%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75.1% gross margin, 35.1 points over the 40.0% target ($26,580 ahead on $75,800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8 Oct 2026, 9:35am</t>
        </is>
      </c>
    </row>
    <row r="4"/>
    <row r="5">
      <c r="A5" s="6" t="inlineStr">
        <is>
          <t>Services: From gross margin to profit, May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May 2026</t>
        </is>
      </c>
    </row>
    <row r="8">
      <c r="A8" t="inlineStr">
        <is>
          <t>Gross margin on client work</t>
        </is>
      </c>
      <c r="B8" s="12" t="n">
        <v>49410</v>
      </c>
    </row>
    <row r="9">
      <c r="A9" t="inlineStr">
        <is>
          <t>Consultant wages and on-costs</t>
        </is>
      </c>
      <c r="B9" s="12" t="n">
        <v>46500</v>
      </c>
    </row>
    <row r="10">
      <c r="A10" t="inlineStr">
        <is>
          <t>Consultant time charged to client work (at cost)</t>
        </is>
      </c>
      <c r="B10" s="12" t="n">
        <v>26580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51750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77090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May 2026 P&amp;L (locked). Wages always include all on-costs: super, payroll tax, workers' compensation insurance and leave.</t>
        </is>
      </c>
    </row>
    <row r="20"/>
    <row r="21"/>
    <row r="22">
      <c r="A22" s="6" t="inlineStr">
        <is>
          <t>Services, all lines: May against May last year</t>
        </is>
      </c>
    </row>
    <row r="23">
      <c r="A23" s="11" t="inlineStr">
        <is>
          <t>May 2026 ÷ May 2025 − 1 (year on year)</t>
        </is>
      </c>
    </row>
    <row r="24">
      <c r="A24" s="7" t="inlineStr"/>
      <c r="B24" s="8" t="inlineStr">
        <is>
          <t>May</t>
        </is>
      </c>
    </row>
    <row r="25">
      <c r="A25" t="inlineStr">
        <is>
          <t>Revenue, May 2026</t>
        </is>
      </c>
      <c r="B25" s="12" t="n">
        <v>77090</v>
      </c>
    </row>
    <row r="26">
      <c r="A26" t="inlineStr">
        <is>
          <t>Revenue, May 2025</t>
        </is>
      </c>
      <c r="B26" s="12" t="n">
        <v>95555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1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May 2026)</t>
        </is>
      </c>
      <c r="B33" s="12" t="n">
        <v>891920</v>
      </c>
    </row>
    <row r="34">
      <c r="A34" t="inlineStr">
        <is>
          <t>Gross margin, year to date</t>
        </is>
      </c>
      <c r="B34" s="12" t="n">
        <v>570900</v>
      </c>
    </row>
    <row r="35">
      <c r="A35" s="14" t="inlineStr">
        <is>
          <t>Gross margin %, year to date</t>
        </is>
      </c>
      <c r="B35" s="15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1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May 2026)</t>
        </is>
      </c>
      <c r="B41" s="12" t="n">
        <v>891920</v>
      </c>
    </row>
    <row r="42">
      <c r="A42" t="inlineStr">
        <is>
          <t>Gross margin, year to date</t>
        </is>
      </c>
      <c r="B42" s="12" t="n">
        <v>570900</v>
      </c>
    </row>
    <row r="43">
      <c r="A43" s="14" t="inlineStr">
        <is>
          <t>Gross margin %, year to date</t>
        </is>
      </c>
      <c r="B43" s="15">
        <f>B42/B41</f>
        <v/>
      </c>
    </row>
    <row r="44"/>
    <row r="45"/>
    <row r="46">
      <c r="A46" s="6" t="inlineStr">
        <is>
          <t>Services, Projects: May against May last year</t>
        </is>
      </c>
    </row>
    <row r="47">
      <c r="A47" s="11" t="inlineStr">
        <is>
          <t>May 2026 ÷ May 2025 − 1 (year on year)</t>
        </is>
      </c>
    </row>
    <row r="48">
      <c r="A48" s="7" t="inlineStr"/>
      <c r="B48" s="8" t="inlineStr">
        <is>
          <t>May</t>
        </is>
      </c>
    </row>
    <row r="49">
      <c r="A49" t="inlineStr">
        <is>
          <t>Revenue, May 2026</t>
        </is>
      </c>
      <c r="B49" s="12" t="n">
        <v>43590</v>
      </c>
    </row>
    <row r="50">
      <c r="A50" t="inlineStr">
        <is>
          <t>Revenue, May 2025</t>
        </is>
      </c>
      <c r="B50" s="12" t="n">
        <v>59755</v>
      </c>
    </row>
    <row r="51">
      <c r="A51" s="14" t="inlineStr">
        <is>
          <t>Growth</t>
        </is>
      </c>
      <c r="B51" s="15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1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May 2026)</t>
        </is>
      </c>
      <c r="B57" s="12" t="n">
        <v>552820</v>
      </c>
    </row>
    <row r="58">
      <c r="A58" t="inlineStr">
        <is>
          <t>Gross margin, year to date</t>
        </is>
      </c>
      <c r="B58" s="12" t="n">
        <v>341000</v>
      </c>
    </row>
    <row r="59">
      <c r="A59" s="14" t="inlineStr">
        <is>
          <t>Gross margin %, year to date</t>
        </is>
      </c>
      <c r="B59" s="15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1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May 2026)</t>
        </is>
      </c>
      <c r="B65" s="12" t="n">
        <v>552820</v>
      </c>
    </row>
    <row r="66">
      <c r="A66" t="inlineStr">
        <is>
          <t>Gross margin, year to date</t>
        </is>
      </c>
      <c r="B66" s="12" t="n">
        <v>341000</v>
      </c>
    </row>
    <row r="67">
      <c r="A67" s="14" t="inlineStr">
        <is>
          <t>Gross margin %, year to date</t>
        </is>
      </c>
      <c r="B67" s="15">
        <f>B66/B65</f>
        <v/>
      </c>
    </row>
    <row r="68"/>
    <row r="69"/>
    <row r="70">
      <c r="A70" s="6" t="inlineStr">
        <is>
          <t>Services, Retainers: May against May last year</t>
        </is>
      </c>
    </row>
    <row r="71">
      <c r="A71" s="11" t="inlineStr">
        <is>
          <t>May 2026 ÷ May 2025 − 1 (year on year)</t>
        </is>
      </c>
    </row>
    <row r="72">
      <c r="A72" s="7" t="inlineStr"/>
      <c r="B72" s="8" t="inlineStr">
        <is>
          <t>May</t>
        </is>
      </c>
    </row>
    <row r="73">
      <c r="A73" t="inlineStr">
        <is>
          <t>Revenue, May 2026</t>
        </is>
      </c>
      <c r="B73" s="12" t="n">
        <v>28300</v>
      </c>
    </row>
    <row r="74">
      <c r="A74" t="inlineStr">
        <is>
          <t>Revenue, May 2025</t>
        </is>
      </c>
      <c r="B74" s="12" t="n">
        <v>21800</v>
      </c>
    </row>
    <row r="75">
      <c r="A75" s="14" t="inlineStr">
        <is>
          <t>Growth</t>
        </is>
      </c>
      <c r="B75" s="15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1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May 2026)</t>
        </is>
      </c>
      <c r="B81" s="12" t="n">
        <v>263300</v>
      </c>
    </row>
    <row r="82">
      <c r="A82" t="inlineStr">
        <is>
          <t>Gross margin, year to date</t>
        </is>
      </c>
      <c r="B82" s="12" t="n">
        <v>173000</v>
      </c>
    </row>
    <row r="83">
      <c r="A83" s="14" t="inlineStr">
        <is>
          <t>Gross margin %, year to date</t>
        </is>
      </c>
      <c r="B83" s="15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1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May 2026)</t>
        </is>
      </c>
      <c r="B89" s="12" t="n">
        <v>263300</v>
      </c>
    </row>
    <row r="90">
      <c r="A90" t="inlineStr">
        <is>
          <t>Gross margin, year to date</t>
        </is>
      </c>
      <c r="B90" s="12" t="n">
        <v>173000</v>
      </c>
    </row>
    <row r="91">
      <c r="A91" s="14" t="inlineStr">
        <is>
          <t>Gross margin %, year to date</t>
        </is>
      </c>
      <c r="B91" s="15">
        <f>B90/B89</f>
        <v/>
      </c>
    </row>
    <row r="92"/>
    <row r="93"/>
    <row r="94">
      <c r="A94" s="6" t="inlineStr">
        <is>
          <t>Services, Training: May against May last year</t>
        </is>
      </c>
    </row>
    <row r="95">
      <c r="A95" s="11" t="inlineStr">
        <is>
          <t>May 2026 ÷ May 2025 − 1 (year on year)</t>
        </is>
      </c>
    </row>
    <row r="96">
      <c r="A96" s="7" t="inlineStr"/>
      <c r="B96" s="8" t="inlineStr">
        <is>
          <t>May</t>
        </is>
      </c>
    </row>
    <row r="97">
      <c r="A97" t="inlineStr">
        <is>
          <t>Revenue, May 2026</t>
        </is>
      </c>
      <c r="B97" s="12" t="n">
        <v>5200</v>
      </c>
    </row>
    <row r="98">
      <c r="A98" t="inlineStr">
        <is>
          <t>Revenue, May 2025</t>
        </is>
      </c>
      <c r="B98" s="12" t="n">
        <v>14000</v>
      </c>
    </row>
    <row r="99">
      <c r="A99" s="14" t="inlineStr">
        <is>
          <t>Growth</t>
        </is>
      </c>
      <c r="B99" s="15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1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May 2026)</t>
        </is>
      </c>
      <c r="B105" s="12" t="n">
        <v>75800</v>
      </c>
    </row>
    <row r="106">
      <c r="A106" t="inlineStr">
        <is>
          <t>Gross margin, year to date</t>
        </is>
      </c>
      <c r="B106" s="12" t="n">
        <v>56900</v>
      </c>
    </row>
    <row r="107">
      <c r="A107" s="14" t="inlineStr">
        <is>
          <t>Gross margin %, year to date</t>
        </is>
      </c>
      <c r="B107" s="15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1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May 2026)</t>
        </is>
      </c>
      <c r="B113" s="12" t="n">
        <v>75800</v>
      </c>
    </row>
    <row r="114">
      <c r="A114" t="inlineStr">
        <is>
          <t>Gross margin, year to date</t>
        </is>
      </c>
      <c r="B114" s="12" t="n">
        <v>56900</v>
      </c>
    </row>
    <row r="115">
      <c r="A115" s="14" t="inlineStr">
        <is>
          <t>Gross margin %, year to date</t>
        </is>
      </c>
      <c r="B115" s="15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8 Oct 2026, 9:35am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94520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108140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114895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88250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111010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77175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63970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95555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90220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86320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61475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59535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71260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83940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69420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Jan 26</t>
        </is>
      </c>
      <c r="C21" s="16" t="inlineStr">
        <is>
          <t>Locked</t>
        </is>
      </c>
      <c r="D21" s="12" t="n">
        <v>92370</v>
      </c>
      <c r="E21" s="12" t="n">
        <v>32520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Feb 26</t>
        </is>
      </c>
      <c r="C22" s="16" t="inlineStr">
        <is>
          <t>Locked</t>
        </is>
      </c>
      <c r="D22" s="12" t="n">
        <v>100055</v>
      </c>
      <c r="E22" s="12" t="n">
        <v>36580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Mar 26</t>
        </is>
      </c>
      <c r="C23" s="16" t="inlineStr">
        <is>
          <t>Locked</t>
        </is>
      </c>
      <c r="D23" s="12" t="n">
        <v>109865</v>
      </c>
      <c r="E23" s="12" t="n">
        <v>40720</v>
      </c>
      <c r="F23" s="12">
        <f>D23-E23</f>
        <v/>
      </c>
      <c r="G23" s="13">
        <f>IF(D23=0,"",F23/D23)</f>
        <v/>
      </c>
    </row>
    <row r="24">
      <c r="A24" s="16" t="inlineStr">
        <is>
          <t>All</t>
        </is>
      </c>
      <c r="B24" s="16" t="inlineStr">
        <is>
          <t>Apr 26</t>
        </is>
      </c>
      <c r="C24" s="16" t="inlineStr">
        <is>
          <t>Locked</t>
        </is>
      </c>
      <c r="D24" s="12" t="n">
        <v>80590</v>
      </c>
      <c r="E24" s="12" t="n">
        <v>27860</v>
      </c>
      <c r="F24" s="12">
        <f>D24-E24</f>
        <v/>
      </c>
      <c r="G24" s="13">
        <f>IF(D24=0,"",F24/D24)</f>
        <v/>
      </c>
    </row>
    <row r="25">
      <c r="A25" s="16" t="inlineStr">
        <is>
          <t>All</t>
        </is>
      </c>
      <c r="B25" s="16" t="inlineStr">
        <is>
          <t>May 26</t>
        </is>
      </c>
      <c r="C25" s="16" t="inlineStr">
        <is>
          <t>Locked</t>
        </is>
      </c>
      <c r="D25" s="12" t="n">
        <v>77090</v>
      </c>
      <c r="E25" s="12" t="n">
        <v>27680</v>
      </c>
      <c r="F25" s="12">
        <f>D25-E25</f>
        <v/>
      </c>
      <c r="G25" s="13">
        <f>IF(D25=0,"",F25/D25)</f>
        <v/>
      </c>
    </row>
    <row r="26">
      <c r="A26" s="16" t="inlineStr">
        <is>
          <t>Projects</t>
        </is>
      </c>
      <c r="B26" s="16" t="inlineStr">
        <is>
          <t>Oct 24</t>
        </is>
      </c>
      <c r="C26" s="16" t="inlineStr">
        <is>
          <t>Locked</t>
        </is>
      </c>
      <c r="D26" s="12" t="n">
        <v>70720</v>
      </c>
      <c r="E26" s="12" t="n">
        <v>27820</v>
      </c>
      <c r="F26" s="12">
        <f>D26-E26</f>
        <v/>
      </c>
      <c r="G26" s="13">
        <f>IF(D26=0,"",F26/D26)</f>
        <v/>
      </c>
    </row>
    <row r="27">
      <c r="A27" s="16" t="inlineStr">
        <is>
          <t>Projects</t>
        </is>
      </c>
      <c r="B27" s="16" t="inlineStr">
        <is>
          <t>Nov 24</t>
        </is>
      </c>
      <c r="C27" s="16" t="inlineStr">
        <is>
          <t>Locked</t>
        </is>
      </c>
      <c r="D27" s="12" t="n">
        <v>88540</v>
      </c>
      <c r="E27" s="12" t="n">
        <v>34400</v>
      </c>
      <c r="F27" s="12">
        <f>D27-E27</f>
        <v/>
      </c>
      <c r="G27" s="13">
        <f>IF(D27=0,"",F27/D27)</f>
        <v/>
      </c>
    </row>
    <row r="28">
      <c r="A28" s="16" t="inlineStr">
        <is>
          <t>Projects</t>
        </is>
      </c>
      <c r="B28" s="16" t="inlineStr">
        <is>
          <t>Dec 24</t>
        </is>
      </c>
      <c r="C28" s="16" t="inlineStr">
        <is>
          <t>Locked</t>
        </is>
      </c>
      <c r="D28" s="12" t="n">
        <v>94695</v>
      </c>
      <c r="E28" s="12" t="n">
        <v>36880</v>
      </c>
      <c r="F28" s="12">
        <f>D28-E28</f>
        <v/>
      </c>
      <c r="G28" s="13">
        <f>IF(D28=0,"",F28/D28)</f>
        <v/>
      </c>
    </row>
    <row r="29">
      <c r="A29" s="16" t="inlineStr">
        <is>
          <t>Projects</t>
        </is>
      </c>
      <c r="B29" s="16" t="inlineStr">
        <is>
          <t>Jan 25</t>
        </is>
      </c>
      <c r="C29" s="16" t="inlineStr">
        <is>
          <t>Locked</t>
        </is>
      </c>
      <c r="D29" s="12" t="n">
        <v>66850</v>
      </c>
      <c r="E29" s="12" t="n">
        <v>26240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Feb 25</t>
        </is>
      </c>
      <c r="C30" s="16" t="inlineStr">
        <is>
          <t>Locked</t>
        </is>
      </c>
      <c r="D30" s="12" t="n">
        <v>84410</v>
      </c>
      <c r="E30" s="12" t="n">
        <v>34360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Mar 25</t>
        </is>
      </c>
      <c r="C31" s="16" t="inlineStr">
        <is>
          <t>Locked</t>
        </is>
      </c>
      <c r="D31" s="12" t="n">
        <v>48975</v>
      </c>
      <c r="E31" s="12" t="n">
        <v>21860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Apr 25</t>
        </is>
      </c>
      <c r="C32" s="16" t="inlineStr">
        <is>
          <t>Locked</t>
        </is>
      </c>
      <c r="D32" s="12" t="n">
        <v>37570</v>
      </c>
      <c r="E32" s="12" t="n">
        <v>17660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May 25</t>
        </is>
      </c>
      <c r="C33" s="16" t="inlineStr">
        <is>
          <t>Locked</t>
        </is>
      </c>
      <c r="D33" s="12" t="n">
        <v>59755</v>
      </c>
      <c r="E33" s="12" t="n">
        <v>23980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Jun 25</t>
        </is>
      </c>
      <c r="C34" s="16" t="inlineStr">
        <is>
          <t>Locked</t>
        </is>
      </c>
      <c r="D34" s="12" t="n">
        <v>64520</v>
      </c>
      <c r="E34" s="12" t="n">
        <v>26860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Jul 25</t>
        </is>
      </c>
      <c r="C35" s="16" t="inlineStr">
        <is>
          <t>Locked</t>
        </is>
      </c>
      <c r="D35" s="12" t="n">
        <v>64820</v>
      </c>
      <c r="E35" s="12" t="n">
        <v>25920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Aug 25</t>
        </is>
      </c>
      <c r="C36" s="16" t="inlineStr">
        <is>
          <t>Locked</t>
        </is>
      </c>
      <c r="D36" s="12" t="n">
        <v>38775</v>
      </c>
      <c r="E36" s="12" t="n">
        <v>13860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Sep 25</t>
        </is>
      </c>
      <c r="C37" s="16" t="inlineStr">
        <is>
          <t>Locked</t>
        </is>
      </c>
      <c r="D37" s="12" t="n">
        <v>38035</v>
      </c>
      <c r="E37" s="12" t="n">
        <v>13560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Oct 25</t>
        </is>
      </c>
      <c r="C38" s="16" t="inlineStr">
        <is>
          <t>Locked</t>
        </is>
      </c>
      <c r="D38" s="12" t="n">
        <v>45860</v>
      </c>
      <c r="E38" s="12" t="n">
        <v>18220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Nov 25</t>
        </is>
      </c>
      <c r="C39" s="16" t="inlineStr">
        <is>
          <t>Locked</t>
        </is>
      </c>
      <c r="D39" s="12" t="n">
        <v>46840</v>
      </c>
      <c r="E39" s="12" t="n">
        <v>18960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Dec 25</t>
        </is>
      </c>
      <c r="C40" s="16" t="inlineStr">
        <is>
          <t>Locked</t>
        </is>
      </c>
      <c r="D40" s="12" t="n">
        <v>29520</v>
      </c>
      <c r="E40" s="12" t="n">
        <v>12340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Jan 26</t>
        </is>
      </c>
      <c r="C41" s="16" t="inlineStr">
        <is>
          <t>Locked</t>
        </is>
      </c>
      <c r="D41" s="12" t="n">
        <v>60170</v>
      </c>
      <c r="E41" s="12" t="n">
        <v>22440</v>
      </c>
      <c r="F41" s="12">
        <f>D41-E41</f>
        <v/>
      </c>
      <c r="G41" s="13">
        <f>IF(D41=0,"",F41/D41)</f>
        <v/>
      </c>
    </row>
    <row r="42">
      <c r="A42" s="16" t="inlineStr">
        <is>
          <t>Projects</t>
        </is>
      </c>
      <c r="B42" s="16" t="inlineStr">
        <is>
          <t>Feb 26</t>
        </is>
      </c>
      <c r="C42" s="16" t="inlineStr">
        <is>
          <t>Locked</t>
        </is>
      </c>
      <c r="D42" s="12" t="n">
        <v>62955</v>
      </c>
      <c r="E42" s="12" t="n">
        <v>23440</v>
      </c>
      <c r="F42" s="12">
        <f>D42-E42</f>
        <v/>
      </c>
      <c r="G42" s="13">
        <f>IF(D42=0,"",F42/D42)</f>
        <v/>
      </c>
    </row>
    <row r="43">
      <c r="A43" s="16" t="inlineStr">
        <is>
          <t>Projects</t>
        </is>
      </c>
      <c r="B43" s="16" t="inlineStr">
        <is>
          <t>Mar 26</t>
        </is>
      </c>
      <c r="C43" s="16" t="inlineStr">
        <is>
          <t>Locked</t>
        </is>
      </c>
      <c r="D43" s="12" t="n">
        <v>75165</v>
      </c>
      <c r="E43" s="12" t="n">
        <v>29380</v>
      </c>
      <c r="F43" s="12">
        <f>D43-E43</f>
        <v/>
      </c>
      <c r="G43" s="13">
        <f>IF(D43=0,"",F43/D43)</f>
        <v/>
      </c>
    </row>
    <row r="44">
      <c r="A44" s="16" t="inlineStr">
        <is>
          <t>Projects</t>
        </is>
      </c>
      <c r="B44" s="16" t="inlineStr">
        <is>
          <t>Apr 26</t>
        </is>
      </c>
      <c r="C44" s="16" t="inlineStr">
        <is>
          <t>Locked</t>
        </is>
      </c>
      <c r="D44" s="12" t="n">
        <v>47090</v>
      </c>
      <c r="E44" s="12" t="n">
        <v>17480</v>
      </c>
      <c r="F44" s="12">
        <f>D44-E44</f>
        <v/>
      </c>
      <c r="G44" s="13">
        <f>IF(D44=0,"",F44/D44)</f>
        <v/>
      </c>
    </row>
    <row r="45">
      <c r="A45" s="16" t="inlineStr">
        <is>
          <t>Projects</t>
        </is>
      </c>
      <c r="B45" s="16" t="inlineStr">
        <is>
          <t>May 26</t>
        </is>
      </c>
      <c r="C45" s="16" t="inlineStr">
        <is>
          <t>Locked</t>
        </is>
      </c>
      <c r="D45" s="12" t="n">
        <v>43590</v>
      </c>
      <c r="E45" s="12" t="n">
        <v>16220</v>
      </c>
      <c r="F45" s="12">
        <f>D45-E45</f>
        <v/>
      </c>
      <c r="G45" s="13">
        <f>IF(D45=0,"",F45/D45)</f>
        <v/>
      </c>
    </row>
    <row r="46">
      <c r="A46" s="16" t="inlineStr">
        <is>
          <t>Retainers</t>
        </is>
      </c>
      <c r="B46" s="16" t="inlineStr">
        <is>
          <t>Oct 24</t>
        </is>
      </c>
      <c r="C46" s="16" t="inlineStr">
        <is>
          <t>Locked</t>
        </is>
      </c>
      <c r="D46" s="12" t="n">
        <v>15000</v>
      </c>
      <c r="E46" s="12" t="n">
        <v>4800</v>
      </c>
      <c r="F46" s="12">
        <f>D46-E46</f>
        <v/>
      </c>
      <c r="G46" s="13">
        <f>IF(D46=0,"",F46/D46)</f>
        <v/>
      </c>
    </row>
    <row r="47">
      <c r="A47" s="16" t="inlineStr">
        <is>
          <t>Retainers</t>
        </is>
      </c>
      <c r="B47" s="16" t="inlineStr">
        <is>
          <t>Nov 24</t>
        </is>
      </c>
      <c r="C47" s="16" t="inlineStr">
        <is>
          <t>Locked</t>
        </is>
      </c>
      <c r="D47" s="12" t="n">
        <v>15000</v>
      </c>
      <c r="E47" s="12" t="n">
        <v>4800</v>
      </c>
      <c r="F47" s="12">
        <f>D47-E47</f>
        <v/>
      </c>
      <c r="G47" s="13">
        <f>IF(D47=0,"",F47/D47)</f>
        <v/>
      </c>
    </row>
    <row r="48">
      <c r="A48" s="16" t="inlineStr">
        <is>
          <t>Retainers</t>
        </is>
      </c>
      <c r="B48" s="16" t="inlineStr">
        <is>
          <t>Dec 24</t>
        </is>
      </c>
      <c r="C48" s="16" t="inlineStr">
        <is>
          <t>Locked</t>
        </is>
      </c>
      <c r="D48" s="12" t="n">
        <v>15000</v>
      </c>
      <c r="E48" s="12" t="n">
        <v>5100</v>
      </c>
      <c r="F48" s="12">
        <f>D48-E48</f>
        <v/>
      </c>
      <c r="G48" s="13">
        <f>IF(D48=0,"",F48/D48)</f>
        <v/>
      </c>
    </row>
    <row r="49">
      <c r="A49" s="16" t="inlineStr">
        <is>
          <t>Retainers</t>
        </is>
      </c>
      <c r="B49" s="16" t="inlineStr">
        <is>
          <t>Jan 25</t>
        </is>
      </c>
      <c r="C49" s="16" t="inlineStr">
        <is>
          <t>Locked</t>
        </is>
      </c>
      <c r="D49" s="12" t="n">
        <v>15000</v>
      </c>
      <c r="E49" s="12" t="n">
        <v>4920</v>
      </c>
      <c r="F49" s="12">
        <f>D49-E49</f>
        <v/>
      </c>
      <c r="G49" s="13">
        <f>IF(D49=0,"",F49/D49)</f>
        <v/>
      </c>
    </row>
    <row r="50">
      <c r="A50" s="16" t="inlineStr">
        <is>
          <t>Retainers</t>
        </is>
      </c>
      <c r="B50" s="16" t="inlineStr">
        <is>
          <t>Feb 25</t>
        </is>
      </c>
      <c r="C50" s="16" t="inlineStr">
        <is>
          <t>Locked</t>
        </is>
      </c>
      <c r="D50" s="12" t="n">
        <v>15000</v>
      </c>
      <c r="E50" s="12" t="n">
        <v>5400</v>
      </c>
      <c r="F50" s="12">
        <f>D50-E50</f>
        <v/>
      </c>
      <c r="G50" s="13">
        <f>IF(D50=0,"",F50/D50)</f>
        <v/>
      </c>
    </row>
    <row r="51">
      <c r="A51" s="16" t="inlineStr">
        <is>
          <t>Retainers</t>
        </is>
      </c>
      <c r="B51" s="16" t="inlineStr">
        <is>
          <t>Mar 25</t>
        </is>
      </c>
      <c r="C51" s="16" t="inlineStr">
        <is>
          <t>Locked</t>
        </is>
      </c>
      <c r="D51" s="12" t="n">
        <v>21800</v>
      </c>
      <c r="E51" s="12" t="n">
        <v>7980</v>
      </c>
      <c r="F51" s="12">
        <f>D51-E51</f>
        <v/>
      </c>
      <c r="G51" s="13">
        <f>IF(D51=0,"",F51/D51)</f>
        <v/>
      </c>
    </row>
    <row r="52">
      <c r="A52" s="16" t="inlineStr">
        <is>
          <t>Retainers</t>
        </is>
      </c>
      <c r="B52" s="16" t="inlineStr">
        <is>
          <t>Apr 25</t>
        </is>
      </c>
      <c r="C52" s="16" t="inlineStr">
        <is>
          <t>Locked</t>
        </is>
      </c>
      <c r="D52" s="12" t="n">
        <v>21800</v>
      </c>
      <c r="E52" s="12" t="n">
        <v>7020</v>
      </c>
      <c r="F52" s="12">
        <f>D52-E52</f>
        <v/>
      </c>
      <c r="G52" s="13">
        <f>IF(D52=0,"",F52/D52)</f>
        <v/>
      </c>
    </row>
    <row r="53">
      <c r="A53" s="16" t="inlineStr">
        <is>
          <t>Retainers</t>
        </is>
      </c>
      <c r="B53" s="16" t="inlineStr">
        <is>
          <t>May 25</t>
        </is>
      </c>
      <c r="C53" s="16" t="inlineStr">
        <is>
          <t>Locked</t>
        </is>
      </c>
      <c r="D53" s="12" t="n">
        <v>21800</v>
      </c>
      <c r="E53" s="12" t="n">
        <v>8460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Jun 25</t>
        </is>
      </c>
      <c r="C54" s="16" t="inlineStr">
        <is>
          <t>Locked</t>
        </is>
      </c>
      <c r="D54" s="12" t="n">
        <v>21800</v>
      </c>
      <c r="E54" s="12" t="n">
        <v>7800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Jul 25</t>
        </is>
      </c>
      <c r="C55" s="16" t="inlineStr">
        <is>
          <t>Locked</t>
        </is>
      </c>
      <c r="D55" s="12" t="n">
        <v>16300</v>
      </c>
      <c r="E55" s="12" t="n">
        <v>5940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Aug 25</t>
        </is>
      </c>
      <c r="C56" s="16" t="inlineStr">
        <is>
          <t>Locked</t>
        </is>
      </c>
      <c r="D56" s="12" t="n">
        <v>16300</v>
      </c>
      <c r="E56" s="12" t="n">
        <v>5400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Sep 25</t>
        </is>
      </c>
      <c r="C57" s="16" t="inlineStr">
        <is>
          <t>Locked</t>
        </is>
      </c>
      <c r="D57" s="12" t="n">
        <v>16300</v>
      </c>
      <c r="E57" s="12" t="n">
        <v>5760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Oct 25</t>
        </is>
      </c>
      <c r="C58" s="16" t="inlineStr">
        <is>
          <t>Locked</t>
        </is>
      </c>
      <c r="D58" s="12" t="n">
        <v>16300</v>
      </c>
      <c r="E58" s="12" t="n">
        <v>5640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Nov 25</t>
        </is>
      </c>
      <c r="C59" s="16" t="inlineStr">
        <is>
          <t>Locked</t>
        </is>
      </c>
      <c r="D59" s="12" t="n">
        <v>28300</v>
      </c>
      <c r="E59" s="12" t="n">
        <v>9480</v>
      </c>
      <c r="F59" s="12">
        <f>D59-E59</f>
        <v/>
      </c>
      <c r="G59" s="13">
        <f>IF(D59=0,"",F59/D59)</f>
        <v/>
      </c>
    </row>
    <row r="60">
      <c r="A60" s="16" t="inlineStr">
        <is>
          <t>Retainers</t>
        </is>
      </c>
      <c r="B60" s="16" t="inlineStr">
        <is>
          <t>Dec 25</t>
        </is>
      </c>
      <c r="C60" s="16" t="inlineStr">
        <is>
          <t>Locked</t>
        </is>
      </c>
      <c r="D60" s="12" t="n">
        <v>28300</v>
      </c>
      <c r="E60" s="12" t="n">
        <v>9120</v>
      </c>
      <c r="F60" s="12">
        <f>D60-E60</f>
        <v/>
      </c>
      <c r="G60" s="13">
        <f>IF(D60=0,"",F60/D60)</f>
        <v/>
      </c>
    </row>
    <row r="61">
      <c r="A61" s="16" t="inlineStr">
        <is>
          <t>Retainers</t>
        </is>
      </c>
      <c r="B61" s="16" t="inlineStr">
        <is>
          <t>Jan 26</t>
        </is>
      </c>
      <c r="C61" s="16" t="inlineStr">
        <is>
          <t>Locked</t>
        </is>
      </c>
      <c r="D61" s="12" t="n">
        <v>28300</v>
      </c>
      <c r="E61" s="12" t="n">
        <v>9360</v>
      </c>
      <c r="F61" s="12">
        <f>D61-E61</f>
        <v/>
      </c>
      <c r="G61" s="13">
        <f>IF(D61=0,"",F61/D61)</f>
        <v/>
      </c>
    </row>
    <row r="62">
      <c r="A62" s="16" t="inlineStr">
        <is>
          <t>Retainers</t>
        </is>
      </c>
      <c r="B62" s="16" t="inlineStr">
        <is>
          <t>Feb 26</t>
        </is>
      </c>
      <c r="C62" s="16" t="inlineStr">
        <is>
          <t>Locked</t>
        </is>
      </c>
      <c r="D62" s="12" t="n">
        <v>28300</v>
      </c>
      <c r="E62" s="12" t="n">
        <v>10440</v>
      </c>
      <c r="F62" s="12">
        <f>D62-E62</f>
        <v/>
      </c>
      <c r="G62" s="13">
        <f>IF(D62=0,"",F62/D62)</f>
        <v/>
      </c>
    </row>
    <row r="63">
      <c r="A63" s="16" t="inlineStr">
        <is>
          <t>Retainers</t>
        </is>
      </c>
      <c r="B63" s="16" t="inlineStr">
        <is>
          <t>Mar 26</t>
        </is>
      </c>
      <c r="C63" s="16" t="inlineStr">
        <is>
          <t>Locked</t>
        </is>
      </c>
      <c r="D63" s="12" t="n">
        <v>28300</v>
      </c>
      <c r="E63" s="12" t="n">
        <v>9240</v>
      </c>
      <c r="F63" s="12">
        <f>D63-E63</f>
        <v/>
      </c>
      <c r="G63" s="13">
        <f>IF(D63=0,"",F63/D63)</f>
        <v/>
      </c>
    </row>
    <row r="64">
      <c r="A64" s="16" t="inlineStr">
        <is>
          <t>Retainers</t>
        </is>
      </c>
      <c r="B64" s="16" t="inlineStr">
        <is>
          <t>Apr 26</t>
        </is>
      </c>
      <c r="C64" s="16" t="inlineStr">
        <is>
          <t>Locked</t>
        </is>
      </c>
      <c r="D64" s="12" t="n">
        <v>28300</v>
      </c>
      <c r="E64" s="12" t="n">
        <v>9420</v>
      </c>
      <c r="F64" s="12">
        <f>D64-E64</f>
        <v/>
      </c>
      <c r="G64" s="13">
        <f>IF(D64=0,"",F64/D64)</f>
        <v/>
      </c>
    </row>
    <row r="65">
      <c r="A65" s="16" t="inlineStr">
        <is>
          <t>Retainers</t>
        </is>
      </c>
      <c r="B65" s="16" t="inlineStr">
        <is>
          <t>May 26</t>
        </is>
      </c>
      <c r="C65" s="16" t="inlineStr">
        <is>
          <t>Locked</t>
        </is>
      </c>
      <c r="D65" s="12" t="n">
        <v>28300</v>
      </c>
      <c r="E65" s="12" t="n">
        <v>10500</v>
      </c>
      <c r="F65" s="12">
        <f>D65-E65</f>
        <v/>
      </c>
      <c r="G65" s="13">
        <f>IF(D65=0,"",F65/D65)</f>
        <v/>
      </c>
    </row>
    <row r="66">
      <c r="A66" s="16" t="inlineStr">
        <is>
          <t>Training</t>
        </is>
      </c>
      <c r="B66" s="16" t="inlineStr">
        <is>
          <t>Oct 24</t>
        </is>
      </c>
      <c r="C66" s="16" t="inlineStr">
        <is>
          <t>Locked</t>
        </is>
      </c>
      <c r="D66" s="12" t="n">
        <v>8800</v>
      </c>
      <c r="E66" s="12" t="n">
        <v>2700</v>
      </c>
      <c r="F66" s="12">
        <f>D66-E66</f>
        <v/>
      </c>
      <c r="G66" s="13">
        <f>IF(D66=0,"",F66/D66)</f>
        <v/>
      </c>
    </row>
    <row r="67">
      <c r="A67" s="16" t="inlineStr">
        <is>
          <t>Training</t>
        </is>
      </c>
      <c r="B67" s="16" t="inlineStr">
        <is>
          <t>Nov 24</t>
        </is>
      </c>
      <c r="C67" s="16" t="inlineStr">
        <is>
          <t>Locked</t>
        </is>
      </c>
      <c r="D67" s="12" t="n">
        <v>4600</v>
      </c>
      <c r="E67" s="12" t="n">
        <v>840</v>
      </c>
      <c r="F67" s="12">
        <f>D67-E67</f>
        <v/>
      </c>
      <c r="G67" s="13">
        <f>IF(D67=0,"",F67/D67)</f>
        <v/>
      </c>
    </row>
    <row r="68">
      <c r="A68" s="16" t="inlineStr">
        <is>
          <t>Training</t>
        </is>
      </c>
      <c r="B68" s="16" t="inlineStr">
        <is>
          <t>Dec 24</t>
        </is>
      </c>
      <c r="C68" s="16" t="inlineStr">
        <is>
          <t>Locked</t>
        </is>
      </c>
      <c r="D68" s="12" t="n">
        <v>5200</v>
      </c>
      <c r="E68" s="12" t="n">
        <v>960</v>
      </c>
      <c r="F68" s="12">
        <f>D68-E68</f>
        <v/>
      </c>
      <c r="G68" s="13">
        <f>IF(D68=0,"",F68/D68)</f>
        <v/>
      </c>
    </row>
    <row r="69">
      <c r="A69" s="16" t="inlineStr">
        <is>
          <t>Training</t>
        </is>
      </c>
      <c r="B69" s="16" t="inlineStr">
        <is>
          <t>Jan 25</t>
        </is>
      </c>
      <c r="C69" s="16" t="inlineStr">
        <is>
          <t>Locked</t>
        </is>
      </c>
      <c r="D69" s="12" t="n">
        <v>6400</v>
      </c>
      <c r="E69" s="12" t="n">
        <v>2100</v>
      </c>
      <c r="F69" s="12">
        <f>D69-E69</f>
        <v/>
      </c>
      <c r="G69" s="13">
        <f>IF(D69=0,"",F69/D69)</f>
        <v/>
      </c>
    </row>
    <row r="70">
      <c r="A70" s="16" t="inlineStr">
        <is>
          <t>Training</t>
        </is>
      </c>
      <c r="B70" s="16" t="inlineStr">
        <is>
          <t>Feb 25</t>
        </is>
      </c>
      <c r="C70" s="16" t="inlineStr">
        <is>
          <t>Locked</t>
        </is>
      </c>
      <c r="D70" s="12" t="n">
        <v>11600</v>
      </c>
      <c r="E70" s="12" t="n">
        <v>3060</v>
      </c>
      <c r="F70" s="12">
        <f>D70-E70</f>
        <v/>
      </c>
      <c r="G70" s="13">
        <f>IF(D70=0,"",F70/D70)</f>
        <v/>
      </c>
    </row>
    <row r="71">
      <c r="A71" s="16" t="inlineStr">
        <is>
          <t>Training</t>
        </is>
      </c>
      <c r="B71" s="16" t="inlineStr">
        <is>
          <t>Mar 25</t>
        </is>
      </c>
      <c r="C71" s="16" t="inlineStr">
        <is>
          <t>Locked</t>
        </is>
      </c>
      <c r="D71" s="12" t="n">
        <v>6400</v>
      </c>
      <c r="E71" s="12" t="n">
        <v>2100</v>
      </c>
      <c r="F71" s="12">
        <f>D71-E71</f>
        <v/>
      </c>
      <c r="G71" s="13">
        <f>IF(D71=0,"",F71/D71)</f>
        <v/>
      </c>
    </row>
    <row r="72">
      <c r="A72" s="16" t="inlineStr">
        <is>
          <t>Training</t>
        </is>
      </c>
      <c r="B72" s="16" t="inlineStr">
        <is>
          <t>Apr 25</t>
        </is>
      </c>
      <c r="C72" s="16" t="inlineStr">
        <is>
          <t>Locked</t>
        </is>
      </c>
      <c r="D72" s="12" t="n">
        <v>4600</v>
      </c>
      <c r="E72" s="12" t="n">
        <v>840</v>
      </c>
      <c r="F72" s="12">
        <f>D72-E72</f>
        <v/>
      </c>
      <c r="G72" s="13">
        <f>IF(D72=0,"",F72/D72)</f>
        <v/>
      </c>
    </row>
    <row r="73">
      <c r="A73" s="16" t="inlineStr">
        <is>
          <t>Training</t>
        </is>
      </c>
      <c r="B73" s="16" t="inlineStr">
        <is>
          <t>May 25</t>
        </is>
      </c>
      <c r="C73" s="16" t="inlineStr">
        <is>
          <t>Locked</t>
        </is>
      </c>
      <c r="D73" s="12" t="n">
        <v>14000</v>
      </c>
      <c r="E73" s="12" t="n">
        <v>3660</v>
      </c>
      <c r="F73" s="12">
        <f>D73-E73</f>
        <v/>
      </c>
      <c r="G73" s="13">
        <f>IF(D73=0,"",F73/D73)</f>
        <v/>
      </c>
    </row>
    <row r="74">
      <c r="A74" s="16" t="inlineStr">
        <is>
          <t>Training</t>
        </is>
      </c>
      <c r="B74" s="16" t="inlineStr">
        <is>
          <t>Jun 25</t>
        </is>
      </c>
      <c r="C74" s="16" t="inlineStr">
        <is>
          <t>Locked</t>
        </is>
      </c>
      <c r="D74" s="12" t="n">
        <v>3900</v>
      </c>
      <c r="E74" s="12" t="n">
        <v>720</v>
      </c>
      <c r="F74" s="12">
        <f>D74-E74</f>
        <v/>
      </c>
      <c r="G74" s="13">
        <f>IF(D74=0,"",F74/D74)</f>
        <v/>
      </c>
    </row>
    <row r="75">
      <c r="A75" s="16" t="inlineStr">
        <is>
          <t>Training</t>
        </is>
      </c>
      <c r="B75" s="16" t="inlineStr">
        <is>
          <t>Jul 25</t>
        </is>
      </c>
      <c r="C75" s="16" t="inlineStr">
        <is>
          <t>Locked</t>
        </is>
      </c>
      <c r="D75" s="12" t="n">
        <v>5200</v>
      </c>
      <c r="E75" s="12" t="n">
        <v>960</v>
      </c>
      <c r="F75" s="12">
        <f>D75-E75</f>
        <v/>
      </c>
      <c r="G75" s="13">
        <f>IF(D75=0,"",F75/D75)</f>
        <v/>
      </c>
    </row>
    <row r="76">
      <c r="A76" s="16" t="inlineStr">
        <is>
          <t>Training</t>
        </is>
      </c>
      <c r="B76" s="16" t="inlineStr">
        <is>
          <t>Aug 25</t>
        </is>
      </c>
      <c r="C76" s="16" t="inlineStr">
        <is>
          <t>Locked</t>
        </is>
      </c>
      <c r="D76" s="12" t="n">
        <v>6400</v>
      </c>
      <c r="E76" s="12" t="n">
        <v>2100</v>
      </c>
      <c r="F76" s="12">
        <f>D76-E76</f>
        <v/>
      </c>
      <c r="G76" s="13">
        <f>IF(D76=0,"",F76/D76)</f>
        <v/>
      </c>
    </row>
    <row r="77">
      <c r="A77" s="16" t="inlineStr">
        <is>
          <t>Training</t>
        </is>
      </c>
      <c r="B77" s="16" t="inlineStr">
        <is>
          <t>Sep 25</t>
        </is>
      </c>
      <c r="C77" s="16" t="inlineStr">
        <is>
          <t>Locked</t>
        </is>
      </c>
      <c r="D77" s="12" t="n">
        <v>5200</v>
      </c>
      <c r="E77" s="12" t="n">
        <v>960</v>
      </c>
      <c r="F77" s="12">
        <f>D77-E77</f>
        <v/>
      </c>
      <c r="G77" s="13">
        <f>IF(D77=0,"",F77/D77)</f>
        <v/>
      </c>
    </row>
    <row r="78">
      <c r="A78" s="16" t="inlineStr">
        <is>
          <t>Training</t>
        </is>
      </c>
      <c r="B78" s="16" t="inlineStr">
        <is>
          <t>Oct 25</t>
        </is>
      </c>
      <c r="C78" s="16" t="inlineStr">
        <is>
          <t>Locked</t>
        </is>
      </c>
      <c r="D78" s="12" t="n">
        <v>9100</v>
      </c>
      <c r="E78" s="12" t="n">
        <v>1680</v>
      </c>
      <c r="F78" s="12">
        <f>D78-E78</f>
        <v/>
      </c>
      <c r="G78" s="13">
        <f>IF(D78=0,"",F78/D78)</f>
        <v/>
      </c>
    </row>
    <row r="79">
      <c r="A79" s="16" t="inlineStr">
        <is>
          <t>Training</t>
        </is>
      </c>
      <c r="B79" s="16" t="inlineStr">
        <is>
          <t>Nov 25</t>
        </is>
      </c>
      <c r="C79" s="16" t="inlineStr">
        <is>
          <t>Locked</t>
        </is>
      </c>
      <c r="D79" s="12" t="n">
        <v>8800</v>
      </c>
      <c r="E79" s="12" t="n">
        <v>2700</v>
      </c>
      <c r="F79" s="12">
        <f>D79-E79</f>
        <v/>
      </c>
      <c r="G79" s="13">
        <f>IF(D79=0,"",F79/D79)</f>
        <v/>
      </c>
    </row>
    <row r="80">
      <c r="A80" s="16" t="inlineStr">
        <is>
          <t>Training</t>
        </is>
      </c>
      <c r="B80" s="16" t="inlineStr">
        <is>
          <t>Dec 25</t>
        </is>
      </c>
      <c r="C80" s="16" t="inlineStr">
        <is>
          <t>Locked</t>
        </is>
      </c>
      <c r="D80" s="12" t="n">
        <v>11600</v>
      </c>
      <c r="E80" s="12" t="n">
        <v>3060</v>
      </c>
      <c r="F80" s="12">
        <f>D80-E80</f>
        <v/>
      </c>
      <c r="G80" s="13">
        <f>IF(D80=0,"",F80/D80)</f>
        <v/>
      </c>
    </row>
    <row r="81">
      <c r="A81" s="16" t="inlineStr">
        <is>
          <t>Training</t>
        </is>
      </c>
      <c r="B81" s="16" t="inlineStr">
        <is>
          <t>Jan 26</t>
        </is>
      </c>
      <c r="C81" s="16" t="inlineStr">
        <is>
          <t>Locked</t>
        </is>
      </c>
      <c r="D81" s="12" t="n">
        <v>3900</v>
      </c>
      <c r="E81" s="12" t="n">
        <v>720</v>
      </c>
      <c r="F81" s="12">
        <f>D81-E81</f>
        <v/>
      </c>
      <c r="G81" s="13">
        <f>IF(D81=0,"",F81/D81)</f>
        <v/>
      </c>
    </row>
    <row r="82">
      <c r="A82" s="16" t="inlineStr">
        <is>
          <t>Training</t>
        </is>
      </c>
      <c r="B82" s="16" t="inlineStr">
        <is>
          <t>Feb 26</t>
        </is>
      </c>
      <c r="C82" s="16" t="inlineStr">
        <is>
          <t>Locked</t>
        </is>
      </c>
      <c r="D82" s="12" t="n">
        <v>8800</v>
      </c>
      <c r="E82" s="12" t="n">
        <v>2700</v>
      </c>
      <c r="F82" s="12">
        <f>D82-E82</f>
        <v/>
      </c>
      <c r="G82" s="13">
        <f>IF(D82=0,"",F82/D82)</f>
        <v/>
      </c>
    </row>
    <row r="83">
      <c r="A83" s="16" t="inlineStr">
        <is>
          <t>Training</t>
        </is>
      </c>
      <c r="B83" s="16" t="inlineStr">
        <is>
          <t>Mar 26</t>
        </is>
      </c>
      <c r="C83" s="16" t="inlineStr">
        <is>
          <t>Locked</t>
        </is>
      </c>
      <c r="D83" s="12" t="n">
        <v>6400</v>
      </c>
      <c r="E83" s="12" t="n">
        <v>2100</v>
      </c>
      <c r="F83" s="12">
        <f>D83-E83</f>
        <v/>
      </c>
      <c r="G83" s="13">
        <f>IF(D83=0,"",F83/D83)</f>
        <v/>
      </c>
    </row>
    <row r="84">
      <c r="A84" s="16" t="inlineStr">
        <is>
          <t>Training</t>
        </is>
      </c>
      <c r="B84" s="16" t="inlineStr">
        <is>
          <t>Apr 26</t>
        </is>
      </c>
      <c r="C84" s="16" t="inlineStr">
        <is>
          <t>Locked</t>
        </is>
      </c>
      <c r="D84" s="12" t="n">
        <v>5200</v>
      </c>
      <c r="E84" s="12" t="n">
        <v>960</v>
      </c>
      <c r="F84" s="12">
        <f>D84-E84</f>
        <v/>
      </c>
      <c r="G84" s="13">
        <f>IF(D84=0,"",F84/D84)</f>
        <v/>
      </c>
    </row>
    <row r="85">
      <c r="A85" s="16" t="inlineStr">
        <is>
          <t>Training</t>
        </is>
      </c>
      <c r="B85" s="16" t="inlineStr">
        <is>
          <t>May 26</t>
        </is>
      </c>
      <c r="C85" s="16" t="inlineStr">
        <is>
          <t>Locked</t>
        </is>
      </c>
      <c r="D85" s="12" t="n">
        <v>5200</v>
      </c>
      <c r="E85" s="12" t="n">
        <v>960</v>
      </c>
      <c r="F85" s="12">
        <f>D85-E85</f>
        <v/>
      </c>
      <c r="G85" s="13">
        <f>IF(D85=0,"",F85/D85)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3" manualBreakCount="3">
    <brk id="25" min="0" max="16383" man="1"/>
    <brk id="45" min="0" max="16383" man="1"/>
    <brk id="65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8 Oct 2026, 9:35am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552820</v>
      </c>
      <c r="C6" s="12" t="n"/>
      <c r="D6" s="13">
        <f>IF(C6=0,"",B6/C6-1)</f>
        <v/>
      </c>
      <c r="E6" s="12" t="n">
        <v>341000</v>
      </c>
      <c r="F6" s="13">
        <f>IF(B6=0,"",E6/B6)</f>
        <v/>
      </c>
    </row>
    <row r="7">
      <c r="A7" s="16" t="inlineStr">
        <is>
          <t>Retainers</t>
        </is>
      </c>
      <c r="B7" s="12" t="n">
        <v>263300</v>
      </c>
      <c r="C7" s="12" t="n"/>
      <c r="D7" s="13">
        <f>IF(C7=0,"",B7/C7-1)</f>
        <v/>
      </c>
      <c r="E7" s="12" t="n">
        <v>173000</v>
      </c>
      <c r="F7" s="13">
        <f>IF(B7=0,"",E7/B7)</f>
        <v/>
      </c>
    </row>
    <row r="8">
      <c r="A8" s="16" t="inlineStr">
        <is>
          <t>Training</t>
        </is>
      </c>
      <c r="B8" s="12" t="n">
        <v>75800</v>
      </c>
      <c r="C8" s="12" t="n"/>
      <c r="D8" s="13">
        <f>IF(C8=0,"",B8/C8-1)</f>
        <v/>
      </c>
      <c r="E8" s="12" t="n">
        <v>56900</v>
      </c>
      <c r="F8" s="13">
        <f>IF(B8=0,"",E8/B8)</f>
        <v/>
      </c>
    </row>
    <row r="9">
      <c r="A9" s="16" t="inlineStr">
        <is>
          <t>Total</t>
        </is>
      </c>
      <c r="B9" s="12" t="n">
        <v>891920</v>
      </c>
      <c r="C9" s="12" t="n"/>
      <c r="D9" s="13">
        <f>IF(C9=0,"",B9/C9-1)</f>
        <v/>
      </c>
      <c r="E9" s="12" t="n">
        <v>570900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2026-10-07T23:35:58Z</dcterms:created>
  <dcterms:modified xmlns:dcterms="http://purl.org/dc/terms/" xmlns:xsi="http://www.w3.org/2001/XMLSchema-instance" xsi:type="dcterms:W3CDTF">2026-10-07T23:35:58Z</dcterms:modified>
</cp:coreProperties>
</file>