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y_2026">'Report'!$B$8</definedName>
    <definedName name="May_last_year">'Report'!$B$9</definedName>
    <definedName name="Year_to_date_Jul_to_May_2026">'Report'!$B$10</definedName>
    <definedName name="_xlnm.Print_Area" localSheetId="0">'Report'!$A$1:$D$18</definedName>
    <definedName name="_xlnm.Print_Area" localSheetId="1">'Workings'!$A$1:$C$27</definedName>
    <definedName name="_xlnm.Print_Titles" localSheetId="2">'Data'!$5:$5</definedName>
    <definedName name="_xlnm.Print_Area" localSheetId="2">'Data'!$A$1:$E$25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'Data'!$A$6:$A$25</f>
            </numRef>
          </cat>
          <val>
            <numRef>
              <f>'Data'!$C$6:$C$25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5" headerRowCount="1">
  <autoFilter ref="A5:E25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May 2026</t>
        </is>
      </c>
      <c r="B8" s="6">
        <f>Workings!B10</f>
        <v/>
      </c>
      <c r="C8" s="7" t="inlineStr">
        <is>
          <t>April $240</t>
        </is>
      </c>
    </row>
    <row r="9">
      <c r="A9" t="inlineStr">
        <is>
          <t>May last year</t>
        </is>
      </c>
      <c r="B9" s="6">
        <f>Workings!B18</f>
        <v/>
      </c>
      <c r="C9" s="7" t="inlineStr">
        <is>
          <t>31 new customers from $8,400</t>
        </is>
      </c>
    </row>
    <row r="10">
      <c r="A10" t="inlineStr">
        <is>
          <t>Year to date (Jul to May 2026)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36 new customers came from $8,400 of marketing in May, against 35 from $8,400 in April: $233 each, down from $240.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10" t="inlineStr">
        <is>
          <t>Cost to win a customer, May and April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May 26</t>
        </is>
      </c>
      <c r="C7" s="5" t="inlineStr">
        <is>
          <t>Apr 26</t>
        </is>
      </c>
    </row>
    <row r="8">
      <c r="A8" t="inlineStr">
        <is>
          <t>Marketing spend (ledger)</t>
        </is>
      </c>
      <c r="B8" s="11" t="n">
        <v>8400</v>
      </c>
      <c r="C8" s="11" t="n">
        <v>8400</v>
      </c>
    </row>
    <row r="9">
      <c r="A9" t="inlineStr">
        <is>
          <t>New customers (first job ever)</t>
        </is>
      </c>
      <c r="B9" s="11" t="n">
        <v>36</v>
      </c>
      <c r="C9" s="11" t="n">
        <v>35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May 25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May 25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31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May 2026</t>
        </is>
      </c>
      <c r="B24" s="11" t="n">
        <v>92000</v>
      </c>
    </row>
    <row r="25">
      <c r="A25" t="inlineStr">
        <is>
          <t>New customers, Jul to May 2026</t>
        </is>
      </c>
      <c r="B25" s="11" t="n">
        <v>402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May 2026 · Data status: Apr 2026 locked · May 2026 locked · Oct 2026 incomplete (data retrieved 2pm, Tue 6 Oct 2026) · Generated 8 Oct 2026, 9:35am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  <row r="21">
      <c r="A21" s="14" t="inlineStr">
        <is>
          <t>Jan 26</t>
        </is>
      </c>
      <c r="B21" s="14" t="inlineStr">
        <is>
          <t>Locked</t>
        </is>
      </c>
      <c r="C21" s="11" t="n">
        <v>8000</v>
      </c>
      <c r="D21" s="11" t="n">
        <v>44</v>
      </c>
      <c r="E21" s="11">
        <f>C21/D21</f>
        <v/>
      </c>
    </row>
    <row r="22">
      <c r="A22" s="14" t="inlineStr">
        <is>
          <t>Feb 26</t>
        </is>
      </c>
      <c r="B22" s="14" t="inlineStr">
        <is>
          <t>Locked</t>
        </is>
      </c>
      <c r="C22" s="11" t="n">
        <v>8600</v>
      </c>
      <c r="D22" s="11" t="n">
        <v>39</v>
      </c>
      <c r="E22" s="11">
        <f>C22/D22</f>
        <v/>
      </c>
    </row>
    <row r="23">
      <c r="A23" s="14" t="inlineStr">
        <is>
          <t>Mar 26</t>
        </is>
      </c>
      <c r="B23" s="14" t="inlineStr">
        <is>
          <t>Locked</t>
        </is>
      </c>
      <c r="C23" s="11" t="n">
        <v>8400</v>
      </c>
      <c r="D23" s="11" t="n">
        <v>37</v>
      </c>
      <c r="E23" s="11">
        <f>C23/D23</f>
        <v/>
      </c>
    </row>
    <row r="24">
      <c r="A24" s="14" t="inlineStr">
        <is>
          <t>Apr 26</t>
        </is>
      </c>
      <c r="B24" s="14" t="inlineStr">
        <is>
          <t>Locked</t>
        </is>
      </c>
      <c r="C24" s="11" t="n">
        <v>8400</v>
      </c>
      <c r="D24" s="11" t="n">
        <v>35</v>
      </c>
      <c r="E24" s="11">
        <f>C24/D24</f>
        <v/>
      </c>
    </row>
    <row r="25">
      <c r="A25" s="14" t="inlineStr">
        <is>
          <t>May 26</t>
        </is>
      </c>
      <c r="B25" s="14" t="inlineStr">
        <is>
          <t>Locked</t>
        </is>
      </c>
      <c r="C25" s="11" t="n">
        <v>8400</v>
      </c>
      <c r="D25" s="11" t="n">
        <v>36</v>
      </c>
      <c r="E25" s="11">
        <f>C25/D25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8 Oct 2026, 9:35am&amp;R&amp;"Roboto,Regular"&amp;8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2026-10-07T23:35:51Z</dcterms:created>
  <dcterms:modified xmlns:dcterms="http://purl.org/dc/terms/" xmlns:xsi="http://www.w3.org/2001/XMLSchema-instance" xsi:type="dcterms:W3CDTF">2026-10-07T23:35:51Z</dcterms:modified>
</cp:coreProperties>
</file>