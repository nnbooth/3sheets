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port" sheetId="1" state="visible" r:id="rId1"/>
    <sheet xmlns:r="http://schemas.openxmlformats.org/officeDocument/2006/relationships" name="Workings" sheetId="2" state="visible" r:id="rId2"/>
    <sheet xmlns:r="http://schemas.openxmlformats.org/officeDocument/2006/relationships" name="Data" sheetId="3" state="visible" r:id="rId3"/>
  </sheets>
  <definedNames>
    <definedName name="_xlnm.Print_Titles" localSheetId="2">'Data'!$5:$5</definedName>
  </definedNames>
  <calcPr calcId="124519" fullCalcOnLoad="1"/>
</workbook>
</file>

<file path=xl/styles.xml><?xml version="1.0" encoding="utf-8"?>
<styleSheet xmlns="http://schemas.openxmlformats.org/spreadsheetml/2006/main">
  <numFmts count="3">
    <numFmt numFmtId="164" formatCode="#,##0;[Red](#,##0);&quot;-&quot;"/>
    <numFmt numFmtId="165" formatCode="0.0%;[Red](0.0%);&quot;-&quot;"/>
    <numFmt numFmtId="166" formatCode="#,##0.0;[Red](#,##0.0);&quot;-&quot;"/>
  </numFmts>
  <fonts count="11">
    <font>
      <name val="Roboto"/>
      <sz val="11"/>
    </font>
    <font>
      <name val="Roboto"/>
      <sz val="11"/>
    </font>
    <font>
      <name val="Roboto"/>
      <b val="1"/>
      <color rgb="0025342A"/>
      <sz val="14"/>
    </font>
    <font>
      <name val="Roboto"/>
      <i val="1"/>
      <color rgb="005F6F63"/>
      <sz val="9"/>
    </font>
    <font>
      <name val="Roboto"/>
      <b val="1"/>
      <color rgb="002F7A5D"/>
    </font>
    <font>
      <name val="Roboto"/>
      <b val="1"/>
      <color rgb="002F7A5D"/>
      <sz val="12"/>
    </font>
    <font>
      <name val="Roboto"/>
      <i val="1"/>
      <color rgb="005F6F63"/>
    </font>
    <font>
      <name val="Roboto"/>
      <b val="1"/>
      <color rgb="00FFFFFF"/>
    </font>
    <font>
      <name val="Roboto"/>
      <b val="1"/>
    </font>
    <font>
      <name val="Roboto"/>
      <color rgb="005F6F63"/>
    </font>
    <font>
      <name val="Roboto"/>
      <b val="1"/>
      <color rgb="0025342A"/>
    </font>
  </fonts>
  <fills count="3">
    <fill>
      <patternFill/>
    </fill>
    <fill>
      <patternFill patternType="gray125"/>
    </fill>
    <fill>
      <patternFill patternType="solid">
        <fgColor rgb="002F7A5D"/>
      </patternFill>
    </fill>
  </fills>
  <borders count="2">
    <border>
      <left/>
      <right/>
      <top/>
      <bottom/>
      <diagonal/>
    </border>
    <border>
      <top style="thin">
        <color rgb="00DCE8DC"/>
      </top>
    </border>
  </borders>
  <cellStyleXfs count="1">
    <xf numFmtId="0" fontId="1" fillId="0" borderId="0"/>
  </cellStyleXfs>
  <cellXfs count="19">
    <xf numFmtId="0" fontId="0" fillId="0" borderId="0" pivotButton="0" quotePrefix="0" xfId="0"/>
    <xf numFmtId="0" fontId="2" fillId="0" borderId="0" pivotButton="0" quotePrefix="0" xfId="0"/>
    <xf numFmtId="0" fontId="3" fillId="0" borderId="0" pivotButton="0" quotePrefix="0" xfId="0"/>
    <xf numFmtId="0" fontId="0" fillId="0" borderId="0" applyAlignment="1" pivotButton="0" quotePrefix="0" xfId="0">
      <alignment vertical="top" wrapText="1"/>
    </xf>
    <xf numFmtId="0" fontId="4" fillId="0" borderId="0" pivotButton="0" quotePrefix="0" xfId="0"/>
    <xf numFmtId="0" fontId="5" fillId="0" borderId="0" pivotButton="0" quotePrefix="0" xfId="0"/>
    <xf numFmtId="0" fontId="7" fillId="2" borderId="0" applyAlignment="1" pivotButton="0" quotePrefix="0" xfId="0">
      <alignment horizontal="left" vertical="center" wrapText="1"/>
    </xf>
    <xf numFmtId="0" fontId="7" fillId="2" borderId="0" applyAlignment="1" pivotButton="0" quotePrefix="0" xfId="0">
      <alignment horizontal="right" vertical="center" wrapText="1"/>
    </xf>
    <xf numFmtId="165" fontId="0" fillId="0" borderId="0" pivotButton="0" quotePrefix="0" xfId="0"/>
    <xf numFmtId="0" fontId="9" fillId="0" borderId="0" pivotButton="0" quotePrefix="0" xfId="0"/>
    <xf numFmtId="0" fontId="10" fillId="0" borderId="0" pivotButton="0" quotePrefix="0" xfId="0"/>
    <xf numFmtId="164" fontId="0" fillId="0" borderId="0" pivotButton="0" quotePrefix="0" xfId="0"/>
    <xf numFmtId="0" fontId="6" fillId="0" borderId="0" pivotButton="0" quotePrefix="0" xfId="0"/>
    <xf numFmtId="164" fontId="0" fillId="0" borderId="0" applyAlignment="1" pivotButton="0" quotePrefix="0" xfId="0">
      <alignment horizontal="right"/>
    </xf>
    <xf numFmtId="165" fontId="0" fillId="0" borderId="0" applyAlignment="1" pivotButton="0" quotePrefix="0" xfId="0">
      <alignment horizontal="right"/>
    </xf>
    <xf numFmtId="0" fontId="8" fillId="0" borderId="1" pivotButton="0" quotePrefix="0" xfId="0"/>
    <xf numFmtId="165" fontId="8" fillId="0" borderId="1" applyAlignment="1" pivotButton="0" quotePrefix="0" xfId="0">
      <alignment horizontal="right"/>
    </xf>
    <xf numFmtId="166" fontId="0" fillId="0" borderId="0" applyAlignment="1" pivotButton="0" quotePrefix="0" xfId="0">
      <alignment horizontal="right"/>
    </xf>
    <xf numFmtId="49"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D105"/>
  <sheetViews>
    <sheetView showGridLines="0" workbookViewId="0">
      <selection activeCell="A1" sqref="A1"/>
    </sheetView>
  </sheetViews>
  <sheetFormatPr baseColWidth="8" defaultRowHeight="15"/>
  <cols>
    <col width="52" customWidth="1" min="1" max="1"/>
    <col width="20" customWidth="1" min="2" max="2"/>
    <col width="44" customWidth="1" min="3" max="3"/>
    <col width="18" customWidth="1" min="4" max="4"/>
  </cols>
  <sheetData>
    <row r="1">
      <c r="A1" s="1" t="inlineStr">
        <is>
          <t>Which jobs actually make money?</t>
        </is>
      </c>
    </row>
    <row r="2">
      <c r="A2" s="2" t="inlineStr">
        <is>
          <t>Sample Electrical &amp; Air Pty Ltd · SAMPLE DATA (invented) · The Fourth Sheet</t>
        </is>
      </c>
    </row>
    <row r="3">
      <c r="A3" s="2" t="inlineStr">
        <is>
          <t>Period: May 2026 · Data status: Apr 2026 locked · May 2026 locked · Oct 2026 incomplete (data retrieved 2pm, Tue 6 Oct 2026)</t>
        </is>
      </c>
    </row>
    <row r="4"/>
    <row r="5" ht="32" customHeight="1">
      <c r="A5" s="3" t="inlineStr">
        <is>
          <t>Every job's gross margin: revenue less materials, subcontractors and technician time at $68 an hour (fully loaded: wages and all on-costs). Pick a type of job and every number, chart and note on the page follows it.</t>
        </is>
      </c>
    </row>
    <row r="6"/>
    <row r="7">
      <c r="A7" s="4" t="inlineStr">
        <is>
          <t>Gross margin, not profit</t>
        </is>
      </c>
    </row>
    <row r="8" ht="90" customHeight="1">
      <c r="A8" s="3" t="inlineStr">
        <is>
          <t>Gross margin is not profit. Job gross margin = revenue less materials, subcontractors and technician time charged to the job at $68 an hour (wages and all on-costs). Not included: technician time not charged to any job (travel, training, waiting), and overheads (office wages, marketing, vehicles, rent, insurance, IT, depreciation, interest). Profit is what's left after those. Wages always include all on-costs: super, payroll tax, workers' compensation insurance and leave.</t>
        </is>
      </c>
    </row>
    <row r="9"/>
    <row r="10">
      <c r="A10" s="4" t="inlineStr">
        <is>
          <t>From gross margin to profit</t>
        </is>
      </c>
    </row>
    <row r="11" ht="45" customHeight="1">
      <c r="A11" s="3" t="inlineStr">
        <is>
          <t>May's jobs made $63,105 gross margin (39.0%). Technician time not charged to jobs took $5,402 and overheads $59,270, leaving ($1,567) profit before tax ((1.0%) of revenue). To cover overheads, jobs need a 39.9% gross margin on average. (Workings sheet: "From gross margin to profit".)</t>
        </is>
      </c>
    </row>
    <row r="12"/>
    <row r="13">
      <c r="A13" s="5" t="inlineStr">
        <is>
          <t>Type of job: All jobs</t>
        </is>
      </c>
    </row>
    <row r="14">
      <c r="A14" s="6" t="inlineStr">
        <is>
          <t>Headline number</t>
        </is>
      </c>
      <c r="B14" s="7" t="inlineStr">
        <is>
          <t>Value</t>
        </is>
      </c>
      <c r="C14" s="7" t="inlineStr">
        <is>
          <t>Compared with</t>
        </is>
      </c>
    </row>
    <row r="15">
      <c r="A15" t="inlineStr">
        <is>
          <t>Job gross margin, May · All jobs</t>
        </is>
      </c>
      <c r="B15" s="8">
        <f>Workings!B28</f>
        <v/>
      </c>
      <c r="C15" s="9" t="inlineStr">
        <is>
          <t>target 35.0%</t>
        </is>
      </c>
    </row>
    <row r="16">
      <c r="A16" t="inlineStr">
        <is>
          <t>Job gross margin, April · All jobs</t>
        </is>
      </c>
      <c r="B16" s="8">
        <f>Workings!B37</f>
        <v/>
      </c>
      <c r="C16" s="9" t="inlineStr">
        <is>
          <t>target 35.0%</t>
        </is>
      </c>
    </row>
    <row r="17">
      <c r="A17" t="inlineStr">
        <is>
          <t>Gross margin jobs need to break even</t>
        </is>
      </c>
      <c r="B17" s="8">
        <f>Workings!B53</f>
        <v/>
      </c>
      <c r="C17" s="9" t="inlineStr">
        <is>
          <t>covers overheads and time not charged (May)</t>
        </is>
      </c>
    </row>
    <row r="18"/>
    <row r="19">
      <c r="A19" s="10" t="inlineStr">
        <is>
          <t>Job gross margin by type of job, May 2026</t>
        </is>
      </c>
    </row>
    <row r="20">
      <c r="A20" s="6" t="inlineStr"/>
      <c r="B20" s="7" t="inlineStr">
        <is>
          <t>Gross margin %</t>
        </is>
      </c>
      <c r="C20" s="7" t="inlineStr">
        <is>
          <t>Gross margin $</t>
        </is>
      </c>
    </row>
    <row r="21">
      <c r="A21" t="inlineStr">
        <is>
          <t>Maintenance contracts</t>
        </is>
      </c>
      <c r="B21" s="8">
        <f>Workings!B63</f>
        <v/>
      </c>
      <c r="C21" s="11">
        <f>Workings!B62</f>
        <v/>
      </c>
    </row>
    <row r="22">
      <c r="A22" t="inlineStr">
        <is>
          <t>Installations</t>
        </is>
      </c>
      <c r="B22" s="8">
        <f>Workings!B72</f>
        <v/>
      </c>
      <c r="C22" s="11">
        <f>Workings!B71</f>
        <v/>
      </c>
    </row>
    <row r="23">
      <c r="A23" t="inlineStr">
        <is>
          <t>Call-outs and repairs</t>
        </is>
      </c>
      <c r="B23" s="8">
        <f>Workings!B81</f>
        <v/>
      </c>
      <c r="C23" s="11">
        <f>Workings!B80</f>
        <v/>
      </c>
    </row>
    <row r="24"/>
    <row r="25">
      <c r="A25" s="4" t="inlineStr">
        <is>
          <t>What it shows</t>
        </is>
      </c>
    </row>
    <row r="26" ht="45" customHeight="1">
      <c r="A26" s="3" t="inlineStr">
        <is>
          <t>In May maintenance contracts made a 59.5% job gross margin, installations made a 28.3% job gross margin, call-outs and repairs made a 44.1% job gross margin (technician time at $68 an hour, wages and all on-costs). Jobs need 39.9% just to cover overheads.</t>
        </is>
      </c>
    </row>
    <row r="27"/>
    <row r="28">
      <c r="A28" s="4" t="inlineStr">
        <is>
          <t>What you'd do about it</t>
        </is>
      </c>
    </row>
    <row r="29" ht="45" customHeight="1">
      <c r="A29" s="3" t="inlineStr">
        <is>
          <t>Installations: 28.3% gross margin, 6.7 points under the 35.0% target: about $6,180 on $92,400 of revenue in May. It's below the 39.9% needed to cover overheads, too. Maintenance contracts: 59.5% gross margin, 24.5 points over the 35.0% target ($9,941 ahead on $40,500 in May).</t>
        </is>
      </c>
    </row>
    <row r="30"/>
    <row r="31">
      <c r="A31" s="5" t="inlineStr">
        <is>
          <t>Type of job: Maintenance contracts</t>
        </is>
      </c>
    </row>
    <row r="32">
      <c r="A32" s="6" t="inlineStr">
        <is>
          <t>Headline number</t>
        </is>
      </c>
      <c r="B32" s="7" t="inlineStr">
        <is>
          <t>Value</t>
        </is>
      </c>
      <c r="C32" s="7" t="inlineStr">
        <is>
          <t>Compared with</t>
        </is>
      </c>
    </row>
    <row r="33">
      <c r="A33" t="inlineStr">
        <is>
          <t>Job gross margin, May · Maintenance contracts</t>
        </is>
      </c>
      <c r="B33" s="8">
        <f>Workings!B90</f>
        <v/>
      </c>
      <c r="C33" s="9" t="inlineStr">
        <is>
          <t>target 35.0%</t>
        </is>
      </c>
    </row>
    <row r="34">
      <c r="A34" t="inlineStr">
        <is>
          <t>Job gross margin, April · Maintenance contracts</t>
        </is>
      </c>
      <c r="B34" s="8">
        <f>Workings!B99</f>
        <v/>
      </c>
      <c r="C34" s="9" t="inlineStr">
        <is>
          <t>target 35.0%</t>
        </is>
      </c>
    </row>
    <row r="35">
      <c r="A35" t="inlineStr">
        <is>
          <t>Gross margin jobs need to break even</t>
        </is>
      </c>
      <c r="B35" s="8">
        <f>Workings!B115</f>
        <v/>
      </c>
      <c r="C35" s="9" t="inlineStr">
        <is>
          <t>covers overheads and time not charged (May)</t>
        </is>
      </c>
    </row>
    <row r="36"/>
    <row r="37">
      <c r="A37" s="10" t="inlineStr">
        <is>
          <t>Job gross margin on each maintenance contract, May 2026</t>
        </is>
      </c>
    </row>
    <row r="38">
      <c r="A38" s="6" t="inlineStr"/>
      <c r="B38" s="7" t="inlineStr">
        <is>
          <t>Gross margin %</t>
        </is>
      </c>
      <c r="C38" s="7" t="inlineStr">
        <is>
          <t>Gross margin $</t>
        </is>
      </c>
    </row>
    <row r="39">
      <c r="A39" t="inlineStr">
        <is>
          <t>Carindale vet clinic</t>
        </is>
      </c>
      <c r="B39" s="8">
        <f>Workings!B129</f>
        <v/>
      </c>
      <c r="C39" s="11">
        <f>Workings!B128</f>
        <v/>
      </c>
    </row>
    <row r="40">
      <c r="A40" t="inlineStr">
        <is>
          <t>Wynnum medical centre</t>
        </is>
      </c>
      <c r="B40" s="8">
        <f>Workings!B142</f>
        <v/>
      </c>
      <c r="C40" s="11">
        <f>Workings!B141</f>
        <v/>
      </c>
    </row>
    <row r="41">
      <c r="A41" t="inlineStr">
        <is>
          <t>Southbank cafe group</t>
        </is>
      </c>
      <c r="B41" s="8">
        <f>Workings!B155</f>
        <v/>
      </c>
      <c r="C41" s="11">
        <f>Workings!B154</f>
        <v/>
      </c>
    </row>
    <row r="42">
      <c r="A42" t="inlineStr">
        <is>
          <t>Ashgrove aged care</t>
        </is>
      </c>
      <c r="B42" s="8">
        <f>Workings!B168</f>
        <v/>
      </c>
      <c r="C42" s="11">
        <f>Workings!B167</f>
        <v/>
      </c>
    </row>
    <row r="43">
      <c r="A43" t="inlineStr">
        <is>
          <t>Fortitude Valley hotel</t>
        </is>
      </c>
      <c r="B43" s="8">
        <f>Workings!B181</f>
        <v/>
      </c>
      <c r="C43" s="11">
        <f>Workings!B180</f>
        <v/>
      </c>
    </row>
    <row r="44">
      <c r="A44" t="inlineStr">
        <is>
          <t>Riverside Apartments (strata)</t>
        </is>
      </c>
      <c r="B44" s="8">
        <f>Workings!B194</f>
        <v/>
      </c>
      <c r="C44" s="11">
        <f>Workings!B193</f>
        <v/>
      </c>
    </row>
    <row r="45">
      <c r="A45" t="inlineStr">
        <is>
          <t>Newstead gym</t>
        </is>
      </c>
      <c r="B45" s="8">
        <f>Workings!B207</f>
        <v/>
      </c>
      <c r="C45" s="11">
        <f>Workings!B206</f>
        <v/>
      </c>
    </row>
    <row r="46">
      <c r="A46" t="inlineStr">
        <is>
          <t>Chermside retail centre</t>
        </is>
      </c>
      <c r="B46" s="8">
        <f>Workings!B220</f>
        <v/>
      </c>
      <c r="C46" s="11">
        <f>Workings!B219</f>
        <v/>
      </c>
    </row>
    <row r="47">
      <c r="A47" t="inlineStr">
        <is>
          <t>Wacol logistics depot</t>
        </is>
      </c>
      <c r="B47" s="8">
        <f>Workings!B233</f>
        <v/>
      </c>
      <c r="C47" s="11">
        <f>Workings!B232</f>
        <v/>
      </c>
    </row>
    <row r="48">
      <c r="A48" t="inlineStr">
        <is>
          <t>Milton office tower</t>
        </is>
      </c>
      <c r="B48" s="8">
        <f>Workings!B246</f>
        <v/>
      </c>
      <c r="C48" s="11">
        <f>Workings!B245</f>
        <v/>
      </c>
    </row>
    <row r="49">
      <c r="A49" t="inlineStr">
        <is>
          <t>Bulimba school</t>
        </is>
      </c>
      <c r="B49" s="8">
        <f>Workings!B259</f>
        <v/>
      </c>
      <c r="C49" s="11">
        <f>Workings!B258</f>
        <v/>
      </c>
    </row>
    <row r="50">
      <c r="A50" t="inlineStr">
        <is>
          <t>West End brewery</t>
        </is>
      </c>
      <c r="B50" s="8">
        <f>Workings!B272</f>
        <v/>
      </c>
      <c r="C50" s="11">
        <f>Workings!B271</f>
        <v/>
      </c>
    </row>
    <row r="51">
      <c r="A51" t="inlineStr">
        <is>
          <t>Rocklea factory</t>
        </is>
      </c>
      <c r="B51" s="8">
        <f>Workings!B285</f>
        <v/>
      </c>
      <c r="C51" s="11">
        <f>Workings!B284</f>
        <v/>
      </c>
    </row>
    <row r="52">
      <c r="A52" t="inlineStr">
        <is>
          <t>Kangaroo Point townhouses</t>
        </is>
      </c>
      <c r="B52" s="8">
        <f>Workings!B298</f>
        <v/>
      </c>
      <c r="C52" s="11">
        <f>Workings!B297</f>
        <v/>
      </c>
    </row>
    <row r="53"/>
    <row r="54">
      <c r="A54" s="4" t="inlineStr">
        <is>
          <t>What it shows</t>
        </is>
      </c>
    </row>
    <row r="55" ht="30" customHeight="1">
      <c r="A55" s="3" t="inlineStr">
        <is>
          <t>All 14 contracts made more than the 35.0% job gross margin target. The thinnest was Kangaroo Point townhouses at 58.2% job gross margin: 14.0 h of technician time on a $2,400 monthly fee.</t>
        </is>
      </c>
    </row>
    <row r="56"/>
    <row r="57">
      <c r="A57" s="4" t="inlineStr">
        <is>
          <t>What you'd do about it</t>
        </is>
      </c>
    </row>
    <row r="58" ht="45" customHeight="1">
      <c r="A58" s="3" t="inlineStr">
        <is>
          <t>The thinnest, Kangaroo Point townhouses: 58.2% gross margin, 23.3 points over the 35.0% target ($558 ahead on $2,400 in May). All maintenance contracts: 59.5% gross margin, 24.5 points over the 35.0% target ($9,941 ahead on $40,500 in May).</t>
        </is>
      </c>
    </row>
    <row r="59"/>
    <row r="60">
      <c r="A60" s="5" t="inlineStr">
        <is>
          <t>Type of job: Installations</t>
        </is>
      </c>
    </row>
    <row r="61">
      <c r="A61" s="6" t="inlineStr">
        <is>
          <t>Headline number</t>
        </is>
      </c>
      <c r="B61" s="7" t="inlineStr">
        <is>
          <t>Value</t>
        </is>
      </c>
      <c r="C61" s="7" t="inlineStr">
        <is>
          <t>Compared with</t>
        </is>
      </c>
    </row>
    <row r="62">
      <c r="A62" t="inlineStr">
        <is>
          <t>Job gross margin, May · Installations</t>
        </is>
      </c>
      <c r="B62" s="8">
        <f>Workings!B307</f>
        <v/>
      </c>
      <c r="C62" s="9" t="inlineStr">
        <is>
          <t>target 35.0%</t>
        </is>
      </c>
    </row>
    <row r="63">
      <c r="A63" t="inlineStr">
        <is>
          <t>Job gross margin, April · Installations</t>
        </is>
      </c>
      <c r="B63" s="8">
        <f>Workings!B316</f>
        <v/>
      </c>
      <c r="C63" s="9" t="inlineStr">
        <is>
          <t>target 35.0%</t>
        </is>
      </c>
    </row>
    <row r="64">
      <c r="A64" t="inlineStr">
        <is>
          <t>Gross margin jobs need to break even</t>
        </is>
      </c>
      <c r="B64" s="8">
        <f>Workings!B332</f>
        <v/>
      </c>
      <c r="C64" s="9" t="inlineStr">
        <is>
          <t>covers overheads and time not charged (May)</t>
        </is>
      </c>
    </row>
    <row r="65"/>
    <row r="66">
      <c r="A66" s="10" t="inlineStr">
        <is>
          <t>Job gross margin on each installation invoiced in May 2026</t>
        </is>
      </c>
    </row>
    <row r="67">
      <c r="A67" s="6" t="inlineStr"/>
      <c r="B67" s="7" t="inlineStr">
        <is>
          <t>Gross margin %</t>
        </is>
      </c>
      <c r="C67" s="7" t="inlineStr">
        <is>
          <t>Gross margin $</t>
        </is>
      </c>
    </row>
    <row r="68">
      <c r="A68" t="inlineStr">
        <is>
          <t>Installation 4, May</t>
        </is>
      </c>
      <c r="B68" s="8">
        <f>Workings!B346</f>
        <v/>
      </c>
      <c r="C68" s="11">
        <f>Workings!B345</f>
        <v/>
      </c>
    </row>
    <row r="69">
      <c r="A69" t="inlineStr">
        <is>
          <t>Installation 2, May</t>
        </is>
      </c>
      <c r="B69" s="8">
        <f>Workings!B359</f>
        <v/>
      </c>
      <c r="C69" s="11">
        <f>Workings!B358</f>
        <v/>
      </c>
    </row>
    <row r="70">
      <c r="A70" t="inlineStr">
        <is>
          <t>Installation 1, May</t>
        </is>
      </c>
      <c r="B70" s="8">
        <f>Workings!B372</f>
        <v/>
      </c>
      <c r="C70" s="11">
        <f>Workings!B371</f>
        <v/>
      </c>
    </row>
    <row r="71">
      <c r="A71" t="inlineStr">
        <is>
          <t>Installation 3, May</t>
        </is>
      </c>
      <c r="B71" s="8">
        <f>Workings!B385</f>
        <v/>
      </c>
      <c r="C71" s="11">
        <f>Workings!B384</f>
        <v/>
      </c>
    </row>
    <row r="72"/>
    <row r="73">
      <c r="A73" s="4" t="inlineStr">
        <is>
          <t>What it shows</t>
        </is>
      </c>
    </row>
    <row r="74" ht="60" customHeight="1">
      <c r="A74" s="3" t="inlineStr">
        <is>
          <t>4 of the 4 installation jobs invoiced in May made less than the 35.0% job gross margin target. The Installation 3, May made a 28.1% job gross margin: 151.0 h of technician time ($10,268) and $3,100 of subcontractors on a $39,300 job. Jobs need 39.9% gross margin just to cover overheads.</t>
        </is>
      </c>
    </row>
    <row r="75"/>
    <row r="76">
      <c r="A76" s="4" t="inlineStr">
        <is>
          <t>What you'd do about it</t>
        </is>
      </c>
    </row>
    <row r="77" ht="45" customHeight="1">
      <c r="A77" s="3" t="inlineStr">
        <is>
          <t>4 installations under the 35.0% target, worth about $6,180 between them on $92,400 of revenue. The biggest gap, Installation 3, May: 28.1% gross margin, 6.9 points under the 35.0% target: about $2,723 on $39,300 of revenue in May. It's below the 39.9% needed to cover overheads, too.</t>
        </is>
      </c>
    </row>
    <row r="78"/>
    <row r="79">
      <c r="A79" s="5" t="inlineStr">
        <is>
          <t>Type of job: Call-outs and repairs</t>
        </is>
      </c>
    </row>
    <row r="80">
      <c r="A80" s="6" t="inlineStr">
        <is>
          <t>Headline number</t>
        </is>
      </c>
      <c r="B80" s="7" t="inlineStr">
        <is>
          <t>Value</t>
        </is>
      </c>
      <c r="C80" s="7" t="inlineStr">
        <is>
          <t>Compared with</t>
        </is>
      </c>
    </row>
    <row r="81">
      <c r="A81" t="inlineStr">
        <is>
          <t>Job gross margin, May · Call-outs and repairs</t>
        </is>
      </c>
      <c r="B81" s="8">
        <f>Workings!B394</f>
        <v/>
      </c>
      <c r="C81" s="9" t="inlineStr">
        <is>
          <t>target 35.0%</t>
        </is>
      </c>
    </row>
    <row r="82">
      <c r="A82" t="inlineStr">
        <is>
          <t>Job gross margin, April · Call-outs and repairs</t>
        </is>
      </c>
      <c r="B82" s="8">
        <f>Workings!B403</f>
        <v/>
      </c>
      <c r="C82" s="9" t="inlineStr">
        <is>
          <t>target 35.0%</t>
        </is>
      </c>
    </row>
    <row r="83">
      <c r="A83" t="inlineStr">
        <is>
          <t>Gross margin jobs need to break even</t>
        </is>
      </c>
      <c r="B83" s="8">
        <f>Workings!B419</f>
        <v/>
      </c>
      <c r="C83" s="9" t="inlineStr">
        <is>
          <t>covers overheads and time not charged (May)</t>
        </is>
      </c>
    </row>
    <row r="84">
      <c r="A84" t="inlineStr">
        <is>
          <t>Technician time charged, May</t>
        </is>
      </c>
      <c r="B84" s="8">
        <f>Workings!B432</f>
        <v/>
      </c>
      <c r="C84" s="9" t="inlineStr">
        <is>
          <t>70.1% of call-out revenue</t>
        </is>
      </c>
    </row>
    <row r="85">
      <c r="A85" t="inlineStr">
        <is>
          <t>Materials charged, May</t>
        </is>
      </c>
      <c r="B85" s="8">
        <f>Workings!B444</f>
        <v/>
      </c>
      <c r="C85" s="9" t="inlineStr">
        <is>
          <t>$6,680 at cost, plus 30%</t>
        </is>
      </c>
    </row>
    <row r="86"/>
    <row r="87">
      <c r="A87" s="10" t="inlineStr">
        <is>
          <t>Job gross margin on call-outs by length, May 2026</t>
        </is>
      </c>
    </row>
    <row r="88">
      <c r="A88" s="6" t="inlineStr"/>
      <c r="B88" s="7" t="inlineStr">
        <is>
          <t>Gross margin %</t>
        </is>
      </c>
      <c r="C88" s="7" t="inlineStr">
        <is>
          <t>Gross margin $</t>
        </is>
      </c>
    </row>
    <row r="89">
      <c r="A89" t="inlineStr">
        <is>
          <t>1-hour call-outs (3)</t>
        </is>
      </c>
      <c r="B89" s="8">
        <f>Workings!B457</f>
        <v/>
      </c>
      <c r="C89" s="11">
        <f>Workings!B456</f>
        <v/>
      </c>
    </row>
    <row r="90">
      <c r="A90" t="inlineStr">
        <is>
          <t>1.5-hour call-outs (4)</t>
        </is>
      </c>
      <c r="B90" s="8">
        <f>Workings!B470</f>
        <v/>
      </c>
      <c r="C90" s="11">
        <f>Workings!B469</f>
        <v/>
      </c>
    </row>
    <row r="91">
      <c r="A91" t="inlineStr">
        <is>
          <t>2-hour call-outs (14)</t>
        </is>
      </c>
      <c r="B91" s="8">
        <f>Workings!B483</f>
        <v/>
      </c>
      <c r="C91" s="11">
        <f>Workings!B482</f>
        <v/>
      </c>
    </row>
    <row r="92">
      <c r="A92" t="inlineStr">
        <is>
          <t>2.5-hour call-outs (9)</t>
        </is>
      </c>
      <c r="B92" s="8">
        <f>Workings!B496</f>
        <v/>
      </c>
      <c r="C92" s="11">
        <f>Workings!B495</f>
        <v/>
      </c>
    </row>
    <row r="93">
      <c r="A93" t="inlineStr">
        <is>
          <t>3-hour call-outs (19)</t>
        </is>
      </c>
      <c r="B93" s="8">
        <f>Workings!B509</f>
        <v/>
      </c>
      <c r="C93" s="11">
        <f>Workings!B508</f>
        <v/>
      </c>
    </row>
    <row r="94">
      <c r="A94" t="inlineStr">
        <is>
          <t>4-hour call-outs (6)</t>
        </is>
      </c>
      <c r="B94" s="8">
        <f>Workings!B522</f>
        <v/>
      </c>
      <c r="C94" s="11">
        <f>Workings!B521</f>
        <v/>
      </c>
    </row>
    <row r="95"/>
    <row r="96">
      <c r="A96" s="4" t="inlineStr">
        <is>
          <t>What it shows</t>
        </is>
      </c>
    </row>
    <row r="97" ht="60" customHeight="1">
      <c r="A97" s="3" t="inlineStr">
        <is>
          <t>55 call-outs in May billed $20,379 of technician time and $8,684 of materials ($6,680 at cost plus 30%), and made a 44.1% job gross margin between them. Gross margins run from 40.6% to 46.5% by length: the hourly rate covers technician time comfortably, so the gross margin mostly moves with how much material goes on the van.</t>
        </is>
      </c>
    </row>
    <row r="98"/>
    <row r="99">
      <c r="A99" s="4" t="inlineStr">
        <is>
          <t>What you'd do about it</t>
        </is>
      </c>
    </row>
    <row r="100" ht="30" customHeight="1">
      <c r="A100" s="3" t="inlineStr">
        <is>
          <t>All call-outs: 44.1% gross margin, 9.1 points over the 35.0% target ($2,657 ahead on $29,063 in May).</t>
        </is>
      </c>
    </row>
    <row r="101"/>
    <row r="102">
      <c r="A102" s="5" t="inlineStr">
        <is>
          <t>Every type of job at once</t>
        </is>
      </c>
    </row>
    <row r="103">
      <c r="A103" s="12" t="inlineStr">
        <is>
          <t>Job gross margin by month: every month is on the Data sheet.</t>
        </is>
      </c>
    </row>
    <row r="104"/>
    <row r="105"/>
  </sheetData>
  <mergeCells count="11">
    <mergeCell ref="A5:D5"/>
    <mergeCell ref="A8:D8"/>
    <mergeCell ref="A58:D58"/>
    <mergeCell ref="A74:D74"/>
    <mergeCell ref="A77:D77"/>
    <mergeCell ref="A97:D97"/>
    <mergeCell ref="A100:D100"/>
    <mergeCell ref="A26:D26"/>
    <mergeCell ref="A55:D55"/>
    <mergeCell ref="A29:D29"/>
    <mergeCell ref="A11:D11"/>
  </mergeCells>
  <printOptions horizontalCentered="1"/>
  <pageMargins left="0.5" right="0.5" top="0.75" bottom="0.75" header="0.5" footer="0.5"/>
  <pageSetup orientation="landscape" paperSize="9" fitToHeight="0" fitToWidth="1"/>
  <headerFooter>
    <oddHeader>&amp;L&amp;"Roboto,Regular"&amp;8 Sample Electrical &amp;&amp; Air Pty Ltd&amp;R&amp;"Roboto,Regular"&amp;8 &amp;A</oddHeader>
    <oddFooter>&amp;L&amp;"Roboto,Regular"&amp;8 job-margins.xlsx&amp;C&amp;"Roboto,Regular"&amp;8 Data retrieved 2pm, Tue 6 Oct 2026&amp;R&amp;"Roboto,Regular"&amp;8 Page &amp;P of &amp;N</oddFooter>
    <evenHeader/>
    <evenFooter/>
    <firstHeader/>
    <firstFooter/>
  </headerFooter>
  <rowBreaks count="4" manualBreakCount="4">
    <brk id="24" min="0" max="16383" man="1"/>
    <brk id="36" min="0" max="16383" man="1"/>
    <brk id="65" min="0" max="16383" man="1"/>
    <brk id="86" min="0" max="16383" man="1"/>
  </rowBreaks>
</worksheet>
</file>

<file path=xl/worksheets/sheet2.xml><?xml version="1.0" encoding="utf-8"?>
<worksheet xmlns="http://schemas.openxmlformats.org/spreadsheetml/2006/main">
  <sheetPr>
    <outlinePr summaryBelow="1" summaryRight="1"/>
    <pageSetUpPr fitToPage="1"/>
  </sheetPr>
  <dimension ref="A1:C525"/>
  <sheetViews>
    <sheetView showGridLines="0" workbookViewId="0">
      <selection activeCell="A1" sqref="A1"/>
    </sheetView>
  </sheetViews>
  <sheetFormatPr baseColWidth="8" defaultRowHeight="15"/>
  <cols>
    <col width="58" customWidth="1" min="1" max="1"/>
    <col width="20" customWidth="1" min="2" max="2"/>
    <col width="20" customWidth="1" min="3" max="3"/>
    <col width="20" customWidth="1" min="4" max="4"/>
  </cols>
  <sheetData>
    <row r="1">
      <c r="A1" s="1" t="inlineStr">
        <is>
          <t>How each number is worked out</t>
        </is>
      </c>
    </row>
    <row r="2">
      <c r="A2" s="2" t="inlineStr">
        <is>
          <t>Sample Electrical &amp; Air Pty Ltd · SAMPLE DATA (invented) · The Fourth Sheet</t>
        </is>
      </c>
    </row>
    <row r="3">
      <c r="A3" s="2" t="inlineStr">
        <is>
          <t>Period: May 2026 · Data status: Apr 2026 locked · May 2026 locked · Oct 2026 incomplete (data retrieved 2pm, Tue 6 Oct 2026)</t>
        </is>
      </c>
    </row>
    <row r="4"/>
    <row r="5">
      <c r="A5" s="5" t="inlineStr">
        <is>
          <t>From gross margin to profit, May 2026</t>
        </is>
      </c>
    </row>
    <row r="6">
      <c r="A6" s="12" t="inlineStr">
        <is>
          <t>Gross margin on the work − time not charged − overheads = profit before tax</t>
        </is>
      </c>
    </row>
    <row r="7">
      <c r="A7" s="6" t="inlineStr"/>
      <c r="B7" s="7" t="inlineStr">
        <is>
          <t>May 2026</t>
        </is>
      </c>
    </row>
    <row r="8">
      <c r="A8" t="inlineStr">
        <is>
          <t>Gross margin on jobs</t>
        </is>
      </c>
      <c r="B8" s="13" t="n">
        <v>63105</v>
      </c>
    </row>
    <row r="9">
      <c r="A9" t="inlineStr">
        <is>
          <t>Technician wages and on-costs</t>
        </is>
      </c>
      <c r="B9" s="13" t="n">
        <v>54600</v>
      </c>
    </row>
    <row r="10">
      <c r="A10" t="inlineStr">
        <is>
          <t>Technician time charged to jobs (at cost)</t>
        </is>
      </c>
      <c r="B10" s="13" t="n">
        <v>49198</v>
      </c>
    </row>
    <row r="11">
      <c r="A11" t="inlineStr">
        <is>
          <t>Technician time not charged to jobs</t>
        </is>
      </c>
      <c r="B11" s="13">
        <f>B9-B10</f>
        <v/>
      </c>
    </row>
    <row r="12">
      <c r="A12" t="inlineStr">
        <is>
          <t>Gross profit (the P&amp;L)</t>
        </is>
      </c>
      <c r="B12" s="13">
        <f>B8-B11</f>
        <v/>
      </c>
    </row>
    <row r="13">
      <c r="A13" t="inlineStr">
        <is>
          <t>Overheads (operating expenses, depreciation, interest)</t>
        </is>
      </c>
      <c r="B13" s="13" t="n">
        <v>59270</v>
      </c>
    </row>
    <row r="14">
      <c r="A14" t="inlineStr">
        <is>
          <t>Profit before tax (the P&amp;L)</t>
        </is>
      </c>
      <c r="B14" s="13">
        <f>B12-B13</f>
        <v/>
      </c>
    </row>
    <row r="15">
      <c r="A15" t="inlineStr">
        <is>
          <t>Revenue</t>
        </is>
      </c>
      <c r="B15" s="13" t="n">
        <v>161963</v>
      </c>
    </row>
    <row r="16">
      <c r="A16" t="inlineStr">
        <is>
          <t>Gross margin on jobs, %</t>
        </is>
      </c>
      <c r="B16" s="14">
        <f>B8/B15</f>
        <v/>
      </c>
    </row>
    <row r="17">
      <c r="A17" t="inlineStr">
        <is>
          <t>Profit before tax, % of revenue</t>
        </is>
      </c>
      <c r="B17" s="14">
        <f>B14/B15</f>
        <v/>
      </c>
    </row>
    <row r="18">
      <c r="A18" s="15" t="inlineStr">
        <is>
          <t>Gross margin jobs need just to cover overheads and time not charged</t>
        </is>
      </c>
      <c r="B18" s="16">
        <f>(B11+B13)/B15</f>
        <v/>
      </c>
    </row>
    <row r="19">
      <c r="A19" s="2" t="inlineStr">
        <is>
          <t>Ties to the May 2026 P&amp;L (locked). Wages always include all on-costs: super, payroll tax, workers' compensation insurance and leave.</t>
        </is>
      </c>
    </row>
    <row r="20"/>
    <row r="21"/>
    <row r="22">
      <c r="A22" s="5" t="inlineStr">
        <is>
          <t>All lines: gross margin, May and April</t>
        </is>
      </c>
    </row>
    <row r="23">
      <c r="A23" s="12" t="inlineStr">
        <is>
          <t>Revenue less direct cost, over revenue. Before overheads.</t>
        </is>
      </c>
    </row>
    <row r="24">
      <c r="A24" s="6" t="inlineStr"/>
      <c r="B24" s="7" t="inlineStr">
        <is>
          <t>May 26</t>
        </is>
      </c>
      <c r="C24" s="7" t="inlineStr">
        <is>
          <t>Apr 26</t>
        </is>
      </c>
    </row>
    <row r="25">
      <c r="A25" t="inlineStr">
        <is>
          <t>Revenue</t>
        </is>
      </c>
      <c r="B25" s="13" t="n">
        <v>161963</v>
      </c>
      <c r="C25" s="13" t="n">
        <v>164987</v>
      </c>
    </row>
    <row r="26">
      <c r="A26" t="inlineStr">
        <is>
          <t>Direct cost</t>
        </is>
      </c>
      <c r="B26" s="13" t="n">
        <v>98858</v>
      </c>
      <c r="C26" s="13" t="n">
        <v>96144</v>
      </c>
    </row>
    <row r="27">
      <c r="A27" t="inlineStr">
        <is>
          <t>Gross margin</t>
        </is>
      </c>
      <c r="B27" s="13">
        <f>B25-B26</f>
        <v/>
      </c>
      <c r="C27" s="13">
        <f>C25-C26</f>
        <v/>
      </c>
    </row>
    <row r="28">
      <c r="A28" s="15" t="inlineStr">
        <is>
          <t>Gross margin %</t>
        </is>
      </c>
      <c r="B28" s="16">
        <f>B27/B25</f>
        <v/>
      </c>
      <c r="C28" s="16">
        <f>C27/C25</f>
        <v/>
      </c>
    </row>
    <row r="29"/>
    <row r="30"/>
    <row r="31">
      <c r="A31" s="5" t="inlineStr">
        <is>
          <t>All lines: gross margin, May and April</t>
        </is>
      </c>
    </row>
    <row r="32">
      <c r="A32" s="12" t="inlineStr">
        <is>
          <t>Revenue less direct cost, over revenue. Before overheads.</t>
        </is>
      </c>
    </row>
    <row r="33">
      <c r="A33" s="6" t="inlineStr"/>
      <c r="B33" s="7" t="inlineStr">
        <is>
          <t>May 26</t>
        </is>
      </c>
      <c r="C33" s="7" t="inlineStr">
        <is>
          <t>Apr 26</t>
        </is>
      </c>
    </row>
    <row r="34">
      <c r="A34" t="inlineStr">
        <is>
          <t>Revenue</t>
        </is>
      </c>
      <c r="B34" s="13" t="n">
        <v>161963</v>
      </c>
      <c r="C34" s="13" t="n">
        <v>164987</v>
      </c>
    </row>
    <row r="35">
      <c r="A35" t="inlineStr">
        <is>
          <t>Direct cost</t>
        </is>
      </c>
      <c r="B35" s="13" t="n">
        <v>98858</v>
      </c>
      <c r="C35" s="13" t="n">
        <v>96144</v>
      </c>
    </row>
    <row r="36">
      <c r="A36" t="inlineStr">
        <is>
          <t>Gross margin</t>
        </is>
      </c>
      <c r="B36" s="13">
        <f>B34-B35</f>
        <v/>
      </c>
      <c r="C36" s="13">
        <f>C34-C35</f>
        <v/>
      </c>
    </row>
    <row r="37">
      <c r="A37" s="15" t="inlineStr">
        <is>
          <t>Gross margin %</t>
        </is>
      </c>
      <c r="B37" s="16">
        <f>B36/B34</f>
        <v/>
      </c>
      <c r="C37" s="16">
        <f>C36/C34</f>
        <v/>
      </c>
    </row>
    <row r="38"/>
    <row r="39"/>
    <row r="40">
      <c r="A40" s="5" t="inlineStr">
        <is>
          <t>From gross margin to profit, May 2026</t>
        </is>
      </c>
    </row>
    <row r="41">
      <c r="A41" s="12" t="inlineStr">
        <is>
          <t>Gross margin on the work − time not charged − overheads = profit before tax</t>
        </is>
      </c>
    </row>
    <row r="42">
      <c r="A42" s="6" t="inlineStr"/>
      <c r="B42" s="7" t="inlineStr">
        <is>
          <t>May 2026</t>
        </is>
      </c>
    </row>
    <row r="43">
      <c r="A43" t="inlineStr">
        <is>
          <t>Gross margin on jobs</t>
        </is>
      </c>
      <c r="B43" s="13" t="n">
        <v>63105</v>
      </c>
    </row>
    <row r="44">
      <c r="A44" t="inlineStr">
        <is>
          <t>Technician wages and on-costs</t>
        </is>
      </c>
      <c r="B44" s="13" t="n">
        <v>54600</v>
      </c>
    </row>
    <row r="45">
      <c r="A45" t="inlineStr">
        <is>
          <t>Technician time charged to jobs (at cost)</t>
        </is>
      </c>
      <c r="B45" s="13" t="n">
        <v>49198</v>
      </c>
    </row>
    <row r="46">
      <c r="A46" t="inlineStr">
        <is>
          <t>Technician time not charged to jobs</t>
        </is>
      </c>
      <c r="B46" s="13">
        <f>B44-B45</f>
        <v/>
      </c>
    </row>
    <row r="47">
      <c r="A47" t="inlineStr">
        <is>
          <t>Gross profit (the P&amp;L)</t>
        </is>
      </c>
      <c r="B47" s="13">
        <f>B43-B46</f>
        <v/>
      </c>
    </row>
    <row r="48">
      <c r="A48" t="inlineStr">
        <is>
          <t>Overheads (operating expenses, depreciation, interest)</t>
        </is>
      </c>
      <c r="B48" s="13" t="n">
        <v>59270</v>
      </c>
    </row>
    <row r="49">
      <c r="A49" t="inlineStr">
        <is>
          <t>Profit before tax (the P&amp;L)</t>
        </is>
      </c>
      <c r="B49" s="13">
        <f>B47-B48</f>
        <v/>
      </c>
    </row>
    <row r="50">
      <c r="A50" t="inlineStr">
        <is>
          <t>Revenue</t>
        </is>
      </c>
      <c r="B50" s="13" t="n">
        <v>161963</v>
      </c>
    </row>
    <row r="51">
      <c r="A51" t="inlineStr">
        <is>
          <t>Gross margin on jobs, %</t>
        </is>
      </c>
      <c r="B51" s="14">
        <f>B43/B50</f>
        <v/>
      </c>
    </row>
    <row r="52">
      <c r="A52" t="inlineStr">
        <is>
          <t>Profit before tax, % of revenue</t>
        </is>
      </c>
      <c r="B52" s="14">
        <f>B49/B50</f>
        <v/>
      </c>
    </row>
    <row r="53">
      <c r="A53" s="15" t="inlineStr">
        <is>
          <t>Gross margin jobs need just to cover overheads and time not charged</t>
        </is>
      </c>
      <c r="B53" s="16">
        <f>(B46+B48)/B50</f>
        <v/>
      </c>
    </row>
    <row r="54">
      <c r="A54" s="2" t="inlineStr">
        <is>
          <t>Ties to the May 2026 P&amp;L (locked). Wages always include all on-costs: super, payroll tax, workers' compensation insurance and leave.</t>
        </is>
      </c>
    </row>
    <row r="55"/>
    <row r="56"/>
    <row r="57">
      <c r="A57" s="5" t="inlineStr">
        <is>
          <t>Maintenance contracts, May</t>
        </is>
      </c>
    </row>
    <row r="58">
      <c r="A58" s="12" t="inlineStr">
        <is>
          <t>Revenue less direct cost (materials, subcontractors, technician time at cost)</t>
        </is>
      </c>
    </row>
    <row r="59">
      <c r="A59" s="6" t="inlineStr"/>
      <c r="B59" s="7" t="inlineStr">
        <is>
          <t>May 2026</t>
        </is>
      </c>
    </row>
    <row r="60">
      <c r="A60" t="inlineStr">
        <is>
          <t>Revenue</t>
        </is>
      </c>
      <c r="B60" s="13" t="n">
        <v>40500</v>
      </c>
    </row>
    <row r="61">
      <c r="A61" t="inlineStr">
        <is>
          <t>Direct cost</t>
        </is>
      </c>
      <c r="B61" s="13" t="n">
        <v>16384</v>
      </c>
    </row>
    <row r="62">
      <c r="A62" t="inlineStr">
        <is>
          <t>Gross margin</t>
        </is>
      </c>
      <c r="B62" s="13">
        <f>B60-B61</f>
        <v/>
      </c>
    </row>
    <row r="63">
      <c r="A63" s="15" t="inlineStr">
        <is>
          <t>Gross margin %</t>
        </is>
      </c>
      <c r="B63" s="16">
        <f>B62/B60</f>
        <v/>
      </c>
    </row>
    <row r="64"/>
    <row r="65"/>
    <row r="66">
      <c r="A66" s="5" t="inlineStr">
        <is>
          <t>Installations, May</t>
        </is>
      </c>
    </row>
    <row r="67">
      <c r="A67" s="12" t="inlineStr">
        <is>
          <t>Revenue less direct cost (materials, subcontractors, technician time at cost)</t>
        </is>
      </c>
    </row>
    <row r="68">
      <c r="A68" s="6" t="inlineStr"/>
      <c r="B68" s="7" t="inlineStr">
        <is>
          <t>May 2026</t>
        </is>
      </c>
    </row>
    <row r="69">
      <c r="A69" t="inlineStr">
        <is>
          <t>Revenue</t>
        </is>
      </c>
      <c r="B69" s="13" t="n">
        <v>92400</v>
      </c>
    </row>
    <row r="70">
      <c r="A70" t="inlineStr">
        <is>
          <t>Direct cost</t>
        </is>
      </c>
      <c r="B70" s="13" t="n">
        <v>66240</v>
      </c>
    </row>
    <row r="71">
      <c r="A71" t="inlineStr">
        <is>
          <t>Gross margin</t>
        </is>
      </c>
      <c r="B71" s="13">
        <f>B69-B70</f>
        <v/>
      </c>
    </row>
    <row r="72">
      <c r="A72" s="15" t="inlineStr">
        <is>
          <t>Gross margin %</t>
        </is>
      </c>
      <c r="B72" s="16">
        <f>B71/B69</f>
        <v/>
      </c>
    </row>
    <row r="73"/>
    <row r="74"/>
    <row r="75">
      <c r="A75" s="5" t="inlineStr">
        <is>
          <t>Call-outs and repairs, May</t>
        </is>
      </c>
    </row>
    <row r="76">
      <c r="A76" s="12" t="inlineStr">
        <is>
          <t>Revenue less direct cost (materials, subcontractors, technician time at cost)</t>
        </is>
      </c>
    </row>
    <row r="77">
      <c r="A77" s="6" t="inlineStr"/>
      <c r="B77" s="7" t="inlineStr">
        <is>
          <t>May 2026</t>
        </is>
      </c>
    </row>
    <row r="78">
      <c r="A78" t="inlineStr">
        <is>
          <t>Revenue</t>
        </is>
      </c>
      <c r="B78" s="13" t="n">
        <v>29063</v>
      </c>
    </row>
    <row r="79">
      <c r="A79" t="inlineStr">
        <is>
          <t>Direct cost</t>
        </is>
      </c>
      <c r="B79" s="13" t="n">
        <v>16234</v>
      </c>
    </row>
    <row r="80">
      <c r="A80" t="inlineStr">
        <is>
          <t>Gross margin</t>
        </is>
      </c>
      <c r="B80" s="13">
        <f>B78-B79</f>
        <v/>
      </c>
    </row>
    <row r="81">
      <c r="A81" s="15" t="inlineStr">
        <is>
          <t>Gross margin %</t>
        </is>
      </c>
      <c r="B81" s="16">
        <f>B80/B78</f>
        <v/>
      </c>
    </row>
    <row r="82"/>
    <row r="83"/>
    <row r="84">
      <c r="A84" s="5" t="inlineStr">
        <is>
          <t>Maintenance contracts: gross margin, May and April</t>
        </is>
      </c>
    </row>
    <row r="85">
      <c r="A85" s="12" t="inlineStr">
        <is>
          <t>Revenue less direct cost, over revenue. Before overheads.</t>
        </is>
      </c>
    </row>
    <row r="86">
      <c r="A86" s="6" t="inlineStr"/>
      <c r="B86" s="7" t="inlineStr">
        <is>
          <t>May 26</t>
        </is>
      </c>
      <c r="C86" s="7" t="inlineStr">
        <is>
          <t>Apr 26</t>
        </is>
      </c>
    </row>
    <row r="87">
      <c r="A87" t="inlineStr">
        <is>
          <t>Revenue</t>
        </is>
      </c>
      <c r="B87" s="13" t="n">
        <v>40500</v>
      </c>
      <c r="C87" s="13" t="n">
        <v>37500</v>
      </c>
    </row>
    <row r="88">
      <c r="A88" t="inlineStr">
        <is>
          <t>Direct cost</t>
        </is>
      </c>
      <c r="B88" s="13" t="n">
        <v>16384</v>
      </c>
      <c r="C88" s="13" t="n">
        <v>15158</v>
      </c>
    </row>
    <row r="89">
      <c r="A89" t="inlineStr">
        <is>
          <t>Gross margin</t>
        </is>
      </c>
      <c r="B89" s="13">
        <f>B87-B88</f>
        <v/>
      </c>
      <c r="C89" s="13">
        <f>C87-C88</f>
        <v/>
      </c>
    </row>
    <row r="90">
      <c r="A90" s="15" t="inlineStr">
        <is>
          <t>Gross margin %</t>
        </is>
      </c>
      <c r="B90" s="16">
        <f>B89/B87</f>
        <v/>
      </c>
      <c r="C90" s="16">
        <f>C89/C87</f>
        <v/>
      </c>
    </row>
    <row r="91"/>
    <row r="92"/>
    <row r="93">
      <c r="A93" s="5" t="inlineStr">
        <is>
          <t>Maintenance contracts: gross margin, May and April</t>
        </is>
      </c>
    </row>
    <row r="94">
      <c r="A94" s="12" t="inlineStr">
        <is>
          <t>Revenue less direct cost, over revenue. Before overheads.</t>
        </is>
      </c>
    </row>
    <row r="95">
      <c r="A95" s="6" t="inlineStr"/>
      <c r="B95" s="7" t="inlineStr">
        <is>
          <t>May 26</t>
        </is>
      </c>
      <c r="C95" s="7" t="inlineStr">
        <is>
          <t>Apr 26</t>
        </is>
      </c>
    </row>
    <row r="96">
      <c r="A96" t="inlineStr">
        <is>
          <t>Revenue</t>
        </is>
      </c>
      <c r="B96" s="13" t="n">
        <v>40500</v>
      </c>
      <c r="C96" s="13" t="n">
        <v>37500</v>
      </c>
    </row>
    <row r="97">
      <c r="A97" t="inlineStr">
        <is>
          <t>Direct cost</t>
        </is>
      </c>
      <c r="B97" s="13" t="n">
        <v>16384</v>
      </c>
      <c r="C97" s="13" t="n">
        <v>15158</v>
      </c>
    </row>
    <row r="98">
      <c r="A98" t="inlineStr">
        <is>
          <t>Gross margin</t>
        </is>
      </c>
      <c r="B98" s="13">
        <f>B96-B97</f>
        <v/>
      </c>
      <c r="C98" s="13">
        <f>C96-C97</f>
        <v/>
      </c>
    </row>
    <row r="99">
      <c r="A99" s="15" t="inlineStr">
        <is>
          <t>Gross margin %</t>
        </is>
      </c>
      <c r="B99" s="16">
        <f>B98/B96</f>
        <v/>
      </c>
      <c r="C99" s="16">
        <f>C98/C96</f>
        <v/>
      </c>
    </row>
    <row r="100"/>
    <row r="101"/>
    <row r="102">
      <c r="A102" s="5" t="inlineStr">
        <is>
          <t>From gross margin to profit, May 2026</t>
        </is>
      </c>
    </row>
    <row r="103">
      <c r="A103" s="12" t="inlineStr">
        <is>
          <t>Gross margin on the work − time not charged − overheads = profit before tax</t>
        </is>
      </c>
    </row>
    <row r="104">
      <c r="A104" s="6" t="inlineStr"/>
      <c r="B104" s="7" t="inlineStr">
        <is>
          <t>May 2026</t>
        </is>
      </c>
    </row>
    <row r="105">
      <c r="A105" t="inlineStr">
        <is>
          <t>Gross margin on jobs</t>
        </is>
      </c>
      <c r="B105" s="13" t="n">
        <v>63105</v>
      </c>
    </row>
    <row r="106">
      <c r="A106" t="inlineStr">
        <is>
          <t>Technician wages and on-costs</t>
        </is>
      </c>
      <c r="B106" s="13" t="n">
        <v>54600</v>
      </c>
    </row>
    <row r="107">
      <c r="A107" t="inlineStr">
        <is>
          <t>Technician time charged to jobs (at cost)</t>
        </is>
      </c>
      <c r="B107" s="13" t="n">
        <v>49198</v>
      </c>
    </row>
    <row r="108">
      <c r="A108" t="inlineStr">
        <is>
          <t>Technician time not charged to jobs</t>
        </is>
      </c>
      <c r="B108" s="13">
        <f>B106-B107</f>
        <v/>
      </c>
    </row>
    <row r="109">
      <c r="A109" t="inlineStr">
        <is>
          <t>Gross profit (the P&amp;L)</t>
        </is>
      </c>
      <c r="B109" s="13">
        <f>B105-B108</f>
        <v/>
      </c>
    </row>
    <row r="110">
      <c r="A110" t="inlineStr">
        <is>
          <t>Overheads (operating expenses, depreciation, interest)</t>
        </is>
      </c>
      <c r="B110" s="13" t="n">
        <v>59270</v>
      </c>
    </row>
    <row r="111">
      <c r="A111" t="inlineStr">
        <is>
          <t>Profit before tax (the P&amp;L)</t>
        </is>
      </c>
      <c r="B111" s="13">
        <f>B109-B110</f>
        <v/>
      </c>
    </row>
    <row r="112">
      <c r="A112" t="inlineStr">
        <is>
          <t>Revenue</t>
        </is>
      </c>
      <c r="B112" s="13" t="n">
        <v>161963</v>
      </c>
    </row>
    <row r="113">
      <c r="A113" t="inlineStr">
        <is>
          <t>Gross margin on jobs, %</t>
        </is>
      </c>
      <c r="B113" s="14">
        <f>B105/B112</f>
        <v/>
      </c>
    </row>
    <row r="114">
      <c r="A114" t="inlineStr">
        <is>
          <t>Profit before tax, % of revenue</t>
        </is>
      </c>
      <c r="B114" s="14">
        <f>B111/B112</f>
        <v/>
      </c>
    </row>
    <row r="115">
      <c r="A115" s="15" t="inlineStr">
        <is>
          <t>Gross margin jobs need just to cover overheads and time not charged</t>
        </is>
      </c>
      <c r="B115" s="16">
        <f>(B108+B110)/B112</f>
        <v/>
      </c>
    </row>
    <row r="116">
      <c r="A116" s="2" t="inlineStr">
        <is>
          <t>Ties to the May 2026 P&amp;L (locked). Wages always include all on-costs: super, payroll tax, workers' compensation insurance and leave.</t>
        </is>
      </c>
    </row>
    <row r="117"/>
    <row r="118"/>
    <row r="119">
      <c r="A119" s="5" t="inlineStr">
        <is>
          <t>Carindale vet clinic</t>
        </is>
      </c>
    </row>
    <row r="120">
      <c r="A120" s="12" t="inlineStr">
        <is>
          <t>Job gross margin ÷ revenue for this job (before overheads)</t>
        </is>
      </c>
    </row>
    <row r="121">
      <c r="A121" s="6" t="inlineStr"/>
      <c r="B121" s="7" t="inlineStr">
        <is>
          <t>This job</t>
        </is>
      </c>
    </row>
    <row r="122">
      <c r="A122" t="inlineStr">
        <is>
          <t>Revenue</t>
        </is>
      </c>
      <c r="B122" s="13" t="n">
        <v>1700</v>
      </c>
    </row>
    <row r="123">
      <c r="A123" t="inlineStr">
        <is>
          <t>Materials</t>
        </is>
      </c>
      <c r="B123" s="13" t="n">
        <v>-30</v>
      </c>
    </row>
    <row r="124">
      <c r="A124" t="inlineStr">
        <is>
          <t>Subcontractors</t>
        </is>
      </c>
      <c r="B124" s="13" t="n">
        <v>0</v>
      </c>
    </row>
    <row r="125">
      <c r="A125" t="inlineStr">
        <is>
          <t>Technician hours</t>
        </is>
      </c>
      <c r="B125" s="17" t="n">
        <v>9</v>
      </c>
    </row>
    <row r="126">
      <c r="A126" t="inlineStr">
        <is>
          <t>Technician cost rate ($/hour, wages and all on-costs)</t>
        </is>
      </c>
      <c r="B126" s="13" t="n">
        <v>68</v>
      </c>
    </row>
    <row r="127">
      <c r="A127" t="inlineStr">
        <is>
          <t>Technician time</t>
        </is>
      </c>
      <c r="B127" s="13">
        <f>-B125*B126</f>
        <v/>
      </c>
    </row>
    <row r="128">
      <c r="A128" t="inlineStr">
        <is>
          <t>Job gross margin</t>
        </is>
      </c>
      <c r="B128" s="13">
        <f>B122+B123+B124+B127</f>
        <v/>
      </c>
    </row>
    <row r="129">
      <c r="A129" s="15" t="inlineStr">
        <is>
          <t>Job gross margin %</t>
        </is>
      </c>
      <c r="B129" s="16">
        <f>B128/B122</f>
        <v/>
      </c>
    </row>
    <row r="130"/>
    <row r="131"/>
    <row r="132">
      <c r="A132" s="5" t="inlineStr">
        <is>
          <t>Wynnum medical centre</t>
        </is>
      </c>
    </row>
    <row r="133">
      <c r="A133" s="12" t="inlineStr">
        <is>
          <t>Job gross margin ÷ revenue for this job (before overheads)</t>
        </is>
      </c>
    </row>
    <row r="134">
      <c r="A134" s="6" t="inlineStr"/>
      <c r="B134" s="7" t="inlineStr">
        <is>
          <t>This job</t>
        </is>
      </c>
    </row>
    <row r="135">
      <c r="A135" t="inlineStr">
        <is>
          <t>Revenue</t>
        </is>
      </c>
      <c r="B135" s="13" t="n">
        <v>2200</v>
      </c>
    </row>
    <row r="136">
      <c r="A136" t="inlineStr">
        <is>
          <t>Materials</t>
        </is>
      </c>
      <c r="B136" s="13" t="n">
        <v>-40</v>
      </c>
    </row>
    <row r="137">
      <c r="A137" t="inlineStr">
        <is>
          <t>Subcontractors</t>
        </is>
      </c>
      <c r="B137" s="13" t="n">
        <v>0</v>
      </c>
    </row>
    <row r="138">
      <c r="A138" t="inlineStr">
        <is>
          <t>Technician hours</t>
        </is>
      </c>
      <c r="B138" s="17" t="n">
        <v>12</v>
      </c>
    </row>
    <row r="139">
      <c r="A139" t="inlineStr">
        <is>
          <t>Technician cost rate ($/hour, wages and all on-costs)</t>
        </is>
      </c>
      <c r="B139" s="13" t="n">
        <v>68</v>
      </c>
    </row>
    <row r="140">
      <c r="A140" t="inlineStr">
        <is>
          <t>Technician time</t>
        </is>
      </c>
      <c r="B140" s="13">
        <f>-B138*B139</f>
        <v/>
      </c>
    </row>
    <row r="141">
      <c r="A141" t="inlineStr">
        <is>
          <t>Job gross margin</t>
        </is>
      </c>
      <c r="B141" s="13">
        <f>B135+B136+B137+B140</f>
        <v/>
      </c>
    </row>
    <row r="142">
      <c r="A142" s="15" t="inlineStr">
        <is>
          <t>Job gross margin %</t>
        </is>
      </c>
      <c r="B142" s="16">
        <f>B141/B135</f>
        <v/>
      </c>
    </row>
    <row r="143"/>
    <row r="144"/>
    <row r="145">
      <c r="A145" s="5" t="inlineStr">
        <is>
          <t>Southbank cafe group</t>
        </is>
      </c>
    </row>
    <row r="146">
      <c r="A146" s="12" t="inlineStr">
        <is>
          <t>Job gross margin ÷ revenue for this job (before overheads)</t>
        </is>
      </c>
    </row>
    <row r="147">
      <c r="A147" s="6" t="inlineStr"/>
      <c r="B147" s="7" t="inlineStr">
        <is>
          <t>This job</t>
        </is>
      </c>
    </row>
    <row r="148">
      <c r="A148" t="inlineStr">
        <is>
          <t>Revenue</t>
        </is>
      </c>
      <c r="B148" s="13" t="n">
        <v>1800</v>
      </c>
    </row>
    <row r="149">
      <c r="A149" t="inlineStr">
        <is>
          <t>Materials</t>
        </is>
      </c>
      <c r="B149" s="13" t="n">
        <v>-40</v>
      </c>
    </row>
    <row r="150">
      <c r="A150" t="inlineStr">
        <is>
          <t>Subcontractors</t>
        </is>
      </c>
      <c r="B150" s="13" t="n">
        <v>0</v>
      </c>
    </row>
    <row r="151">
      <c r="A151" t="inlineStr">
        <is>
          <t>Technician hours</t>
        </is>
      </c>
      <c r="B151" s="17" t="n">
        <v>10</v>
      </c>
    </row>
    <row r="152">
      <c r="A152" t="inlineStr">
        <is>
          <t>Technician cost rate ($/hour, wages and all on-costs)</t>
        </is>
      </c>
      <c r="B152" s="13" t="n">
        <v>68</v>
      </c>
    </row>
    <row r="153">
      <c r="A153" t="inlineStr">
        <is>
          <t>Technician time</t>
        </is>
      </c>
      <c r="B153" s="13">
        <f>-B151*B152</f>
        <v/>
      </c>
    </row>
    <row r="154">
      <c r="A154" t="inlineStr">
        <is>
          <t>Job gross margin</t>
        </is>
      </c>
      <c r="B154" s="13">
        <f>B148+B149+B150+B153</f>
        <v/>
      </c>
    </row>
    <row r="155">
      <c r="A155" s="15" t="inlineStr">
        <is>
          <t>Job gross margin %</t>
        </is>
      </c>
      <c r="B155" s="16">
        <f>B154/B148</f>
        <v/>
      </c>
    </row>
    <row r="156"/>
    <row r="157"/>
    <row r="158">
      <c r="A158" s="5" t="inlineStr">
        <is>
          <t>Ashgrove aged care</t>
        </is>
      </c>
    </row>
    <row r="159">
      <c r="A159" s="12" t="inlineStr">
        <is>
          <t>Job gross margin ÷ revenue for this job (before overheads)</t>
        </is>
      </c>
    </row>
    <row r="160">
      <c r="A160" s="6" t="inlineStr"/>
      <c r="B160" s="7" t="inlineStr">
        <is>
          <t>This job</t>
        </is>
      </c>
    </row>
    <row r="161">
      <c r="A161" t="inlineStr">
        <is>
          <t>Revenue</t>
        </is>
      </c>
      <c r="B161" s="13" t="n">
        <v>3600</v>
      </c>
    </row>
    <row r="162">
      <c r="A162" t="inlineStr">
        <is>
          <t>Materials</t>
        </is>
      </c>
      <c r="B162" s="13" t="n">
        <v>-80</v>
      </c>
    </row>
    <row r="163">
      <c r="A163" t="inlineStr">
        <is>
          <t>Subcontractors</t>
        </is>
      </c>
      <c r="B163" s="13" t="n">
        <v>0</v>
      </c>
    </row>
    <row r="164">
      <c r="A164" t="inlineStr">
        <is>
          <t>Technician hours</t>
        </is>
      </c>
      <c r="B164" s="17" t="n">
        <v>20</v>
      </c>
    </row>
    <row r="165">
      <c r="A165" t="inlineStr">
        <is>
          <t>Technician cost rate ($/hour, wages and all on-costs)</t>
        </is>
      </c>
      <c r="B165" s="13" t="n">
        <v>68</v>
      </c>
    </row>
    <row r="166">
      <c r="A166" t="inlineStr">
        <is>
          <t>Technician time</t>
        </is>
      </c>
      <c r="B166" s="13">
        <f>-B164*B165</f>
        <v/>
      </c>
    </row>
    <row r="167">
      <c r="A167" t="inlineStr">
        <is>
          <t>Job gross margin</t>
        </is>
      </c>
      <c r="B167" s="13">
        <f>B161+B162+B163+B166</f>
        <v/>
      </c>
    </row>
    <row r="168">
      <c r="A168" s="15" t="inlineStr">
        <is>
          <t>Job gross margin %</t>
        </is>
      </c>
      <c r="B168" s="16">
        <f>B167/B161</f>
        <v/>
      </c>
    </row>
    <row r="169"/>
    <row r="170"/>
    <row r="171">
      <c r="A171" s="5" t="inlineStr">
        <is>
          <t>Fortitude Valley hotel</t>
        </is>
      </c>
    </row>
    <row r="172">
      <c r="A172" s="12" t="inlineStr">
        <is>
          <t>Job gross margin ÷ revenue for this job (before overheads)</t>
        </is>
      </c>
    </row>
    <row r="173">
      <c r="A173" s="6" t="inlineStr"/>
      <c r="B173" s="7" t="inlineStr">
        <is>
          <t>This job</t>
        </is>
      </c>
    </row>
    <row r="174">
      <c r="A174" t="inlineStr">
        <is>
          <t>Revenue</t>
        </is>
      </c>
      <c r="B174" s="13" t="n">
        <v>3400</v>
      </c>
    </row>
    <row r="175">
      <c r="A175" t="inlineStr">
        <is>
          <t>Materials</t>
        </is>
      </c>
      <c r="B175" s="13" t="n">
        <v>-70</v>
      </c>
    </row>
    <row r="176">
      <c r="A176" t="inlineStr">
        <is>
          <t>Subcontractors</t>
        </is>
      </c>
      <c r="B176" s="13" t="n">
        <v>0</v>
      </c>
    </row>
    <row r="177">
      <c r="A177" t="inlineStr">
        <is>
          <t>Technician hours</t>
        </is>
      </c>
      <c r="B177" s="17" t="n">
        <v>19</v>
      </c>
    </row>
    <row r="178">
      <c r="A178" t="inlineStr">
        <is>
          <t>Technician cost rate ($/hour, wages and all on-costs)</t>
        </is>
      </c>
      <c r="B178" s="13" t="n">
        <v>68</v>
      </c>
    </row>
    <row r="179">
      <c r="A179" t="inlineStr">
        <is>
          <t>Technician time</t>
        </is>
      </c>
      <c r="B179" s="13">
        <f>-B177*B178</f>
        <v/>
      </c>
    </row>
    <row r="180">
      <c r="A180" t="inlineStr">
        <is>
          <t>Job gross margin</t>
        </is>
      </c>
      <c r="B180" s="13">
        <f>B174+B175+B176+B179</f>
        <v/>
      </c>
    </row>
    <row r="181">
      <c r="A181" s="15" t="inlineStr">
        <is>
          <t>Job gross margin %</t>
        </is>
      </c>
      <c r="B181" s="16">
        <f>B180/B174</f>
        <v/>
      </c>
    </row>
    <row r="182"/>
    <row r="183"/>
    <row r="184">
      <c r="A184" s="5" t="inlineStr">
        <is>
          <t>Riverside Apartments (strata)</t>
        </is>
      </c>
    </row>
    <row r="185">
      <c r="A185" s="12" t="inlineStr">
        <is>
          <t>Job gross margin ÷ revenue for this job (before overheads)</t>
        </is>
      </c>
    </row>
    <row r="186">
      <c r="A186" s="6" t="inlineStr"/>
      <c r="B186" s="7" t="inlineStr">
        <is>
          <t>This job</t>
        </is>
      </c>
    </row>
    <row r="187">
      <c r="A187" t="inlineStr">
        <is>
          <t>Revenue</t>
        </is>
      </c>
      <c r="B187" s="13" t="n">
        <v>3200</v>
      </c>
    </row>
    <row r="188">
      <c r="A188" t="inlineStr">
        <is>
          <t>Materials</t>
        </is>
      </c>
      <c r="B188" s="13" t="n">
        <v>-60</v>
      </c>
    </row>
    <row r="189">
      <c r="A189" t="inlineStr">
        <is>
          <t>Subcontractors</t>
        </is>
      </c>
      <c r="B189" s="13" t="n">
        <v>0</v>
      </c>
    </row>
    <row r="190">
      <c r="A190" t="inlineStr">
        <is>
          <t>Technician hours</t>
        </is>
      </c>
      <c r="B190" s="17" t="n">
        <v>18</v>
      </c>
    </row>
    <row r="191">
      <c r="A191" t="inlineStr">
        <is>
          <t>Technician cost rate ($/hour, wages and all on-costs)</t>
        </is>
      </c>
      <c r="B191" s="13" t="n">
        <v>68</v>
      </c>
    </row>
    <row r="192">
      <c r="A192" t="inlineStr">
        <is>
          <t>Technician time</t>
        </is>
      </c>
      <c r="B192" s="13">
        <f>-B190*B191</f>
        <v/>
      </c>
    </row>
    <row r="193">
      <c r="A193" t="inlineStr">
        <is>
          <t>Job gross margin</t>
        </is>
      </c>
      <c r="B193" s="13">
        <f>B187+B188+B189+B192</f>
        <v/>
      </c>
    </row>
    <row r="194">
      <c r="A194" s="15" t="inlineStr">
        <is>
          <t>Job gross margin %</t>
        </is>
      </c>
      <c r="B194" s="16">
        <f>B193/B187</f>
        <v/>
      </c>
    </row>
    <row r="195"/>
    <row r="196"/>
    <row r="197">
      <c r="A197" s="5" t="inlineStr">
        <is>
          <t>Newstead gym</t>
        </is>
      </c>
    </row>
    <row r="198">
      <c r="A198" s="12" t="inlineStr">
        <is>
          <t>Job gross margin ÷ revenue for this job (before overheads)</t>
        </is>
      </c>
    </row>
    <row r="199">
      <c r="A199" s="6" t="inlineStr"/>
      <c r="B199" s="7" t="inlineStr">
        <is>
          <t>This job</t>
        </is>
      </c>
    </row>
    <row r="200">
      <c r="A200" t="inlineStr">
        <is>
          <t>Revenue</t>
        </is>
      </c>
      <c r="B200" s="13" t="n">
        <v>1600</v>
      </c>
    </row>
    <row r="201">
      <c r="A201" t="inlineStr">
        <is>
          <t>Materials</t>
        </is>
      </c>
      <c r="B201" s="13" t="n">
        <v>-30</v>
      </c>
    </row>
    <row r="202">
      <c r="A202" t="inlineStr">
        <is>
          <t>Subcontractors</t>
        </is>
      </c>
      <c r="B202" s="13" t="n">
        <v>0</v>
      </c>
    </row>
    <row r="203">
      <c r="A203" t="inlineStr">
        <is>
          <t>Technician hours</t>
        </is>
      </c>
      <c r="B203" s="17" t="n">
        <v>9</v>
      </c>
    </row>
    <row r="204">
      <c r="A204" t="inlineStr">
        <is>
          <t>Technician cost rate ($/hour, wages and all on-costs)</t>
        </is>
      </c>
      <c r="B204" s="13" t="n">
        <v>68</v>
      </c>
    </row>
    <row r="205">
      <c r="A205" t="inlineStr">
        <is>
          <t>Technician time</t>
        </is>
      </c>
      <c r="B205" s="13">
        <f>-B203*B204</f>
        <v/>
      </c>
    </row>
    <row r="206">
      <c r="A206" t="inlineStr">
        <is>
          <t>Job gross margin</t>
        </is>
      </c>
      <c r="B206" s="13">
        <f>B200+B201+B202+B205</f>
        <v/>
      </c>
    </row>
    <row r="207">
      <c r="A207" s="15" t="inlineStr">
        <is>
          <t>Job gross margin %</t>
        </is>
      </c>
      <c r="B207" s="16">
        <f>B206/B200</f>
        <v/>
      </c>
    </row>
    <row r="208"/>
    <row r="209"/>
    <row r="210">
      <c r="A210" s="5" t="inlineStr">
        <is>
          <t>Chermside retail centre</t>
        </is>
      </c>
    </row>
    <row r="211">
      <c r="A211" s="12" t="inlineStr">
        <is>
          <t>Job gross margin ÷ revenue for this job (before overheads)</t>
        </is>
      </c>
    </row>
    <row r="212">
      <c r="A212" s="6" t="inlineStr"/>
      <c r="B212" s="7" t="inlineStr">
        <is>
          <t>This job</t>
        </is>
      </c>
    </row>
    <row r="213">
      <c r="A213" t="inlineStr">
        <is>
          <t>Revenue</t>
        </is>
      </c>
      <c r="B213" s="13" t="n">
        <v>4100</v>
      </c>
    </row>
    <row r="214">
      <c r="A214" t="inlineStr">
        <is>
          <t>Materials</t>
        </is>
      </c>
      <c r="B214" s="13" t="n">
        <v>-100</v>
      </c>
    </row>
    <row r="215">
      <c r="A215" t="inlineStr">
        <is>
          <t>Subcontractors</t>
        </is>
      </c>
      <c r="B215" s="13" t="n">
        <v>0</v>
      </c>
    </row>
    <row r="216">
      <c r="A216" t="inlineStr">
        <is>
          <t>Technician hours</t>
        </is>
      </c>
      <c r="B216" s="17" t="n">
        <v>23</v>
      </c>
    </row>
    <row r="217">
      <c r="A217" t="inlineStr">
        <is>
          <t>Technician cost rate ($/hour, wages and all on-costs)</t>
        </is>
      </c>
      <c r="B217" s="13" t="n">
        <v>68</v>
      </c>
    </row>
    <row r="218">
      <c r="A218" t="inlineStr">
        <is>
          <t>Technician time</t>
        </is>
      </c>
      <c r="B218" s="13">
        <f>-B216*B217</f>
        <v/>
      </c>
    </row>
    <row r="219">
      <c r="A219" t="inlineStr">
        <is>
          <t>Job gross margin</t>
        </is>
      </c>
      <c r="B219" s="13">
        <f>B213+B214+B215+B218</f>
        <v/>
      </c>
    </row>
    <row r="220">
      <c r="A220" s="15" t="inlineStr">
        <is>
          <t>Job gross margin %</t>
        </is>
      </c>
      <c r="B220" s="16">
        <f>B219/B213</f>
        <v/>
      </c>
    </row>
    <row r="221"/>
    <row r="222"/>
    <row r="223">
      <c r="A223" s="5" t="inlineStr">
        <is>
          <t>Wacol logistics depot</t>
        </is>
      </c>
    </row>
    <row r="224">
      <c r="A224" s="12" t="inlineStr">
        <is>
          <t>Job gross margin ÷ revenue for this job (before overheads)</t>
        </is>
      </c>
    </row>
    <row r="225">
      <c r="A225" s="6" t="inlineStr"/>
      <c r="B225" s="7" t="inlineStr">
        <is>
          <t>This job</t>
        </is>
      </c>
    </row>
    <row r="226">
      <c r="A226" t="inlineStr">
        <is>
          <t>Revenue</t>
        </is>
      </c>
      <c r="B226" s="13" t="n">
        <v>3000</v>
      </c>
    </row>
    <row r="227">
      <c r="A227" t="inlineStr">
        <is>
          <t>Materials</t>
        </is>
      </c>
      <c r="B227" s="13" t="n">
        <v>-70</v>
      </c>
    </row>
    <row r="228">
      <c r="A228" t="inlineStr">
        <is>
          <t>Subcontractors</t>
        </is>
      </c>
      <c r="B228" s="13" t="n">
        <v>0</v>
      </c>
    </row>
    <row r="229">
      <c r="A229" t="inlineStr">
        <is>
          <t>Technician hours</t>
        </is>
      </c>
      <c r="B229" s="17" t="n">
        <v>17</v>
      </c>
    </row>
    <row r="230">
      <c r="A230" t="inlineStr">
        <is>
          <t>Technician cost rate ($/hour, wages and all on-costs)</t>
        </is>
      </c>
      <c r="B230" s="13" t="n">
        <v>68</v>
      </c>
    </row>
    <row r="231">
      <c r="A231" t="inlineStr">
        <is>
          <t>Technician time</t>
        </is>
      </c>
      <c r="B231" s="13">
        <f>-B229*B230</f>
        <v/>
      </c>
    </row>
    <row r="232">
      <c r="A232" t="inlineStr">
        <is>
          <t>Job gross margin</t>
        </is>
      </c>
      <c r="B232" s="13">
        <f>B226+B227+B228+B231</f>
        <v/>
      </c>
    </row>
    <row r="233">
      <c r="A233" s="15" t="inlineStr">
        <is>
          <t>Job gross margin %</t>
        </is>
      </c>
      <c r="B233" s="16">
        <f>B232/B226</f>
        <v/>
      </c>
    </row>
    <row r="234"/>
    <row r="235"/>
    <row r="236">
      <c r="A236" s="5" t="inlineStr">
        <is>
          <t>Milton office tower</t>
        </is>
      </c>
    </row>
    <row r="237">
      <c r="A237" s="12" t="inlineStr">
        <is>
          <t>Job gross margin ÷ revenue for this job (before overheads)</t>
        </is>
      </c>
    </row>
    <row r="238">
      <c r="A238" s="6" t="inlineStr"/>
      <c r="B238" s="7" t="inlineStr">
        <is>
          <t>This job</t>
        </is>
      </c>
    </row>
    <row r="239">
      <c r="A239" t="inlineStr">
        <is>
          <t>Revenue</t>
        </is>
      </c>
      <c r="B239" s="13" t="n">
        <v>4200</v>
      </c>
    </row>
    <row r="240">
      <c r="A240" t="inlineStr">
        <is>
          <t>Materials</t>
        </is>
      </c>
      <c r="B240" s="13" t="n">
        <v>-90</v>
      </c>
    </row>
    <row r="241">
      <c r="A241" t="inlineStr">
        <is>
          <t>Subcontractors</t>
        </is>
      </c>
      <c r="B241" s="13" t="n">
        <v>0</v>
      </c>
    </row>
    <row r="242">
      <c r="A242" t="inlineStr">
        <is>
          <t>Technician hours</t>
        </is>
      </c>
      <c r="B242" s="17" t="n">
        <v>24</v>
      </c>
    </row>
    <row r="243">
      <c r="A243" t="inlineStr">
        <is>
          <t>Technician cost rate ($/hour, wages and all on-costs)</t>
        </is>
      </c>
      <c r="B243" s="13" t="n">
        <v>68</v>
      </c>
    </row>
    <row r="244">
      <c r="A244" t="inlineStr">
        <is>
          <t>Technician time</t>
        </is>
      </c>
      <c r="B244" s="13">
        <f>-B242*B243</f>
        <v/>
      </c>
    </row>
    <row r="245">
      <c r="A245" t="inlineStr">
        <is>
          <t>Job gross margin</t>
        </is>
      </c>
      <c r="B245" s="13">
        <f>B239+B240+B241+B244</f>
        <v/>
      </c>
    </row>
    <row r="246">
      <c r="A246" s="15" t="inlineStr">
        <is>
          <t>Job gross margin %</t>
        </is>
      </c>
      <c r="B246" s="16">
        <f>B245/B239</f>
        <v/>
      </c>
    </row>
    <row r="247"/>
    <row r="248"/>
    <row r="249">
      <c r="A249" s="5" t="inlineStr">
        <is>
          <t>Bulimba school</t>
        </is>
      </c>
    </row>
    <row r="250">
      <c r="A250" s="12" t="inlineStr">
        <is>
          <t>Job gross margin ÷ revenue for this job (before overheads)</t>
        </is>
      </c>
    </row>
    <row r="251">
      <c r="A251" s="6" t="inlineStr"/>
      <c r="B251" s="7" t="inlineStr">
        <is>
          <t>This job</t>
        </is>
      </c>
    </row>
    <row r="252">
      <c r="A252" t="inlineStr">
        <is>
          <t>Revenue</t>
        </is>
      </c>
      <c r="B252" s="13" t="n">
        <v>2800</v>
      </c>
    </row>
    <row r="253">
      <c r="A253" t="inlineStr">
        <is>
          <t>Materials</t>
        </is>
      </c>
      <c r="B253" s="13" t="n">
        <v>-60</v>
      </c>
    </row>
    <row r="254">
      <c r="A254" t="inlineStr">
        <is>
          <t>Subcontractors</t>
        </is>
      </c>
      <c r="B254" s="13" t="n">
        <v>0</v>
      </c>
    </row>
    <row r="255">
      <c r="A255" t="inlineStr">
        <is>
          <t>Technician hours</t>
        </is>
      </c>
      <c r="B255" s="17" t="n">
        <v>16</v>
      </c>
    </row>
    <row r="256">
      <c r="A256" t="inlineStr">
        <is>
          <t>Technician cost rate ($/hour, wages and all on-costs)</t>
        </is>
      </c>
      <c r="B256" s="13" t="n">
        <v>68</v>
      </c>
    </row>
    <row r="257">
      <c r="A257" t="inlineStr">
        <is>
          <t>Technician time</t>
        </is>
      </c>
      <c r="B257" s="13">
        <f>-B255*B256</f>
        <v/>
      </c>
    </row>
    <row r="258">
      <c r="A258" t="inlineStr">
        <is>
          <t>Job gross margin</t>
        </is>
      </c>
      <c r="B258" s="13">
        <f>B252+B253+B254+B257</f>
        <v/>
      </c>
    </row>
    <row r="259">
      <c r="A259" s="15" t="inlineStr">
        <is>
          <t>Job gross margin %</t>
        </is>
      </c>
      <c r="B259" s="16">
        <f>B258/B252</f>
        <v/>
      </c>
    </row>
    <row r="260"/>
    <row r="261"/>
    <row r="262">
      <c r="A262" s="5" t="inlineStr">
        <is>
          <t>West End brewery</t>
        </is>
      </c>
    </row>
    <row r="263">
      <c r="A263" s="12" t="inlineStr">
        <is>
          <t>Job gross margin ÷ revenue for this job (before overheads)</t>
        </is>
      </c>
    </row>
    <row r="264">
      <c r="A264" s="6" t="inlineStr"/>
      <c r="B264" s="7" t="inlineStr">
        <is>
          <t>This job</t>
        </is>
      </c>
    </row>
    <row r="265">
      <c r="A265" t="inlineStr">
        <is>
          <t>Revenue</t>
        </is>
      </c>
      <c r="B265" s="13" t="n">
        <v>2600</v>
      </c>
    </row>
    <row r="266">
      <c r="A266" t="inlineStr">
        <is>
          <t>Materials</t>
        </is>
      </c>
      <c r="B266" s="13" t="n">
        <v>-50</v>
      </c>
    </row>
    <row r="267">
      <c r="A267" t="inlineStr">
        <is>
          <t>Subcontractors</t>
        </is>
      </c>
      <c r="B267" s="13" t="n">
        <v>0</v>
      </c>
    </row>
    <row r="268">
      <c r="A268" t="inlineStr">
        <is>
          <t>Technician hours</t>
        </is>
      </c>
      <c r="B268" s="17" t="n">
        <v>15</v>
      </c>
    </row>
    <row r="269">
      <c r="A269" t="inlineStr">
        <is>
          <t>Technician cost rate ($/hour, wages and all on-costs)</t>
        </is>
      </c>
      <c r="B269" s="13" t="n">
        <v>68</v>
      </c>
    </row>
    <row r="270">
      <c r="A270" t="inlineStr">
        <is>
          <t>Technician time</t>
        </is>
      </c>
      <c r="B270" s="13">
        <f>-B268*B269</f>
        <v/>
      </c>
    </row>
    <row r="271">
      <c r="A271" t="inlineStr">
        <is>
          <t>Job gross margin</t>
        </is>
      </c>
      <c r="B271" s="13">
        <f>B265+B266+B267+B270</f>
        <v/>
      </c>
    </row>
    <row r="272">
      <c r="A272" s="15" t="inlineStr">
        <is>
          <t>Job gross margin %</t>
        </is>
      </c>
      <c r="B272" s="16">
        <f>B271/B265</f>
        <v/>
      </c>
    </row>
    <row r="273"/>
    <row r="274"/>
    <row r="275">
      <c r="A275" s="5" t="inlineStr">
        <is>
          <t>Rocklea factory</t>
        </is>
      </c>
    </row>
    <row r="276">
      <c r="A276" s="12" t="inlineStr">
        <is>
          <t>Job gross margin ÷ revenue for this job (before overheads)</t>
        </is>
      </c>
    </row>
    <row r="277">
      <c r="A277" s="6" t="inlineStr"/>
      <c r="B277" s="7" t="inlineStr">
        <is>
          <t>This job</t>
        </is>
      </c>
    </row>
    <row r="278">
      <c r="A278" t="inlineStr">
        <is>
          <t>Revenue</t>
        </is>
      </c>
      <c r="B278" s="13" t="n">
        <v>3900</v>
      </c>
    </row>
    <row r="279">
      <c r="A279" t="inlineStr">
        <is>
          <t>Materials</t>
        </is>
      </c>
      <c r="B279" s="13" t="n">
        <v>-110</v>
      </c>
    </row>
    <row r="280">
      <c r="A280" t="inlineStr">
        <is>
          <t>Subcontractors</t>
        </is>
      </c>
      <c r="B280" s="13" t="n">
        <v>0</v>
      </c>
    </row>
    <row r="281">
      <c r="A281" t="inlineStr">
        <is>
          <t>Technician hours</t>
        </is>
      </c>
      <c r="B281" s="17" t="n">
        <v>22</v>
      </c>
    </row>
    <row r="282">
      <c r="A282" t="inlineStr">
        <is>
          <t>Technician cost rate ($/hour, wages and all on-costs)</t>
        </is>
      </c>
      <c r="B282" s="13" t="n">
        <v>68</v>
      </c>
    </row>
    <row r="283">
      <c r="A283" t="inlineStr">
        <is>
          <t>Technician time</t>
        </is>
      </c>
      <c r="B283" s="13">
        <f>-B281*B282</f>
        <v/>
      </c>
    </row>
    <row r="284">
      <c r="A284" t="inlineStr">
        <is>
          <t>Job gross margin</t>
        </is>
      </c>
      <c r="B284" s="13">
        <f>B278+B279+B280+B283</f>
        <v/>
      </c>
    </row>
    <row r="285">
      <c r="A285" s="15" t="inlineStr">
        <is>
          <t>Job gross margin %</t>
        </is>
      </c>
      <c r="B285" s="16">
        <f>B284/B278</f>
        <v/>
      </c>
    </row>
    <row r="286"/>
    <row r="287"/>
    <row r="288">
      <c r="A288" s="5" t="inlineStr">
        <is>
          <t>Kangaroo Point townhouses</t>
        </is>
      </c>
    </row>
    <row r="289">
      <c r="A289" s="12" t="inlineStr">
        <is>
          <t>Job gross margin ÷ revenue for this job (before overheads)</t>
        </is>
      </c>
    </row>
    <row r="290">
      <c r="A290" s="6" t="inlineStr"/>
      <c r="B290" s="7" t="inlineStr">
        <is>
          <t>This job</t>
        </is>
      </c>
    </row>
    <row r="291">
      <c r="A291" t="inlineStr">
        <is>
          <t>Revenue</t>
        </is>
      </c>
      <c r="B291" s="13" t="n">
        <v>2400</v>
      </c>
    </row>
    <row r="292">
      <c r="A292" t="inlineStr">
        <is>
          <t>Materials</t>
        </is>
      </c>
      <c r="B292" s="13" t="n">
        <v>-50</v>
      </c>
    </row>
    <row r="293">
      <c r="A293" t="inlineStr">
        <is>
          <t>Subcontractors</t>
        </is>
      </c>
      <c r="B293" s="13" t="n">
        <v>0</v>
      </c>
    </row>
    <row r="294">
      <c r="A294" t="inlineStr">
        <is>
          <t>Technician hours</t>
        </is>
      </c>
      <c r="B294" s="17" t="n">
        <v>14</v>
      </c>
    </row>
    <row r="295">
      <c r="A295" t="inlineStr">
        <is>
          <t>Technician cost rate ($/hour, wages and all on-costs)</t>
        </is>
      </c>
      <c r="B295" s="13" t="n">
        <v>68</v>
      </c>
    </row>
    <row r="296">
      <c r="A296" t="inlineStr">
        <is>
          <t>Technician time</t>
        </is>
      </c>
      <c r="B296" s="13">
        <f>-B294*B295</f>
        <v/>
      </c>
    </row>
    <row r="297">
      <c r="A297" t="inlineStr">
        <is>
          <t>Job gross margin</t>
        </is>
      </c>
      <c r="B297" s="13">
        <f>B291+B292+B293+B296</f>
        <v/>
      </c>
    </row>
    <row r="298">
      <c r="A298" s="15" t="inlineStr">
        <is>
          <t>Job gross margin %</t>
        </is>
      </c>
      <c r="B298" s="16">
        <f>B297/B291</f>
        <v/>
      </c>
    </row>
    <row r="299"/>
    <row r="300"/>
    <row r="301">
      <c r="A301" s="5" t="inlineStr">
        <is>
          <t>Installations: gross margin, May and April</t>
        </is>
      </c>
    </row>
    <row r="302">
      <c r="A302" s="12" t="inlineStr">
        <is>
          <t>Revenue less direct cost, over revenue. Before overheads.</t>
        </is>
      </c>
    </row>
    <row r="303">
      <c r="A303" s="6" t="inlineStr"/>
      <c r="B303" s="7" t="inlineStr">
        <is>
          <t>May 26</t>
        </is>
      </c>
      <c r="C303" s="7" t="inlineStr">
        <is>
          <t>Apr 26</t>
        </is>
      </c>
    </row>
    <row r="304">
      <c r="A304" t="inlineStr">
        <is>
          <t>Revenue</t>
        </is>
      </c>
      <c r="B304" s="13" t="n">
        <v>92400</v>
      </c>
      <c r="C304" s="13" t="n">
        <v>104400</v>
      </c>
    </row>
    <row r="305">
      <c r="A305" t="inlineStr">
        <is>
          <t>Direct cost</t>
        </is>
      </c>
      <c r="B305" s="13" t="n">
        <v>66240</v>
      </c>
      <c r="C305" s="13" t="n">
        <v>68016</v>
      </c>
    </row>
    <row r="306">
      <c r="A306" t="inlineStr">
        <is>
          <t>Gross margin</t>
        </is>
      </c>
      <c r="B306" s="13">
        <f>B304-B305</f>
        <v/>
      </c>
      <c r="C306" s="13">
        <f>C304-C305</f>
        <v/>
      </c>
    </row>
    <row r="307">
      <c r="A307" s="15" t="inlineStr">
        <is>
          <t>Gross margin %</t>
        </is>
      </c>
      <c r="B307" s="16">
        <f>B306/B304</f>
        <v/>
      </c>
      <c r="C307" s="16">
        <f>C306/C304</f>
        <v/>
      </c>
    </row>
    <row r="308"/>
    <row r="309"/>
    <row r="310">
      <c r="A310" s="5" t="inlineStr">
        <is>
          <t>Installations: gross margin, May and April</t>
        </is>
      </c>
    </row>
    <row r="311">
      <c r="A311" s="12" t="inlineStr">
        <is>
          <t>Revenue less direct cost, over revenue. Before overheads.</t>
        </is>
      </c>
    </row>
    <row r="312">
      <c r="A312" s="6" t="inlineStr"/>
      <c r="B312" s="7" t="inlineStr">
        <is>
          <t>May 26</t>
        </is>
      </c>
      <c r="C312" s="7" t="inlineStr">
        <is>
          <t>Apr 26</t>
        </is>
      </c>
    </row>
    <row r="313">
      <c r="A313" t="inlineStr">
        <is>
          <t>Revenue</t>
        </is>
      </c>
      <c r="B313" s="13" t="n">
        <v>92400</v>
      </c>
      <c r="C313" s="13" t="n">
        <v>104400</v>
      </c>
    </row>
    <row r="314">
      <c r="A314" t="inlineStr">
        <is>
          <t>Direct cost</t>
        </is>
      </c>
      <c r="B314" s="13" t="n">
        <v>66240</v>
      </c>
      <c r="C314" s="13" t="n">
        <v>68016</v>
      </c>
    </row>
    <row r="315">
      <c r="A315" t="inlineStr">
        <is>
          <t>Gross margin</t>
        </is>
      </c>
      <c r="B315" s="13">
        <f>B313-B314</f>
        <v/>
      </c>
      <c r="C315" s="13">
        <f>C313-C314</f>
        <v/>
      </c>
    </row>
    <row r="316">
      <c r="A316" s="15" t="inlineStr">
        <is>
          <t>Gross margin %</t>
        </is>
      </c>
      <c r="B316" s="16">
        <f>B315/B313</f>
        <v/>
      </c>
      <c r="C316" s="16">
        <f>C315/C313</f>
        <v/>
      </c>
    </row>
    <row r="317"/>
    <row r="318"/>
    <row r="319">
      <c r="A319" s="5" t="inlineStr">
        <is>
          <t>From gross margin to profit, May 2026</t>
        </is>
      </c>
    </row>
    <row r="320">
      <c r="A320" s="12" t="inlineStr">
        <is>
          <t>Gross margin on the work − time not charged − overheads = profit before tax</t>
        </is>
      </c>
    </row>
    <row r="321">
      <c r="A321" s="6" t="inlineStr"/>
      <c r="B321" s="7" t="inlineStr">
        <is>
          <t>May 2026</t>
        </is>
      </c>
    </row>
    <row r="322">
      <c r="A322" t="inlineStr">
        <is>
          <t>Gross margin on jobs</t>
        </is>
      </c>
      <c r="B322" s="13" t="n">
        <v>63105</v>
      </c>
    </row>
    <row r="323">
      <c r="A323" t="inlineStr">
        <is>
          <t>Technician wages and on-costs</t>
        </is>
      </c>
      <c r="B323" s="13" t="n">
        <v>54600</v>
      </c>
    </row>
    <row r="324">
      <c r="A324" t="inlineStr">
        <is>
          <t>Technician time charged to jobs (at cost)</t>
        </is>
      </c>
      <c r="B324" s="13" t="n">
        <v>49198</v>
      </c>
    </row>
    <row r="325">
      <c r="A325" t="inlineStr">
        <is>
          <t>Technician time not charged to jobs</t>
        </is>
      </c>
      <c r="B325" s="13">
        <f>B323-B324</f>
        <v/>
      </c>
    </row>
    <row r="326">
      <c r="A326" t="inlineStr">
        <is>
          <t>Gross profit (the P&amp;L)</t>
        </is>
      </c>
      <c r="B326" s="13">
        <f>B322-B325</f>
        <v/>
      </c>
    </row>
    <row r="327">
      <c r="A327" t="inlineStr">
        <is>
          <t>Overheads (operating expenses, depreciation, interest)</t>
        </is>
      </c>
      <c r="B327" s="13" t="n">
        <v>59270</v>
      </c>
    </row>
    <row r="328">
      <c r="A328" t="inlineStr">
        <is>
          <t>Profit before tax (the P&amp;L)</t>
        </is>
      </c>
      <c r="B328" s="13">
        <f>B326-B327</f>
        <v/>
      </c>
    </row>
    <row r="329">
      <c r="A329" t="inlineStr">
        <is>
          <t>Revenue</t>
        </is>
      </c>
      <c r="B329" s="13" t="n">
        <v>161963</v>
      </c>
    </row>
    <row r="330">
      <c r="A330" t="inlineStr">
        <is>
          <t>Gross margin on jobs, %</t>
        </is>
      </c>
      <c r="B330" s="14">
        <f>B322/B329</f>
        <v/>
      </c>
    </row>
    <row r="331">
      <c r="A331" t="inlineStr">
        <is>
          <t>Profit before tax, % of revenue</t>
        </is>
      </c>
      <c r="B331" s="14">
        <f>B328/B329</f>
        <v/>
      </c>
    </row>
    <row r="332">
      <c r="A332" s="15" t="inlineStr">
        <is>
          <t>Gross margin jobs need just to cover overheads and time not charged</t>
        </is>
      </c>
      <c r="B332" s="16">
        <f>(B325+B327)/B329</f>
        <v/>
      </c>
    </row>
    <row r="333">
      <c r="A333" s="2" t="inlineStr">
        <is>
          <t>Ties to the May 2026 P&amp;L (locked). Wages always include all on-costs: super, payroll tax, workers' compensation insurance and leave.</t>
        </is>
      </c>
    </row>
    <row r="334"/>
    <row r="335"/>
    <row r="336">
      <c r="A336" s="5" t="inlineStr">
        <is>
          <t>Installation 4, May</t>
        </is>
      </c>
    </row>
    <row r="337">
      <c r="A337" s="12" t="inlineStr">
        <is>
          <t>Job gross margin ÷ revenue for this job (before overheads)</t>
        </is>
      </c>
    </row>
    <row r="338">
      <c r="A338" s="6" t="inlineStr"/>
      <c r="B338" s="7" t="inlineStr">
        <is>
          <t>This job</t>
        </is>
      </c>
    </row>
    <row r="339">
      <c r="A339" t="inlineStr">
        <is>
          <t>Revenue</t>
        </is>
      </c>
      <c r="B339" s="13" t="n">
        <v>10700</v>
      </c>
    </row>
    <row r="340">
      <c r="A340" t="inlineStr">
        <is>
          <t>Materials</t>
        </is>
      </c>
      <c r="B340" s="13" t="n">
        <v>-4000</v>
      </c>
    </row>
    <row r="341">
      <c r="A341" t="inlineStr">
        <is>
          <t>Subcontractors</t>
        </is>
      </c>
      <c r="B341" s="13" t="n">
        <v>-800</v>
      </c>
    </row>
    <row r="342">
      <c r="A342" t="inlineStr">
        <is>
          <t>Technician hours</t>
        </is>
      </c>
      <c r="B342" s="17" t="n">
        <v>41</v>
      </c>
    </row>
    <row r="343">
      <c r="A343" t="inlineStr">
        <is>
          <t>Technician cost rate ($/hour, wages and all on-costs)</t>
        </is>
      </c>
      <c r="B343" s="13" t="n">
        <v>68</v>
      </c>
    </row>
    <row r="344">
      <c r="A344" t="inlineStr">
        <is>
          <t>Technician time</t>
        </is>
      </c>
      <c r="B344" s="13">
        <f>-B342*B343</f>
        <v/>
      </c>
    </row>
    <row r="345">
      <c r="A345" t="inlineStr">
        <is>
          <t>Job gross margin</t>
        </is>
      </c>
      <c r="B345" s="13">
        <f>B339+B340+B341+B344</f>
        <v/>
      </c>
    </row>
    <row r="346">
      <c r="A346" s="15" t="inlineStr">
        <is>
          <t>Job gross margin %</t>
        </is>
      </c>
      <c r="B346" s="16">
        <f>B345/B339</f>
        <v/>
      </c>
    </row>
    <row r="347"/>
    <row r="348"/>
    <row r="349">
      <c r="A349" s="5" t="inlineStr">
        <is>
          <t>Installation 2, May</t>
        </is>
      </c>
    </row>
    <row r="350">
      <c r="A350" s="12" t="inlineStr">
        <is>
          <t>Job gross margin ÷ revenue for this job (before overheads)</t>
        </is>
      </c>
    </row>
    <row r="351">
      <c r="A351" s="6" t="inlineStr"/>
      <c r="B351" s="7" t="inlineStr">
        <is>
          <t>This job</t>
        </is>
      </c>
    </row>
    <row r="352">
      <c r="A352" t="inlineStr">
        <is>
          <t>Revenue</t>
        </is>
      </c>
      <c r="B352" s="13" t="n">
        <v>10400</v>
      </c>
    </row>
    <row r="353">
      <c r="A353" t="inlineStr">
        <is>
          <t>Materials</t>
        </is>
      </c>
      <c r="B353" s="13" t="n">
        <v>-3900</v>
      </c>
    </row>
    <row r="354">
      <c r="A354" t="inlineStr">
        <is>
          <t>Subcontractors</t>
        </is>
      </c>
      <c r="B354" s="13" t="n">
        <v>-800</v>
      </c>
    </row>
    <row r="355">
      <c r="A355" t="inlineStr">
        <is>
          <t>Technician hours</t>
        </is>
      </c>
      <c r="B355" s="17" t="n">
        <v>40</v>
      </c>
    </row>
    <row r="356">
      <c r="A356" t="inlineStr">
        <is>
          <t>Technician cost rate ($/hour, wages and all on-costs)</t>
        </is>
      </c>
      <c r="B356" s="13" t="n">
        <v>68</v>
      </c>
    </row>
    <row r="357">
      <c r="A357" t="inlineStr">
        <is>
          <t>Technician time</t>
        </is>
      </c>
      <c r="B357" s="13">
        <f>-B355*B356</f>
        <v/>
      </c>
    </row>
    <row r="358">
      <c r="A358" t="inlineStr">
        <is>
          <t>Job gross margin</t>
        </is>
      </c>
      <c r="B358" s="13">
        <f>B352+B353+B354+B357</f>
        <v/>
      </c>
    </row>
    <row r="359">
      <c r="A359" s="15" t="inlineStr">
        <is>
          <t>Job gross margin %</t>
        </is>
      </c>
      <c r="B359" s="16">
        <f>B358/B352</f>
        <v/>
      </c>
    </row>
    <row r="360"/>
    <row r="361"/>
    <row r="362">
      <c r="A362" s="5" t="inlineStr">
        <is>
          <t>Installation 1, May</t>
        </is>
      </c>
    </row>
    <row r="363">
      <c r="A363" s="12" t="inlineStr">
        <is>
          <t>Job gross margin ÷ revenue for this job (before overheads)</t>
        </is>
      </c>
    </row>
    <row r="364">
      <c r="A364" s="6" t="inlineStr"/>
      <c r="B364" s="7" t="inlineStr">
        <is>
          <t>This job</t>
        </is>
      </c>
    </row>
    <row r="365">
      <c r="A365" t="inlineStr">
        <is>
          <t>Revenue</t>
        </is>
      </c>
      <c r="B365" s="13" t="n">
        <v>32000</v>
      </c>
    </row>
    <row r="366">
      <c r="A366" t="inlineStr">
        <is>
          <t>Materials</t>
        </is>
      </c>
      <c r="B366" s="13" t="n">
        <v>-12100</v>
      </c>
    </row>
    <row r="367">
      <c r="A367" t="inlineStr">
        <is>
          <t>Subcontractors</t>
        </is>
      </c>
      <c r="B367" s="13" t="n">
        <v>-2500</v>
      </c>
    </row>
    <row r="368">
      <c r="A368" t="inlineStr">
        <is>
          <t>Technician hours</t>
        </is>
      </c>
      <c r="B368" s="17" t="n">
        <v>123</v>
      </c>
    </row>
    <row r="369">
      <c r="A369" t="inlineStr">
        <is>
          <t>Technician cost rate ($/hour, wages and all on-costs)</t>
        </is>
      </c>
      <c r="B369" s="13" t="n">
        <v>68</v>
      </c>
    </row>
    <row r="370">
      <c r="A370" t="inlineStr">
        <is>
          <t>Technician time</t>
        </is>
      </c>
      <c r="B370" s="13">
        <f>-B368*B369</f>
        <v/>
      </c>
    </row>
    <row r="371">
      <c r="A371" t="inlineStr">
        <is>
          <t>Job gross margin</t>
        </is>
      </c>
      <c r="B371" s="13">
        <f>B365+B366+B367+B370</f>
        <v/>
      </c>
    </row>
    <row r="372">
      <c r="A372" s="15" t="inlineStr">
        <is>
          <t>Job gross margin %</t>
        </is>
      </c>
      <c r="B372" s="16">
        <f>B371/B365</f>
        <v/>
      </c>
    </row>
    <row r="373"/>
    <row r="374"/>
    <row r="375">
      <c r="A375" s="5" t="inlineStr">
        <is>
          <t>Installation 3, May</t>
        </is>
      </c>
    </row>
    <row r="376">
      <c r="A376" s="12" t="inlineStr">
        <is>
          <t>Job gross margin ÷ revenue for this job (before overheads)</t>
        </is>
      </c>
    </row>
    <row r="377">
      <c r="A377" s="6" t="inlineStr"/>
      <c r="B377" s="7" t="inlineStr">
        <is>
          <t>This job</t>
        </is>
      </c>
    </row>
    <row r="378">
      <c r="A378" t="inlineStr">
        <is>
          <t>Revenue</t>
        </is>
      </c>
      <c r="B378" s="13" t="n">
        <v>39300</v>
      </c>
    </row>
    <row r="379">
      <c r="A379" t="inlineStr">
        <is>
          <t>Materials</t>
        </is>
      </c>
      <c r="B379" s="13" t="n">
        <v>-14900</v>
      </c>
    </row>
    <row r="380">
      <c r="A380" t="inlineStr">
        <is>
          <t>Subcontractors</t>
        </is>
      </c>
      <c r="B380" s="13" t="n">
        <v>-3100</v>
      </c>
    </row>
    <row r="381">
      <c r="A381" t="inlineStr">
        <is>
          <t>Technician hours</t>
        </is>
      </c>
      <c r="B381" s="17" t="n">
        <v>151</v>
      </c>
    </row>
    <row r="382">
      <c r="A382" t="inlineStr">
        <is>
          <t>Technician cost rate ($/hour, wages and all on-costs)</t>
        </is>
      </c>
      <c r="B382" s="13" t="n">
        <v>68</v>
      </c>
    </row>
    <row r="383">
      <c r="A383" t="inlineStr">
        <is>
          <t>Technician time</t>
        </is>
      </c>
      <c r="B383" s="13">
        <f>-B381*B382</f>
        <v/>
      </c>
    </row>
    <row r="384">
      <c r="A384" t="inlineStr">
        <is>
          <t>Job gross margin</t>
        </is>
      </c>
      <c r="B384" s="13">
        <f>B378+B379+B380+B383</f>
        <v/>
      </c>
    </row>
    <row r="385">
      <c r="A385" s="15" t="inlineStr">
        <is>
          <t>Job gross margin %</t>
        </is>
      </c>
      <c r="B385" s="16">
        <f>B384/B378</f>
        <v/>
      </c>
    </row>
    <row r="386"/>
    <row r="387"/>
    <row r="388">
      <c r="A388" s="5" t="inlineStr">
        <is>
          <t>Call-outs and repairs: gross margin, May and April</t>
        </is>
      </c>
    </row>
    <row r="389">
      <c r="A389" s="12" t="inlineStr">
        <is>
          <t>Revenue less direct cost, over revenue. Before overheads.</t>
        </is>
      </c>
    </row>
    <row r="390">
      <c r="A390" s="6" t="inlineStr"/>
      <c r="B390" s="7" t="inlineStr">
        <is>
          <t>May 26</t>
        </is>
      </c>
      <c r="C390" s="7" t="inlineStr">
        <is>
          <t>Apr 26</t>
        </is>
      </c>
    </row>
    <row r="391">
      <c r="A391" t="inlineStr">
        <is>
          <t>Revenue</t>
        </is>
      </c>
      <c r="B391" s="13" t="n">
        <v>29063</v>
      </c>
      <c r="C391" s="13" t="n">
        <v>23087</v>
      </c>
    </row>
    <row r="392">
      <c r="A392" t="inlineStr">
        <is>
          <t>Direct cost</t>
        </is>
      </c>
      <c r="B392" s="13" t="n">
        <v>16234</v>
      </c>
      <c r="C392" s="13" t="n">
        <v>12970</v>
      </c>
    </row>
    <row r="393">
      <c r="A393" t="inlineStr">
        <is>
          <t>Gross margin</t>
        </is>
      </c>
      <c r="B393" s="13">
        <f>B391-B392</f>
        <v/>
      </c>
      <c r="C393" s="13">
        <f>C391-C392</f>
        <v/>
      </c>
    </row>
    <row r="394">
      <c r="A394" s="15" t="inlineStr">
        <is>
          <t>Gross margin %</t>
        </is>
      </c>
      <c r="B394" s="16">
        <f>B393/B391</f>
        <v/>
      </c>
      <c r="C394" s="16">
        <f>C393/C391</f>
        <v/>
      </c>
    </row>
    <row r="395"/>
    <row r="396"/>
    <row r="397">
      <c r="A397" s="5" t="inlineStr">
        <is>
          <t>Call-outs and repairs: gross margin, May and April</t>
        </is>
      </c>
    </row>
    <row r="398">
      <c r="A398" s="12" t="inlineStr">
        <is>
          <t>Revenue less direct cost, over revenue. Before overheads.</t>
        </is>
      </c>
    </row>
    <row r="399">
      <c r="A399" s="6" t="inlineStr"/>
      <c r="B399" s="7" t="inlineStr">
        <is>
          <t>May 26</t>
        </is>
      </c>
      <c r="C399" s="7" t="inlineStr">
        <is>
          <t>Apr 26</t>
        </is>
      </c>
    </row>
    <row r="400">
      <c r="A400" t="inlineStr">
        <is>
          <t>Revenue</t>
        </is>
      </c>
      <c r="B400" s="13" t="n">
        <v>29063</v>
      </c>
      <c r="C400" s="13" t="n">
        <v>23087</v>
      </c>
    </row>
    <row r="401">
      <c r="A401" t="inlineStr">
        <is>
          <t>Direct cost</t>
        </is>
      </c>
      <c r="B401" s="13" t="n">
        <v>16234</v>
      </c>
      <c r="C401" s="13" t="n">
        <v>12970</v>
      </c>
    </row>
    <row r="402">
      <c r="A402" t="inlineStr">
        <is>
          <t>Gross margin</t>
        </is>
      </c>
      <c r="B402" s="13">
        <f>B400-B401</f>
        <v/>
      </c>
      <c r="C402" s="13">
        <f>C400-C401</f>
        <v/>
      </c>
    </row>
    <row r="403">
      <c r="A403" s="15" t="inlineStr">
        <is>
          <t>Gross margin %</t>
        </is>
      </c>
      <c r="B403" s="16">
        <f>B402/B400</f>
        <v/>
      </c>
      <c r="C403" s="16">
        <f>C402/C400</f>
        <v/>
      </c>
    </row>
    <row r="404"/>
    <row r="405"/>
    <row r="406">
      <c r="A406" s="5" t="inlineStr">
        <is>
          <t>From gross margin to profit, May 2026</t>
        </is>
      </c>
    </row>
    <row r="407">
      <c r="A407" s="12" t="inlineStr">
        <is>
          <t>Gross margin on the work − time not charged − overheads = profit before tax</t>
        </is>
      </c>
    </row>
    <row r="408">
      <c r="A408" s="6" t="inlineStr"/>
      <c r="B408" s="7" t="inlineStr">
        <is>
          <t>May 2026</t>
        </is>
      </c>
    </row>
    <row r="409">
      <c r="A409" t="inlineStr">
        <is>
          <t>Gross margin on jobs</t>
        </is>
      </c>
      <c r="B409" s="13" t="n">
        <v>63105</v>
      </c>
    </row>
    <row r="410">
      <c r="A410" t="inlineStr">
        <is>
          <t>Technician wages and on-costs</t>
        </is>
      </c>
      <c r="B410" s="13" t="n">
        <v>54600</v>
      </c>
    </row>
    <row r="411">
      <c r="A411" t="inlineStr">
        <is>
          <t>Technician time charged to jobs (at cost)</t>
        </is>
      </c>
      <c r="B411" s="13" t="n">
        <v>49198</v>
      </c>
    </row>
    <row r="412">
      <c r="A412" t="inlineStr">
        <is>
          <t>Technician time not charged to jobs</t>
        </is>
      </c>
      <c r="B412" s="13">
        <f>B410-B411</f>
        <v/>
      </c>
    </row>
    <row r="413">
      <c r="A413" t="inlineStr">
        <is>
          <t>Gross profit (the P&amp;L)</t>
        </is>
      </c>
      <c r="B413" s="13">
        <f>B409-B412</f>
        <v/>
      </c>
    </row>
    <row r="414">
      <c r="A414" t="inlineStr">
        <is>
          <t>Overheads (operating expenses, depreciation, interest)</t>
        </is>
      </c>
      <c r="B414" s="13" t="n">
        <v>59270</v>
      </c>
    </row>
    <row r="415">
      <c r="A415" t="inlineStr">
        <is>
          <t>Profit before tax (the P&amp;L)</t>
        </is>
      </c>
      <c r="B415" s="13">
        <f>B413-B414</f>
        <v/>
      </c>
    </row>
    <row r="416">
      <c r="A416" t="inlineStr">
        <is>
          <t>Revenue</t>
        </is>
      </c>
      <c r="B416" s="13" t="n">
        <v>161963</v>
      </c>
    </row>
    <row r="417">
      <c r="A417" t="inlineStr">
        <is>
          <t>Gross margin on jobs, %</t>
        </is>
      </c>
      <c r="B417" s="14">
        <f>B409/B416</f>
        <v/>
      </c>
    </row>
    <row r="418">
      <c r="A418" t="inlineStr">
        <is>
          <t>Profit before tax, % of revenue</t>
        </is>
      </c>
      <c r="B418" s="14">
        <f>B415/B416</f>
        <v/>
      </c>
    </row>
    <row r="419">
      <c r="A419" s="15" t="inlineStr">
        <is>
          <t>Gross margin jobs need just to cover overheads and time not charged</t>
        </is>
      </c>
      <c r="B419" s="16">
        <f>(B412+B414)/B416</f>
        <v/>
      </c>
    </row>
    <row r="420">
      <c r="A420" s="2" t="inlineStr">
        <is>
          <t>Ties to the May 2026 P&amp;L (locked). Wages always include all on-costs: super, payroll tax, workers' compensation insurance and leave.</t>
        </is>
      </c>
    </row>
    <row r="421"/>
    <row r="422"/>
    <row r="423">
      <c r="A423" s="5" t="inlineStr">
        <is>
          <t>Call-out revenue, May</t>
        </is>
      </c>
    </row>
    <row r="424">
      <c r="A424" s="12" t="inlineStr">
        <is>
          <t>Technician time charged at $145/hour + materials charged at cost × 1.3</t>
        </is>
      </c>
    </row>
    <row r="425">
      <c r="A425" s="6" t="inlineStr"/>
      <c r="B425" s="7" t="inlineStr">
        <is>
          <t>May 2026</t>
        </is>
      </c>
    </row>
    <row r="426">
      <c r="A426" t="inlineStr">
        <is>
          <t>Technician time charged ($145/hour)</t>
        </is>
      </c>
      <c r="B426" s="13" t="n">
        <v>20379</v>
      </c>
    </row>
    <row r="427">
      <c r="A427" t="inlineStr">
        <is>
          <t>Materials at cost</t>
        </is>
      </c>
      <c r="B427" s="13" t="n">
        <v>6680</v>
      </c>
    </row>
    <row r="428">
      <c r="A428" t="inlineStr">
        <is>
          <t>Mark-up on materials</t>
        </is>
      </c>
      <c r="B428" s="14" t="n">
        <v>0.3</v>
      </c>
    </row>
    <row r="429">
      <c r="A429" t="inlineStr">
        <is>
          <t>Materials charged (cost × 1.3)</t>
        </is>
      </c>
      <c r="B429" s="13">
        <f>B427*(1+B428)</f>
        <v/>
      </c>
    </row>
    <row r="430">
      <c r="A430" t="inlineStr">
        <is>
          <t>Materials charged (as invoiced, rounded per call-out)</t>
        </is>
      </c>
      <c r="B430" s="13" t="n">
        <v>8684</v>
      </c>
    </row>
    <row r="431">
      <c r="A431" t="inlineStr">
        <is>
          <t>Call-out revenue</t>
        </is>
      </c>
      <c r="B431" s="13">
        <f>B426+B430</f>
        <v/>
      </c>
    </row>
    <row r="432">
      <c r="A432" s="15" t="inlineStr">
        <is>
          <t>Technician time, % of call-out revenue</t>
        </is>
      </c>
      <c r="B432" s="16">
        <f>B426/B431</f>
        <v/>
      </c>
    </row>
    <row r="433"/>
    <row r="434"/>
    <row r="435">
      <c r="A435" s="5" t="inlineStr">
        <is>
          <t>Call-out revenue, May</t>
        </is>
      </c>
    </row>
    <row r="436">
      <c r="A436" s="12" t="inlineStr">
        <is>
          <t>Technician time charged at $145/hour + materials charged at cost × 1.3</t>
        </is>
      </c>
    </row>
    <row r="437">
      <c r="A437" s="6" t="inlineStr"/>
      <c r="B437" s="7" t="inlineStr">
        <is>
          <t>May 2026</t>
        </is>
      </c>
    </row>
    <row r="438">
      <c r="A438" t="inlineStr">
        <is>
          <t>Technician time charged ($145/hour)</t>
        </is>
      </c>
      <c r="B438" s="13" t="n">
        <v>20379</v>
      </c>
    </row>
    <row r="439">
      <c r="A439" t="inlineStr">
        <is>
          <t>Materials at cost</t>
        </is>
      </c>
      <c r="B439" s="13" t="n">
        <v>6680</v>
      </c>
    </row>
    <row r="440">
      <c r="A440" t="inlineStr">
        <is>
          <t>Mark-up on materials</t>
        </is>
      </c>
      <c r="B440" s="14" t="n">
        <v>0.3</v>
      </c>
    </row>
    <row r="441">
      <c r="A441" t="inlineStr">
        <is>
          <t>Materials charged (cost × 1.3)</t>
        </is>
      </c>
      <c r="B441" s="13">
        <f>B439*(1+B440)</f>
        <v/>
      </c>
    </row>
    <row r="442">
      <c r="A442" t="inlineStr">
        <is>
          <t>Materials charged (as invoiced, rounded per call-out)</t>
        </is>
      </c>
      <c r="B442" s="13" t="n">
        <v>8684</v>
      </c>
    </row>
    <row r="443">
      <c r="A443" t="inlineStr">
        <is>
          <t>Call-out revenue</t>
        </is>
      </c>
      <c r="B443" s="13">
        <f>B438+B442</f>
        <v/>
      </c>
    </row>
    <row r="444">
      <c r="A444" s="15" t="inlineStr">
        <is>
          <t>Technician time, % of call-out revenue</t>
        </is>
      </c>
      <c r="B444" s="16">
        <f>B438/B443</f>
        <v/>
      </c>
    </row>
    <row r="445"/>
    <row r="446"/>
    <row r="447">
      <c r="A447" s="5" t="inlineStr">
        <is>
          <t>1-hour call-outs (3)</t>
        </is>
      </c>
    </row>
    <row r="448">
      <c r="A448" s="12" t="inlineStr">
        <is>
          <t>Call-outs of this length in May, added together</t>
        </is>
      </c>
    </row>
    <row r="449">
      <c r="A449" s="6" t="inlineStr"/>
      <c r="B449" s="7" t="inlineStr">
        <is>
          <t>May 2026</t>
        </is>
      </c>
    </row>
    <row r="450">
      <c r="A450" t="inlineStr">
        <is>
          <t>Call-outs</t>
        </is>
      </c>
      <c r="B450" s="13" t="n">
        <v>3</v>
      </c>
    </row>
    <row r="451">
      <c r="A451" t="inlineStr">
        <is>
          <t>Technician time charged ($145/hour)</t>
        </is>
      </c>
      <c r="B451" s="13" t="n">
        <v>435</v>
      </c>
    </row>
    <row r="452">
      <c r="A452" t="inlineStr">
        <is>
          <t>Materials charged (cost × 1.3)</t>
        </is>
      </c>
      <c r="B452" s="13" t="n">
        <v>312</v>
      </c>
    </row>
    <row r="453">
      <c r="A453" t="inlineStr">
        <is>
          <t>Revenue</t>
        </is>
      </c>
      <c r="B453" s="13">
        <f>B451+B452</f>
        <v/>
      </c>
    </row>
    <row r="454">
      <c r="A454" t="inlineStr">
        <is>
          <t>Materials at cost</t>
        </is>
      </c>
      <c r="B454" s="13" t="n">
        <v>-240</v>
      </c>
    </row>
    <row r="455">
      <c r="A455" t="inlineStr">
        <is>
          <t>Technician time at cost</t>
        </is>
      </c>
      <c r="B455" s="13" t="n">
        <v>-204</v>
      </c>
    </row>
    <row r="456">
      <c r="A456" t="inlineStr">
        <is>
          <t>Job gross margin</t>
        </is>
      </c>
      <c r="B456" s="13">
        <f>B453+B454+B455</f>
        <v/>
      </c>
    </row>
    <row r="457">
      <c r="A457" s="15" t="inlineStr">
        <is>
          <t>Job gross margin %</t>
        </is>
      </c>
      <c r="B457" s="16">
        <f>B456/B453</f>
        <v/>
      </c>
    </row>
    <row r="458"/>
    <row r="459"/>
    <row r="460">
      <c r="A460" s="5" t="inlineStr">
        <is>
          <t>1.5-hour call-outs (4)</t>
        </is>
      </c>
    </row>
    <row r="461">
      <c r="A461" s="12" t="inlineStr">
        <is>
          <t>Call-outs of this length in May, added together</t>
        </is>
      </c>
    </row>
    <row r="462">
      <c r="A462" s="6" t="inlineStr"/>
      <c r="B462" s="7" t="inlineStr">
        <is>
          <t>May 2026</t>
        </is>
      </c>
    </row>
    <row r="463">
      <c r="A463" t="inlineStr">
        <is>
          <t>Call-outs</t>
        </is>
      </c>
      <c r="B463" s="13" t="n">
        <v>4</v>
      </c>
    </row>
    <row r="464">
      <c r="A464" t="inlineStr">
        <is>
          <t>Technician time charged ($145/hour)</t>
        </is>
      </c>
      <c r="B464" s="13" t="n">
        <v>872</v>
      </c>
    </row>
    <row r="465">
      <c r="A465" t="inlineStr">
        <is>
          <t>Materials charged (cost × 1.3)</t>
        </is>
      </c>
      <c r="B465" s="13" t="n">
        <v>481</v>
      </c>
    </row>
    <row r="466">
      <c r="A466" t="inlineStr">
        <is>
          <t>Revenue</t>
        </is>
      </c>
      <c r="B466" s="13">
        <f>B464+B465</f>
        <v/>
      </c>
    </row>
    <row r="467">
      <c r="A467" t="inlineStr">
        <is>
          <t>Materials at cost</t>
        </is>
      </c>
      <c r="B467" s="13" t="n">
        <v>-370</v>
      </c>
    </row>
    <row r="468">
      <c r="A468" t="inlineStr">
        <is>
          <t>Technician time at cost</t>
        </is>
      </c>
      <c r="B468" s="13" t="n">
        <v>-408</v>
      </c>
    </row>
    <row r="469">
      <c r="A469" t="inlineStr">
        <is>
          <t>Job gross margin</t>
        </is>
      </c>
      <c r="B469" s="13">
        <f>B466+B467+B468</f>
        <v/>
      </c>
    </row>
    <row r="470">
      <c r="A470" s="15" t="inlineStr">
        <is>
          <t>Job gross margin %</t>
        </is>
      </c>
      <c r="B470" s="16">
        <f>B469/B466</f>
        <v/>
      </c>
    </row>
    <row r="471"/>
    <row r="472"/>
    <row r="473">
      <c r="A473" s="5" t="inlineStr">
        <is>
          <t>2-hour call-outs (14)</t>
        </is>
      </c>
    </row>
    <row r="474">
      <c r="A474" s="12" t="inlineStr">
        <is>
          <t>Call-outs of this length in May, added together</t>
        </is>
      </c>
    </row>
    <row r="475">
      <c r="A475" s="6" t="inlineStr"/>
      <c r="B475" s="7" t="inlineStr">
        <is>
          <t>May 2026</t>
        </is>
      </c>
    </row>
    <row r="476">
      <c r="A476" t="inlineStr">
        <is>
          <t>Call-outs</t>
        </is>
      </c>
      <c r="B476" s="13" t="n">
        <v>14</v>
      </c>
    </row>
    <row r="477">
      <c r="A477" t="inlineStr">
        <is>
          <t>Technician time charged ($145/hour)</t>
        </is>
      </c>
      <c r="B477" s="13" t="n">
        <v>4060</v>
      </c>
    </row>
    <row r="478">
      <c r="A478" t="inlineStr">
        <is>
          <t>Materials charged (cost × 1.3)</t>
        </is>
      </c>
      <c r="B478" s="13" t="n">
        <v>2301</v>
      </c>
    </row>
    <row r="479">
      <c r="A479" t="inlineStr">
        <is>
          <t>Revenue</t>
        </is>
      </c>
      <c r="B479" s="13">
        <f>B477+B478</f>
        <v/>
      </c>
    </row>
    <row r="480">
      <c r="A480" t="inlineStr">
        <is>
          <t>Materials at cost</t>
        </is>
      </c>
      <c r="B480" s="13" t="n">
        <v>-1770</v>
      </c>
    </row>
    <row r="481">
      <c r="A481" t="inlineStr">
        <is>
          <t>Technician time at cost</t>
        </is>
      </c>
      <c r="B481" s="13" t="n">
        <v>-1904</v>
      </c>
    </row>
    <row r="482">
      <c r="A482" t="inlineStr">
        <is>
          <t>Job gross margin</t>
        </is>
      </c>
      <c r="B482" s="13">
        <f>B479+B480+B481</f>
        <v/>
      </c>
    </row>
    <row r="483">
      <c r="A483" s="15" t="inlineStr">
        <is>
          <t>Job gross margin %</t>
        </is>
      </c>
      <c r="B483" s="16">
        <f>B482/B479</f>
        <v/>
      </c>
    </row>
    <row r="484"/>
    <row r="485"/>
    <row r="486">
      <c r="A486" s="5" t="inlineStr">
        <is>
          <t>2.5-hour call-outs (9)</t>
        </is>
      </c>
    </row>
    <row r="487">
      <c r="A487" s="12" t="inlineStr">
        <is>
          <t>Call-outs of this length in May, added together</t>
        </is>
      </c>
    </row>
    <row r="488">
      <c r="A488" s="6" t="inlineStr"/>
      <c r="B488" s="7" t="inlineStr">
        <is>
          <t>May 2026</t>
        </is>
      </c>
    </row>
    <row r="489">
      <c r="A489" t="inlineStr">
        <is>
          <t>Call-outs</t>
        </is>
      </c>
      <c r="B489" s="13" t="n">
        <v>9</v>
      </c>
    </row>
    <row r="490">
      <c r="A490" t="inlineStr">
        <is>
          <t>Technician time charged ($145/hour)</t>
        </is>
      </c>
      <c r="B490" s="13" t="n">
        <v>3267</v>
      </c>
    </row>
    <row r="491">
      <c r="A491" t="inlineStr">
        <is>
          <t>Materials charged (cost × 1.3)</t>
        </is>
      </c>
      <c r="B491" s="13" t="n">
        <v>1508</v>
      </c>
    </row>
    <row r="492">
      <c r="A492" t="inlineStr">
        <is>
          <t>Revenue</t>
        </is>
      </c>
      <c r="B492" s="13">
        <f>B490+B491</f>
        <v/>
      </c>
    </row>
    <row r="493">
      <c r="A493" t="inlineStr">
        <is>
          <t>Materials at cost</t>
        </is>
      </c>
      <c r="B493" s="13" t="n">
        <v>-1160</v>
      </c>
    </row>
    <row r="494">
      <c r="A494" t="inlineStr">
        <is>
          <t>Technician time at cost</t>
        </is>
      </c>
      <c r="B494" s="13" t="n">
        <v>-1530</v>
      </c>
    </row>
    <row r="495">
      <c r="A495" t="inlineStr">
        <is>
          <t>Job gross margin</t>
        </is>
      </c>
      <c r="B495" s="13">
        <f>B492+B493+B494</f>
        <v/>
      </c>
    </row>
    <row r="496">
      <c r="A496" s="15" t="inlineStr">
        <is>
          <t>Job gross margin %</t>
        </is>
      </c>
      <c r="B496" s="16">
        <f>B495/B492</f>
        <v/>
      </c>
    </row>
    <row r="497"/>
    <row r="498"/>
    <row r="499">
      <c r="A499" s="5" t="inlineStr">
        <is>
          <t>3-hour call-outs (19)</t>
        </is>
      </c>
    </row>
    <row r="500">
      <c r="A500" s="12" t="inlineStr">
        <is>
          <t>Call-outs of this length in May, added together</t>
        </is>
      </c>
    </row>
    <row r="501">
      <c r="A501" s="6" t="inlineStr"/>
      <c r="B501" s="7" t="inlineStr">
        <is>
          <t>May 2026</t>
        </is>
      </c>
    </row>
    <row r="502">
      <c r="A502" t="inlineStr">
        <is>
          <t>Call-outs</t>
        </is>
      </c>
      <c r="B502" s="13" t="n">
        <v>19</v>
      </c>
    </row>
    <row r="503">
      <c r="A503" t="inlineStr">
        <is>
          <t>Technician time charged ($145/hour)</t>
        </is>
      </c>
      <c r="B503" s="13" t="n">
        <v>8265</v>
      </c>
    </row>
    <row r="504">
      <c r="A504" t="inlineStr">
        <is>
          <t>Materials charged (cost × 1.3)</t>
        </is>
      </c>
      <c r="B504" s="13" t="n">
        <v>3094</v>
      </c>
    </row>
    <row r="505">
      <c r="A505" t="inlineStr">
        <is>
          <t>Revenue</t>
        </is>
      </c>
      <c r="B505" s="13">
        <f>B503+B504</f>
        <v/>
      </c>
    </row>
    <row r="506">
      <c r="A506" t="inlineStr">
        <is>
          <t>Materials at cost</t>
        </is>
      </c>
      <c r="B506" s="13" t="n">
        <v>-2380</v>
      </c>
    </row>
    <row r="507">
      <c r="A507" t="inlineStr">
        <is>
          <t>Technician time at cost</t>
        </is>
      </c>
      <c r="B507" s="13" t="n">
        <v>-3876</v>
      </c>
    </row>
    <row r="508">
      <c r="A508" t="inlineStr">
        <is>
          <t>Job gross margin</t>
        </is>
      </c>
      <c r="B508" s="13">
        <f>B505+B506+B507</f>
        <v/>
      </c>
    </row>
    <row r="509">
      <c r="A509" s="15" t="inlineStr">
        <is>
          <t>Job gross margin %</t>
        </is>
      </c>
      <c r="B509" s="16">
        <f>B508/B505</f>
        <v/>
      </c>
    </row>
    <row r="510"/>
    <row r="511"/>
    <row r="512">
      <c r="A512" s="5" t="inlineStr">
        <is>
          <t>4-hour call-outs (6)</t>
        </is>
      </c>
    </row>
    <row r="513">
      <c r="A513" s="12" t="inlineStr">
        <is>
          <t>Call-outs of this length in May, added together</t>
        </is>
      </c>
    </row>
    <row r="514">
      <c r="A514" s="6" t="inlineStr"/>
      <c r="B514" s="7" t="inlineStr">
        <is>
          <t>May 2026</t>
        </is>
      </c>
    </row>
    <row r="515">
      <c r="A515" t="inlineStr">
        <is>
          <t>Call-outs</t>
        </is>
      </c>
      <c r="B515" s="13" t="n">
        <v>6</v>
      </c>
    </row>
    <row r="516">
      <c r="A516" t="inlineStr">
        <is>
          <t>Technician time charged ($145/hour)</t>
        </is>
      </c>
      <c r="B516" s="13" t="n">
        <v>3480</v>
      </c>
    </row>
    <row r="517">
      <c r="A517" t="inlineStr">
        <is>
          <t>Materials charged (cost × 1.3)</t>
        </is>
      </c>
      <c r="B517" s="13" t="n">
        <v>988</v>
      </c>
    </row>
    <row r="518">
      <c r="A518" t="inlineStr">
        <is>
          <t>Revenue</t>
        </is>
      </c>
      <c r="B518" s="13">
        <f>B516+B517</f>
        <v/>
      </c>
    </row>
    <row r="519">
      <c r="A519" t="inlineStr">
        <is>
          <t>Materials at cost</t>
        </is>
      </c>
      <c r="B519" s="13" t="n">
        <v>-760</v>
      </c>
    </row>
    <row r="520">
      <c r="A520" t="inlineStr">
        <is>
          <t>Technician time at cost</t>
        </is>
      </c>
      <c r="B520" s="13" t="n">
        <v>-1632</v>
      </c>
    </row>
    <row r="521">
      <c r="A521" t="inlineStr">
        <is>
          <t>Job gross margin</t>
        </is>
      </c>
      <c r="B521" s="13">
        <f>B518+B519+B520</f>
        <v/>
      </c>
    </row>
    <row r="522">
      <c r="A522" s="15" t="inlineStr">
        <is>
          <t>Job gross margin %</t>
        </is>
      </c>
      <c r="B522" s="16">
        <f>B521/B518</f>
        <v/>
      </c>
    </row>
    <row r="523"/>
    <row r="524"/>
    <row r="525"/>
  </sheetData>
  <printOptions horizontalCentered="1"/>
  <pageMargins left="0.5" right="0.5" top="0.75" bottom="0.75" header="0.5" footer="0.5"/>
  <pageSetup orientation="landscape" paperSize="9" fitToHeight="0" fitToWidth="1"/>
  <headerFooter>
    <oddHeader>&amp;L&amp;"Roboto,Regular"&amp;8 Sample Electrical &amp;&amp; Air Pty Ltd&amp;R&amp;"Roboto,Regular"&amp;8 &amp;A</oddHeader>
    <oddFooter>&amp;L&amp;"Roboto,Regular"&amp;8 job-margins.xlsx&amp;C&amp;"Roboto,Regular"&amp;8 Data retrieved 2pm, Tue 6 Oct 2026&amp;R&amp;"Roboto,Regular"&amp;8 Page &amp;P of &amp;N</oddFooter>
    <evenHeader/>
    <evenFooter/>
    <firstHeader/>
    <firstFooter/>
  </headerFooter>
  <rowBreaks count="19" manualBreakCount="19">
    <brk id="30" min="0" max="16383" man="1"/>
    <brk id="56" min="0" max="16383" man="1"/>
    <brk id="83" min="0" max="16383" man="1"/>
    <brk id="101" min="0" max="16383" man="1"/>
    <brk id="131" min="0" max="16383" man="1"/>
    <brk id="157" min="0" max="16383" man="1"/>
    <brk id="183" min="0" max="16383" man="1"/>
    <brk id="209" min="0" max="16383" man="1"/>
    <brk id="235" min="0" max="16383" man="1"/>
    <brk id="261" min="0" max="16383" man="1"/>
    <brk id="287" min="0" max="16383" man="1"/>
    <brk id="318" min="0" max="16383" man="1"/>
    <brk id="348" min="0" max="16383" man="1"/>
    <brk id="374" min="0" max="16383" man="1"/>
    <brk id="405" min="0" max="16383" man="1"/>
    <brk id="434" min="0" max="16383" man="1"/>
    <brk id="459" min="0" max="16383" man="1"/>
    <brk id="485" min="0" max="16383" man="1"/>
    <brk id="511" min="0" max="16383" man="1"/>
  </rowBreaks>
</worksheet>
</file>

<file path=xl/worksheets/sheet3.xml><?xml version="1.0" encoding="utf-8"?>
<worksheet xmlns="http://schemas.openxmlformats.org/spreadsheetml/2006/main">
  <sheetPr>
    <outlinePr summaryBelow="1" summaryRight="1"/>
    <pageSetUpPr fitToPage="1"/>
  </sheetPr>
  <dimension ref="A1:G85"/>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34" customWidth="1" min="1" max="1"/>
    <col width="16" customWidth="1" min="2" max="2"/>
    <col width="16" customWidth="1" min="3" max="3"/>
    <col width="16" customWidth="1" min="4" max="4"/>
    <col width="16" customWidth="1" min="5" max="5"/>
    <col width="16" customWidth="1" min="6" max="6"/>
    <col width="16" customWidth="1" min="7" max="7"/>
  </cols>
  <sheetData>
    <row r="1">
      <c r="A1" s="1" t="inlineStr">
        <is>
          <t>Data</t>
        </is>
      </c>
    </row>
    <row r="2">
      <c r="A2" s="2" t="inlineStr">
        <is>
          <t>Sample Electrical &amp; Air Pty Ltd · SAMPLE DATA (invented) · The Fourth Sheet</t>
        </is>
      </c>
    </row>
    <row r="3">
      <c r="A3" s="2" t="inlineStr">
        <is>
          <t>Period: May 2026 · Data status: Apr 2026 locked · May 2026 locked · Oct 2026 incomplete (data retrieved 2pm, Tue 6 Oct 2026)</t>
        </is>
      </c>
    </row>
    <row r="4"/>
    <row r="5">
      <c r="A5" s="6" t="inlineStr">
        <is>
          <t>Line</t>
        </is>
      </c>
      <c r="B5" s="7" t="inlineStr">
        <is>
          <t>Month</t>
        </is>
      </c>
      <c r="C5" s="7" t="inlineStr">
        <is>
          <t>Status</t>
        </is>
      </c>
      <c r="D5" s="7" t="inlineStr">
        <is>
          <t>Revenue</t>
        </is>
      </c>
      <c r="E5" s="7" t="inlineStr">
        <is>
          <t>Direct cost</t>
        </is>
      </c>
      <c r="F5" s="7" t="inlineStr">
        <is>
          <t>Gross margin</t>
        </is>
      </c>
      <c r="G5" s="7" t="inlineStr">
        <is>
          <t>Gross margin %</t>
        </is>
      </c>
    </row>
    <row r="6">
      <c r="A6" s="18" t="inlineStr">
        <is>
          <t>All</t>
        </is>
      </c>
      <c r="B6" s="18" t="inlineStr">
        <is>
          <t>Oct 24</t>
        </is>
      </c>
      <c r="C6" s="18" t="inlineStr">
        <is>
          <t>Locked</t>
        </is>
      </c>
      <c r="D6" s="13" t="n">
        <v>171009</v>
      </c>
      <c r="E6" s="13" t="n">
        <v>114334</v>
      </c>
      <c r="F6" s="13">
        <f>D6-E6</f>
        <v/>
      </c>
      <c r="G6" s="14">
        <f>IF(D6=0,"",F6/D6)</f>
        <v/>
      </c>
    </row>
    <row r="7">
      <c r="A7" s="18" t="inlineStr">
        <is>
          <t>All</t>
        </is>
      </c>
      <c r="B7" s="18" t="inlineStr">
        <is>
          <t>Nov 24</t>
        </is>
      </c>
      <c r="C7" s="18" t="inlineStr">
        <is>
          <t>Locked</t>
        </is>
      </c>
      <c r="D7" s="13" t="n">
        <v>179474</v>
      </c>
      <c r="E7" s="13" t="n">
        <v>113016</v>
      </c>
      <c r="F7" s="13">
        <f>D7-E7</f>
        <v/>
      </c>
      <c r="G7" s="14">
        <f>IF(D7=0,"",F7/D7)</f>
        <v/>
      </c>
    </row>
    <row r="8">
      <c r="A8" s="18" t="inlineStr">
        <is>
          <t>All</t>
        </is>
      </c>
      <c r="B8" s="18" t="inlineStr">
        <is>
          <t>Dec 24</t>
        </is>
      </c>
      <c r="C8" s="18" t="inlineStr">
        <is>
          <t>Locked</t>
        </is>
      </c>
      <c r="D8" s="13" t="n">
        <v>143156</v>
      </c>
      <c r="E8" s="13" t="n">
        <v>85316</v>
      </c>
      <c r="F8" s="13">
        <f>D8-E8</f>
        <v/>
      </c>
      <c r="G8" s="14">
        <f>IF(D8=0,"",F8/D8)</f>
        <v/>
      </c>
    </row>
    <row r="9">
      <c r="A9" s="18" t="inlineStr">
        <is>
          <t>All</t>
        </is>
      </c>
      <c r="B9" s="18" t="inlineStr">
        <is>
          <t>Jan 25</t>
        </is>
      </c>
      <c r="C9" s="18" t="inlineStr">
        <is>
          <t>Locked</t>
        </is>
      </c>
      <c r="D9" s="13" t="n">
        <v>140909</v>
      </c>
      <c r="E9" s="13" t="n">
        <v>80742</v>
      </c>
      <c r="F9" s="13">
        <f>D9-E9</f>
        <v/>
      </c>
      <c r="G9" s="14">
        <f>IF(D9=0,"",F9/D9)</f>
        <v/>
      </c>
    </row>
    <row r="10">
      <c r="A10" s="18" t="inlineStr">
        <is>
          <t>All</t>
        </is>
      </c>
      <c r="B10" s="18" t="inlineStr">
        <is>
          <t>Feb 25</t>
        </is>
      </c>
      <c r="C10" s="18" t="inlineStr">
        <is>
          <t>Locked</t>
        </is>
      </c>
      <c r="D10" s="13" t="n">
        <v>160943</v>
      </c>
      <c r="E10" s="13" t="n">
        <v>102348</v>
      </c>
      <c r="F10" s="13">
        <f>D10-E10</f>
        <v/>
      </c>
      <c r="G10" s="14">
        <f>IF(D10=0,"",F10/D10)</f>
        <v/>
      </c>
    </row>
    <row r="11">
      <c r="A11" s="18" t="inlineStr">
        <is>
          <t>All</t>
        </is>
      </c>
      <c r="B11" s="18" t="inlineStr">
        <is>
          <t>Mar 25</t>
        </is>
      </c>
      <c r="C11" s="18" t="inlineStr">
        <is>
          <t>Locked</t>
        </is>
      </c>
      <c r="D11" s="13" t="n">
        <v>135082</v>
      </c>
      <c r="E11" s="13" t="n">
        <v>85752</v>
      </c>
      <c r="F11" s="13">
        <f>D11-E11</f>
        <v/>
      </c>
      <c r="G11" s="14">
        <f>IF(D11=0,"",F11/D11)</f>
        <v/>
      </c>
    </row>
    <row r="12">
      <c r="A12" s="18" t="inlineStr">
        <is>
          <t>All</t>
        </is>
      </c>
      <c r="B12" s="18" t="inlineStr">
        <is>
          <t>Apr 25</t>
        </is>
      </c>
      <c r="C12" s="18" t="inlineStr">
        <is>
          <t>Locked</t>
        </is>
      </c>
      <c r="D12" s="13" t="n">
        <v>124705</v>
      </c>
      <c r="E12" s="13" t="n">
        <v>76808</v>
      </c>
      <c r="F12" s="13">
        <f>D12-E12</f>
        <v/>
      </c>
      <c r="G12" s="14">
        <f>IF(D12=0,"",F12/D12)</f>
        <v/>
      </c>
    </row>
    <row r="13">
      <c r="A13" s="18" t="inlineStr">
        <is>
          <t>All</t>
        </is>
      </c>
      <c r="B13" s="18" t="inlineStr">
        <is>
          <t>May 25</t>
        </is>
      </c>
      <c r="C13" s="18" t="inlineStr">
        <is>
          <t>Locked</t>
        </is>
      </c>
      <c r="D13" s="13" t="n">
        <v>129816</v>
      </c>
      <c r="E13" s="13" t="n">
        <v>83700</v>
      </c>
      <c r="F13" s="13">
        <f>D13-E13</f>
        <v/>
      </c>
      <c r="G13" s="14">
        <f>IF(D13=0,"",F13/D13)</f>
        <v/>
      </c>
    </row>
    <row r="14">
      <c r="A14" s="18" t="inlineStr">
        <is>
          <t>All</t>
        </is>
      </c>
      <c r="B14" s="18" t="inlineStr">
        <is>
          <t>Jun 25</t>
        </is>
      </c>
      <c r="C14" s="18" t="inlineStr">
        <is>
          <t>Locked</t>
        </is>
      </c>
      <c r="D14" s="13" t="n">
        <v>164113</v>
      </c>
      <c r="E14" s="13" t="n">
        <v>97584</v>
      </c>
      <c r="F14" s="13">
        <f>D14-E14</f>
        <v/>
      </c>
      <c r="G14" s="14">
        <f>IF(D14=0,"",F14/D14)</f>
        <v/>
      </c>
    </row>
    <row r="15">
      <c r="A15" s="18" t="inlineStr">
        <is>
          <t>All</t>
        </is>
      </c>
      <c r="B15" s="18" t="inlineStr">
        <is>
          <t>Jul 25</t>
        </is>
      </c>
      <c r="C15" s="18" t="inlineStr">
        <is>
          <t>Locked</t>
        </is>
      </c>
      <c r="D15" s="13" t="n">
        <v>186760</v>
      </c>
      <c r="E15" s="13" t="n">
        <v>120326</v>
      </c>
      <c r="F15" s="13">
        <f>D15-E15</f>
        <v/>
      </c>
      <c r="G15" s="14">
        <f>IF(D15=0,"",F15/D15)</f>
        <v/>
      </c>
    </row>
    <row r="16">
      <c r="A16" s="18" t="inlineStr">
        <is>
          <t>All</t>
        </is>
      </c>
      <c r="B16" s="18" t="inlineStr">
        <is>
          <t>Aug 25</t>
        </is>
      </c>
      <c r="C16" s="18" t="inlineStr">
        <is>
          <t>Locked</t>
        </is>
      </c>
      <c r="D16" s="13" t="n">
        <v>139164</v>
      </c>
      <c r="E16" s="13" t="n">
        <v>78258</v>
      </c>
      <c r="F16" s="13">
        <f>D16-E16</f>
        <v/>
      </c>
      <c r="G16" s="14">
        <f>IF(D16=0,"",F16/D16)</f>
        <v/>
      </c>
    </row>
    <row r="17">
      <c r="A17" s="18" t="inlineStr">
        <is>
          <t>All</t>
        </is>
      </c>
      <c r="B17" s="18" t="inlineStr">
        <is>
          <t>Sep 25</t>
        </is>
      </c>
      <c r="C17" s="18" t="inlineStr">
        <is>
          <t>Locked</t>
        </is>
      </c>
      <c r="D17" s="13" t="n">
        <v>128255</v>
      </c>
      <c r="E17" s="13" t="n">
        <v>80054</v>
      </c>
      <c r="F17" s="13">
        <f>D17-E17</f>
        <v/>
      </c>
      <c r="G17" s="14">
        <f>IF(D17=0,"",F17/D17)</f>
        <v/>
      </c>
    </row>
    <row r="18">
      <c r="A18" s="18" t="inlineStr">
        <is>
          <t>All</t>
        </is>
      </c>
      <c r="B18" s="18" t="inlineStr">
        <is>
          <t>Oct 25</t>
        </is>
      </c>
      <c r="C18" s="18" t="inlineStr">
        <is>
          <t>Locked</t>
        </is>
      </c>
      <c r="D18" s="13" t="n">
        <v>128898</v>
      </c>
      <c r="E18" s="13" t="n">
        <v>79452</v>
      </c>
      <c r="F18" s="13">
        <f>D18-E18</f>
        <v/>
      </c>
      <c r="G18" s="14">
        <f>IF(D18=0,"",F18/D18)</f>
        <v/>
      </c>
    </row>
    <row r="19">
      <c r="A19" s="18" t="inlineStr">
        <is>
          <t>All</t>
        </is>
      </c>
      <c r="B19" s="18" t="inlineStr">
        <is>
          <t>Nov 25</t>
        </is>
      </c>
      <c r="C19" s="18" t="inlineStr">
        <is>
          <t>Locked</t>
        </is>
      </c>
      <c r="D19" s="13" t="n">
        <v>174786</v>
      </c>
      <c r="E19" s="13" t="n">
        <v>115942</v>
      </c>
      <c r="F19" s="13">
        <f>D19-E19</f>
        <v/>
      </c>
      <c r="G19" s="14">
        <f>IF(D19=0,"",F19/D19)</f>
        <v/>
      </c>
    </row>
    <row r="20">
      <c r="A20" s="18" t="inlineStr">
        <is>
          <t>All</t>
        </is>
      </c>
      <c r="B20" s="18" t="inlineStr">
        <is>
          <t>Dec 25</t>
        </is>
      </c>
      <c r="C20" s="18" t="inlineStr">
        <is>
          <t>Locked</t>
        </is>
      </c>
      <c r="D20" s="13" t="n">
        <v>135079</v>
      </c>
      <c r="E20" s="13" t="n">
        <v>84626</v>
      </c>
      <c r="F20" s="13">
        <f>D20-E20</f>
        <v/>
      </c>
      <c r="G20" s="14">
        <f>IF(D20=0,"",F20/D20)</f>
        <v/>
      </c>
    </row>
    <row r="21">
      <c r="A21" s="18" t="inlineStr">
        <is>
          <t>All</t>
        </is>
      </c>
      <c r="B21" s="18" t="inlineStr">
        <is>
          <t>Jan 26</t>
        </is>
      </c>
      <c r="C21" s="18" t="inlineStr">
        <is>
          <t>Locked</t>
        </is>
      </c>
      <c r="D21" s="13" t="n">
        <v>164780</v>
      </c>
      <c r="E21" s="13" t="n">
        <v>106590</v>
      </c>
      <c r="F21" s="13">
        <f>D21-E21</f>
        <v/>
      </c>
      <c r="G21" s="14">
        <f>IF(D21=0,"",F21/D21)</f>
        <v/>
      </c>
    </row>
    <row r="22">
      <c r="A22" s="18" t="inlineStr">
        <is>
          <t>All</t>
        </is>
      </c>
      <c r="B22" s="18" t="inlineStr">
        <is>
          <t>Feb 26</t>
        </is>
      </c>
      <c r="C22" s="18" t="inlineStr">
        <is>
          <t>Locked</t>
        </is>
      </c>
      <c r="D22" s="13" t="n">
        <v>196372</v>
      </c>
      <c r="E22" s="13" t="n">
        <v>120662</v>
      </c>
      <c r="F22" s="13">
        <f>D22-E22</f>
        <v/>
      </c>
      <c r="G22" s="14">
        <f>IF(D22=0,"",F22/D22)</f>
        <v/>
      </c>
    </row>
    <row r="23">
      <c r="A23" s="18" t="inlineStr">
        <is>
          <t>All</t>
        </is>
      </c>
      <c r="B23" s="18" t="inlineStr">
        <is>
          <t>Mar 26</t>
        </is>
      </c>
      <c r="C23" s="18" t="inlineStr">
        <is>
          <t>Locked</t>
        </is>
      </c>
      <c r="D23" s="13" t="n">
        <v>191500</v>
      </c>
      <c r="E23" s="13" t="n">
        <v>123342</v>
      </c>
      <c r="F23" s="13">
        <f>D23-E23</f>
        <v/>
      </c>
      <c r="G23" s="14">
        <f>IF(D23=0,"",F23/D23)</f>
        <v/>
      </c>
    </row>
    <row r="24">
      <c r="A24" s="18" t="inlineStr">
        <is>
          <t>All</t>
        </is>
      </c>
      <c r="B24" s="18" t="inlineStr">
        <is>
          <t>Apr 26</t>
        </is>
      </c>
      <c r="C24" s="18" t="inlineStr">
        <is>
          <t>Locked</t>
        </is>
      </c>
      <c r="D24" s="13" t="n">
        <v>164987</v>
      </c>
      <c r="E24" s="13" t="n">
        <v>96144</v>
      </c>
      <c r="F24" s="13">
        <f>D24-E24</f>
        <v/>
      </c>
      <c r="G24" s="14">
        <f>IF(D24=0,"",F24/D24)</f>
        <v/>
      </c>
    </row>
    <row r="25">
      <c r="A25" s="18" t="inlineStr">
        <is>
          <t>All</t>
        </is>
      </c>
      <c r="B25" s="18" t="inlineStr">
        <is>
          <t>May 26</t>
        </is>
      </c>
      <c r="C25" s="18" t="inlineStr">
        <is>
          <t>Locked</t>
        </is>
      </c>
      <c r="D25" s="13" t="n">
        <v>161963</v>
      </c>
      <c r="E25" s="13" t="n">
        <v>98858</v>
      </c>
      <c r="F25" s="13">
        <f>D25-E25</f>
        <v/>
      </c>
      <c r="G25" s="14">
        <f>IF(D25=0,"",F25/D25)</f>
        <v/>
      </c>
    </row>
    <row r="26">
      <c r="A26" s="18" t="inlineStr">
        <is>
          <t>Maintenance contracts</t>
        </is>
      </c>
      <c r="B26" s="18" t="inlineStr">
        <is>
          <t>Oct 24</t>
        </is>
      </c>
      <c r="C26" s="18" t="inlineStr">
        <is>
          <t>Locked</t>
        </is>
      </c>
      <c r="D26" s="13" t="n">
        <v>24670</v>
      </c>
      <c r="E26" s="13" t="n">
        <v>10420</v>
      </c>
      <c r="F26" s="13">
        <f>D26-E26</f>
        <v/>
      </c>
      <c r="G26" s="14">
        <f>IF(D26=0,"",F26/D26)</f>
        <v/>
      </c>
    </row>
    <row r="27">
      <c r="A27" s="18" t="inlineStr">
        <is>
          <t>Maintenance contracts</t>
        </is>
      </c>
      <c r="B27" s="18" t="inlineStr">
        <is>
          <t>Nov 24</t>
        </is>
      </c>
      <c r="C27" s="18" t="inlineStr">
        <is>
          <t>Locked</t>
        </is>
      </c>
      <c r="D27" s="13" t="n">
        <v>24670</v>
      </c>
      <c r="E27" s="13" t="n">
        <v>10420</v>
      </c>
      <c r="F27" s="13">
        <f>D27-E27</f>
        <v/>
      </c>
      <c r="G27" s="14">
        <f>IF(D27=0,"",F27/D27)</f>
        <v/>
      </c>
    </row>
    <row r="28">
      <c r="A28" s="18" t="inlineStr">
        <is>
          <t>Maintenance contracts</t>
        </is>
      </c>
      <c r="B28" s="18" t="inlineStr">
        <is>
          <t>Dec 24</t>
        </is>
      </c>
      <c r="C28" s="18" t="inlineStr">
        <is>
          <t>Locked</t>
        </is>
      </c>
      <c r="D28" s="13" t="n">
        <v>24670</v>
      </c>
      <c r="E28" s="13" t="n">
        <v>10420</v>
      </c>
      <c r="F28" s="13">
        <f>D28-E28</f>
        <v/>
      </c>
      <c r="G28" s="14">
        <f>IF(D28=0,"",F28/D28)</f>
        <v/>
      </c>
    </row>
    <row r="29">
      <c r="A29" s="18" t="inlineStr">
        <is>
          <t>Maintenance contracts</t>
        </is>
      </c>
      <c r="B29" s="18" t="inlineStr">
        <is>
          <t>Jan 25</t>
        </is>
      </c>
      <c r="C29" s="18" t="inlineStr">
        <is>
          <t>Locked</t>
        </is>
      </c>
      <c r="D29" s="13" t="n">
        <v>24670</v>
      </c>
      <c r="E29" s="13" t="n">
        <v>10420</v>
      </c>
      <c r="F29" s="13">
        <f>D29-E29</f>
        <v/>
      </c>
      <c r="G29" s="14">
        <f>IF(D29=0,"",F29/D29)</f>
        <v/>
      </c>
    </row>
    <row r="30">
      <c r="A30" s="18" t="inlineStr">
        <is>
          <t>Maintenance contracts</t>
        </is>
      </c>
      <c r="B30" s="18" t="inlineStr">
        <is>
          <t>Feb 25</t>
        </is>
      </c>
      <c r="C30" s="18" t="inlineStr">
        <is>
          <t>Locked</t>
        </is>
      </c>
      <c r="D30" s="13" t="n">
        <v>27930</v>
      </c>
      <c r="E30" s="13" t="n">
        <v>11782</v>
      </c>
      <c r="F30" s="13">
        <f>D30-E30</f>
        <v/>
      </c>
      <c r="G30" s="14">
        <f>IF(D30=0,"",F30/D30)</f>
        <v/>
      </c>
    </row>
    <row r="31">
      <c r="A31" s="18" t="inlineStr">
        <is>
          <t>Maintenance contracts</t>
        </is>
      </c>
      <c r="B31" s="18" t="inlineStr">
        <is>
          <t>Mar 25</t>
        </is>
      </c>
      <c r="C31" s="18" t="inlineStr">
        <is>
          <t>Locked</t>
        </is>
      </c>
      <c r="D31" s="13" t="n">
        <v>27930</v>
      </c>
      <c r="E31" s="13" t="n">
        <v>11782</v>
      </c>
      <c r="F31" s="13">
        <f>D31-E31</f>
        <v/>
      </c>
      <c r="G31" s="14">
        <f>IF(D31=0,"",F31/D31)</f>
        <v/>
      </c>
    </row>
    <row r="32">
      <c r="A32" s="18" t="inlineStr">
        <is>
          <t>Maintenance contracts</t>
        </is>
      </c>
      <c r="B32" s="18" t="inlineStr">
        <is>
          <t>Apr 25</t>
        </is>
      </c>
      <c r="C32" s="18" t="inlineStr">
        <is>
          <t>Locked</t>
        </is>
      </c>
      <c r="D32" s="13" t="n">
        <v>27930</v>
      </c>
      <c r="E32" s="13" t="n">
        <v>11782</v>
      </c>
      <c r="F32" s="13">
        <f>D32-E32</f>
        <v/>
      </c>
      <c r="G32" s="14">
        <f>IF(D32=0,"",F32/D32)</f>
        <v/>
      </c>
    </row>
    <row r="33">
      <c r="A33" s="18" t="inlineStr">
        <is>
          <t>Maintenance contracts</t>
        </is>
      </c>
      <c r="B33" s="18" t="inlineStr">
        <is>
          <t>May 25</t>
        </is>
      </c>
      <c r="C33" s="18" t="inlineStr">
        <is>
          <t>Locked</t>
        </is>
      </c>
      <c r="D33" s="13" t="n">
        <v>27930</v>
      </c>
      <c r="E33" s="13" t="n">
        <v>11782</v>
      </c>
      <c r="F33" s="13">
        <f>D33-E33</f>
        <v/>
      </c>
      <c r="G33" s="14">
        <f>IF(D33=0,"",F33/D33)</f>
        <v/>
      </c>
    </row>
    <row r="34">
      <c r="A34" s="18" t="inlineStr">
        <is>
          <t>Maintenance contracts</t>
        </is>
      </c>
      <c r="B34" s="18" t="inlineStr">
        <is>
          <t>Jun 25</t>
        </is>
      </c>
      <c r="C34" s="18" t="inlineStr">
        <is>
          <t>Locked</t>
        </is>
      </c>
      <c r="D34" s="13" t="n">
        <v>31870</v>
      </c>
      <c r="E34" s="13" t="n">
        <v>13446</v>
      </c>
      <c r="F34" s="13">
        <f>D34-E34</f>
        <v/>
      </c>
      <c r="G34" s="14">
        <f>IF(D34=0,"",F34/D34)</f>
        <v/>
      </c>
    </row>
    <row r="35">
      <c r="A35" s="18" t="inlineStr">
        <is>
          <t>Maintenance contracts</t>
        </is>
      </c>
      <c r="B35" s="18" t="inlineStr">
        <is>
          <t>Jul 25</t>
        </is>
      </c>
      <c r="C35" s="18" t="inlineStr">
        <is>
          <t>Locked</t>
        </is>
      </c>
      <c r="D35" s="13" t="n">
        <v>33200</v>
      </c>
      <c r="E35" s="13" t="n">
        <v>13446</v>
      </c>
      <c r="F35" s="13">
        <f>D35-E35</f>
        <v/>
      </c>
      <c r="G35" s="14">
        <f>IF(D35=0,"",F35/D35)</f>
        <v/>
      </c>
    </row>
    <row r="36">
      <c r="A36" s="18" t="inlineStr">
        <is>
          <t>Maintenance contracts</t>
        </is>
      </c>
      <c r="B36" s="18" t="inlineStr">
        <is>
          <t>Aug 25</t>
        </is>
      </c>
      <c r="C36" s="18" t="inlineStr">
        <is>
          <t>Locked</t>
        </is>
      </c>
      <c r="D36" s="13" t="n">
        <v>33200</v>
      </c>
      <c r="E36" s="13" t="n">
        <v>13446</v>
      </c>
      <c r="F36" s="13">
        <f>D36-E36</f>
        <v/>
      </c>
      <c r="G36" s="14">
        <f>IF(D36=0,"",F36/D36)</f>
        <v/>
      </c>
    </row>
    <row r="37">
      <c r="A37" s="18" t="inlineStr">
        <is>
          <t>Maintenance contracts</t>
        </is>
      </c>
      <c r="B37" s="18" t="inlineStr">
        <is>
          <t>Sep 25</t>
        </is>
      </c>
      <c r="C37" s="18" t="inlineStr">
        <is>
          <t>Locked</t>
        </is>
      </c>
      <c r="D37" s="13" t="n">
        <v>33200</v>
      </c>
      <c r="E37" s="13" t="n">
        <v>13446</v>
      </c>
      <c r="F37" s="13">
        <f>D37-E37</f>
        <v/>
      </c>
      <c r="G37" s="14">
        <f>IF(D37=0,"",F37/D37)</f>
        <v/>
      </c>
    </row>
    <row r="38">
      <c r="A38" s="18" t="inlineStr">
        <is>
          <t>Maintenance contracts</t>
        </is>
      </c>
      <c r="B38" s="18" t="inlineStr">
        <is>
          <t>Oct 25</t>
        </is>
      </c>
      <c r="C38" s="18" t="inlineStr">
        <is>
          <t>Locked</t>
        </is>
      </c>
      <c r="D38" s="13" t="n">
        <v>35800</v>
      </c>
      <c r="E38" s="13" t="n">
        <v>14516</v>
      </c>
      <c r="F38" s="13">
        <f>D38-E38</f>
        <v/>
      </c>
      <c r="G38" s="14">
        <f>IF(D38=0,"",F38/D38)</f>
        <v/>
      </c>
    </row>
    <row r="39">
      <c r="A39" s="18" t="inlineStr">
        <is>
          <t>Maintenance contracts</t>
        </is>
      </c>
      <c r="B39" s="18" t="inlineStr">
        <is>
          <t>Nov 25</t>
        </is>
      </c>
      <c r="C39" s="18" t="inlineStr">
        <is>
          <t>Locked</t>
        </is>
      </c>
      <c r="D39" s="13" t="n">
        <v>35800</v>
      </c>
      <c r="E39" s="13" t="n">
        <v>14516</v>
      </c>
      <c r="F39" s="13">
        <f>D39-E39</f>
        <v/>
      </c>
      <c r="G39" s="14">
        <f>IF(D39=0,"",F39/D39)</f>
        <v/>
      </c>
    </row>
    <row r="40">
      <c r="A40" s="18" t="inlineStr">
        <is>
          <t>Maintenance contracts</t>
        </is>
      </c>
      <c r="B40" s="18" t="inlineStr">
        <is>
          <t>Dec 25</t>
        </is>
      </c>
      <c r="C40" s="18" t="inlineStr">
        <is>
          <t>Locked</t>
        </is>
      </c>
      <c r="D40" s="13" t="n">
        <v>35800</v>
      </c>
      <c r="E40" s="13" t="n">
        <v>14516</v>
      </c>
      <c r="F40" s="13">
        <f>D40-E40</f>
        <v/>
      </c>
      <c r="G40" s="14">
        <f>IF(D40=0,"",F40/D40)</f>
        <v/>
      </c>
    </row>
    <row r="41">
      <c r="A41" s="18" t="inlineStr">
        <is>
          <t>Maintenance contracts</t>
        </is>
      </c>
      <c r="B41" s="18" t="inlineStr">
        <is>
          <t>Jan 26</t>
        </is>
      </c>
      <c r="C41" s="18" t="inlineStr">
        <is>
          <t>Locked</t>
        </is>
      </c>
      <c r="D41" s="13" t="n">
        <v>35800</v>
      </c>
      <c r="E41" s="13" t="n">
        <v>14516</v>
      </c>
      <c r="F41" s="13">
        <f>D41-E41</f>
        <v/>
      </c>
      <c r="G41" s="14">
        <f>IF(D41=0,"",F41/D41)</f>
        <v/>
      </c>
    </row>
    <row r="42">
      <c r="A42" s="18" t="inlineStr">
        <is>
          <t>Maintenance contracts</t>
        </is>
      </c>
      <c r="B42" s="18" t="inlineStr">
        <is>
          <t>Feb 26</t>
        </is>
      </c>
      <c r="C42" s="18" t="inlineStr">
        <is>
          <t>Locked</t>
        </is>
      </c>
      <c r="D42" s="13" t="n">
        <v>37500</v>
      </c>
      <c r="E42" s="13" t="n">
        <v>15158</v>
      </c>
      <c r="F42" s="13">
        <f>D42-E42</f>
        <v/>
      </c>
      <c r="G42" s="14">
        <f>IF(D42=0,"",F42/D42)</f>
        <v/>
      </c>
    </row>
    <row r="43">
      <c r="A43" s="18" t="inlineStr">
        <is>
          <t>Maintenance contracts</t>
        </is>
      </c>
      <c r="B43" s="18" t="inlineStr">
        <is>
          <t>Mar 26</t>
        </is>
      </c>
      <c r="C43" s="18" t="inlineStr">
        <is>
          <t>Locked</t>
        </is>
      </c>
      <c r="D43" s="13" t="n">
        <v>37500</v>
      </c>
      <c r="E43" s="13" t="n">
        <v>15158</v>
      </c>
      <c r="F43" s="13">
        <f>D43-E43</f>
        <v/>
      </c>
      <c r="G43" s="14">
        <f>IF(D43=0,"",F43/D43)</f>
        <v/>
      </c>
    </row>
    <row r="44">
      <c r="A44" s="18" t="inlineStr">
        <is>
          <t>Maintenance contracts</t>
        </is>
      </c>
      <c r="B44" s="18" t="inlineStr">
        <is>
          <t>Apr 26</t>
        </is>
      </c>
      <c r="C44" s="18" t="inlineStr">
        <is>
          <t>Locked</t>
        </is>
      </c>
      <c r="D44" s="13" t="n">
        <v>37500</v>
      </c>
      <c r="E44" s="13" t="n">
        <v>15158</v>
      </c>
      <c r="F44" s="13">
        <f>D44-E44</f>
        <v/>
      </c>
      <c r="G44" s="14">
        <f>IF(D44=0,"",F44/D44)</f>
        <v/>
      </c>
    </row>
    <row r="45">
      <c r="A45" s="18" t="inlineStr">
        <is>
          <t>Maintenance contracts</t>
        </is>
      </c>
      <c r="B45" s="18" t="inlineStr">
        <is>
          <t>May 26</t>
        </is>
      </c>
      <c r="C45" s="18" t="inlineStr">
        <is>
          <t>Locked</t>
        </is>
      </c>
      <c r="D45" s="13" t="n">
        <v>40500</v>
      </c>
      <c r="E45" s="13" t="n">
        <v>16384</v>
      </c>
      <c r="F45" s="13">
        <f>D45-E45</f>
        <v/>
      </c>
      <c r="G45" s="14">
        <f>IF(D45=0,"",F45/D45)</f>
        <v/>
      </c>
    </row>
    <row r="46">
      <c r="A46" s="18" t="inlineStr">
        <is>
          <t>Installations</t>
        </is>
      </c>
      <c r="B46" s="18" t="inlineStr">
        <is>
          <t>Oct 24</t>
        </is>
      </c>
      <c r="C46" s="18" t="inlineStr">
        <is>
          <t>Locked</t>
        </is>
      </c>
      <c r="D46" s="13" t="n">
        <v>126300</v>
      </c>
      <c r="E46" s="13" t="n">
        <v>92430</v>
      </c>
      <c r="F46" s="13">
        <f>D46-E46</f>
        <v/>
      </c>
      <c r="G46" s="14">
        <f>IF(D46=0,"",F46/D46)</f>
        <v/>
      </c>
    </row>
    <row r="47">
      <c r="A47" s="18" t="inlineStr">
        <is>
          <t>Installations</t>
        </is>
      </c>
      <c r="B47" s="18" t="inlineStr">
        <is>
          <t>Nov 24</t>
        </is>
      </c>
      <c r="C47" s="18" t="inlineStr">
        <is>
          <t>Locked</t>
        </is>
      </c>
      <c r="D47" s="13" t="n">
        <v>131400</v>
      </c>
      <c r="E47" s="13" t="n">
        <v>89070</v>
      </c>
      <c r="F47" s="13">
        <f>D47-E47</f>
        <v/>
      </c>
      <c r="G47" s="14">
        <f>IF(D47=0,"",F47/D47)</f>
        <v/>
      </c>
    </row>
    <row r="48">
      <c r="A48" s="18" t="inlineStr">
        <is>
          <t>Installations</t>
        </is>
      </c>
      <c r="B48" s="18" t="inlineStr">
        <is>
          <t>Dec 24</t>
        </is>
      </c>
      <c r="C48" s="18" t="inlineStr">
        <is>
          <t>Locked</t>
        </is>
      </c>
      <c r="D48" s="13" t="n">
        <v>92600</v>
      </c>
      <c r="E48" s="13" t="n">
        <v>59908</v>
      </c>
      <c r="F48" s="13">
        <f>D48-E48</f>
        <v/>
      </c>
      <c r="G48" s="14">
        <f>IF(D48=0,"",F48/D48)</f>
        <v/>
      </c>
    </row>
    <row r="49">
      <c r="A49" s="18" t="inlineStr">
        <is>
          <t>Installations</t>
        </is>
      </c>
      <c r="B49" s="18" t="inlineStr">
        <is>
          <t>Jan 25</t>
        </is>
      </c>
      <c r="C49" s="18" t="inlineStr">
        <is>
          <t>Locked</t>
        </is>
      </c>
      <c r="D49" s="13" t="n">
        <v>89400</v>
      </c>
      <c r="E49" s="13" t="n">
        <v>54678</v>
      </c>
      <c r="F49" s="13">
        <f>D49-E49</f>
        <v/>
      </c>
      <c r="G49" s="14">
        <f>IF(D49=0,"",F49/D49)</f>
        <v/>
      </c>
    </row>
    <row r="50">
      <c r="A50" s="18" t="inlineStr">
        <is>
          <t>Installations</t>
        </is>
      </c>
      <c r="B50" s="18" t="inlineStr">
        <is>
          <t>Feb 25</t>
        </is>
      </c>
      <c r="C50" s="18" t="inlineStr">
        <is>
          <t>Locked</t>
        </is>
      </c>
      <c r="D50" s="13" t="n">
        <v>106000</v>
      </c>
      <c r="E50" s="13" t="n">
        <v>74966</v>
      </c>
      <c r="F50" s="13">
        <f>D50-E50</f>
        <v/>
      </c>
      <c r="G50" s="14">
        <f>IF(D50=0,"",F50/D50)</f>
        <v/>
      </c>
    </row>
    <row r="51">
      <c r="A51" s="18" t="inlineStr">
        <is>
          <t>Installations</t>
        </is>
      </c>
      <c r="B51" s="18" t="inlineStr">
        <is>
          <t>Mar 25</t>
        </is>
      </c>
      <c r="C51" s="18" t="inlineStr">
        <is>
          <t>Locked</t>
        </is>
      </c>
      <c r="D51" s="13" t="n">
        <v>86100</v>
      </c>
      <c r="E51" s="13" t="n">
        <v>61664</v>
      </c>
      <c r="F51" s="13">
        <f>D51-E51</f>
        <v/>
      </c>
      <c r="G51" s="14">
        <f>IF(D51=0,"",F51/D51)</f>
        <v/>
      </c>
    </row>
    <row r="52">
      <c r="A52" s="18" t="inlineStr">
        <is>
          <t>Installations</t>
        </is>
      </c>
      <c r="B52" s="18" t="inlineStr">
        <is>
          <t>Apr 25</t>
        </is>
      </c>
      <c r="C52" s="18" t="inlineStr">
        <is>
          <t>Locked</t>
        </is>
      </c>
      <c r="D52" s="13" t="n">
        <v>74900</v>
      </c>
      <c r="E52" s="13" t="n">
        <v>52264</v>
      </c>
      <c r="F52" s="13">
        <f>D52-E52</f>
        <v/>
      </c>
      <c r="G52" s="14">
        <f>IF(D52=0,"",F52/D52)</f>
        <v/>
      </c>
    </row>
    <row r="53">
      <c r="A53" s="18" t="inlineStr">
        <is>
          <t>Installations</t>
        </is>
      </c>
      <c r="B53" s="18" t="inlineStr">
        <is>
          <t>May 25</t>
        </is>
      </c>
      <c r="C53" s="18" t="inlineStr">
        <is>
          <t>Locked</t>
        </is>
      </c>
      <c r="D53" s="13" t="n">
        <v>80300</v>
      </c>
      <c r="E53" s="13" t="n">
        <v>59534</v>
      </c>
      <c r="F53" s="13">
        <f>D53-E53</f>
        <v/>
      </c>
      <c r="G53" s="14">
        <f>IF(D53=0,"",F53/D53)</f>
        <v/>
      </c>
    </row>
    <row r="54">
      <c r="A54" s="18" t="inlineStr">
        <is>
          <t>Installations</t>
        </is>
      </c>
      <c r="B54" s="18" t="inlineStr">
        <is>
          <t>Jun 25</t>
        </is>
      </c>
      <c r="C54" s="18" t="inlineStr">
        <is>
          <t>Locked</t>
        </is>
      </c>
      <c r="D54" s="13" t="n">
        <v>112700</v>
      </c>
      <c r="E54" s="13" t="n">
        <v>72976</v>
      </c>
      <c r="F54" s="13">
        <f>D54-E54</f>
        <v/>
      </c>
      <c r="G54" s="14">
        <f>IF(D54=0,"",F54/D54)</f>
        <v/>
      </c>
    </row>
    <row r="55">
      <c r="A55" s="18" t="inlineStr">
        <is>
          <t>Installations</t>
        </is>
      </c>
      <c r="B55" s="18" t="inlineStr">
        <is>
          <t>Jul 25</t>
        </is>
      </c>
      <c r="C55" s="18" t="inlineStr">
        <is>
          <t>Locked</t>
        </is>
      </c>
      <c r="D55" s="13" t="n">
        <v>135800</v>
      </c>
      <c r="E55" s="13" t="n">
        <v>96920</v>
      </c>
      <c r="F55" s="13">
        <f>D55-E55</f>
        <v/>
      </c>
      <c r="G55" s="14">
        <f>IF(D55=0,"",F55/D55)</f>
        <v/>
      </c>
    </row>
    <row r="56">
      <c r="A56" s="18" t="inlineStr">
        <is>
          <t>Installations</t>
        </is>
      </c>
      <c r="B56" s="18" t="inlineStr">
        <is>
          <t>Aug 25</t>
        </is>
      </c>
      <c r="C56" s="18" t="inlineStr">
        <is>
          <t>Locked</t>
        </is>
      </c>
      <c r="D56" s="13" t="n">
        <v>86200</v>
      </c>
      <c r="E56" s="13" t="n">
        <v>53590</v>
      </c>
      <c r="F56" s="13">
        <f>D56-E56</f>
        <v/>
      </c>
      <c r="G56" s="14">
        <f>IF(D56=0,"",F56/D56)</f>
        <v/>
      </c>
    </row>
    <row r="57">
      <c r="A57" s="18" t="inlineStr">
        <is>
          <t>Installations</t>
        </is>
      </c>
      <c r="B57" s="18" t="inlineStr">
        <is>
          <t>Sep 25</t>
        </is>
      </c>
      <c r="C57" s="18" t="inlineStr">
        <is>
          <t>Locked</t>
        </is>
      </c>
      <c r="D57" s="13" t="n">
        <v>75100</v>
      </c>
      <c r="E57" s="13" t="n">
        <v>55440</v>
      </c>
      <c r="F57" s="13">
        <f>D57-E57</f>
        <v/>
      </c>
      <c r="G57" s="14">
        <f>IF(D57=0,"",F57/D57)</f>
        <v/>
      </c>
    </row>
    <row r="58">
      <c r="A58" s="18" t="inlineStr">
        <is>
          <t>Installations</t>
        </is>
      </c>
      <c r="B58" s="18" t="inlineStr">
        <is>
          <t>Oct 25</t>
        </is>
      </c>
      <c r="C58" s="18" t="inlineStr">
        <is>
          <t>Locked</t>
        </is>
      </c>
      <c r="D58" s="13" t="n">
        <v>70800</v>
      </c>
      <c r="E58" s="13" t="n">
        <v>52288</v>
      </c>
      <c r="F58" s="13">
        <f>D58-E58</f>
        <v/>
      </c>
      <c r="G58" s="14">
        <f>IF(D58=0,"",F58/D58)</f>
        <v/>
      </c>
    </row>
    <row r="59">
      <c r="A59" s="18" t="inlineStr">
        <is>
          <t>Installations</t>
        </is>
      </c>
      <c r="B59" s="18" t="inlineStr">
        <is>
          <t>Nov 25</t>
        </is>
      </c>
      <c r="C59" s="18" t="inlineStr">
        <is>
          <t>Locked</t>
        </is>
      </c>
      <c r="D59" s="13" t="n">
        <v>113300</v>
      </c>
      <c r="E59" s="13" t="n">
        <v>87174</v>
      </c>
      <c r="F59" s="13">
        <f>D59-E59</f>
        <v/>
      </c>
      <c r="G59" s="14">
        <f>IF(D59=0,"",F59/D59)</f>
        <v/>
      </c>
    </row>
    <row r="60">
      <c r="A60" s="18" t="inlineStr">
        <is>
          <t>Installations</t>
        </is>
      </c>
      <c r="B60" s="18" t="inlineStr">
        <is>
          <t>Dec 25</t>
        </is>
      </c>
      <c r="C60" s="18" t="inlineStr">
        <is>
          <t>Locked</t>
        </is>
      </c>
      <c r="D60" s="13" t="n">
        <v>69700</v>
      </c>
      <c r="E60" s="13" t="n">
        <v>53408</v>
      </c>
      <c r="F60" s="13">
        <f>D60-E60</f>
        <v/>
      </c>
      <c r="G60" s="14">
        <f>IF(D60=0,"",F60/D60)</f>
        <v/>
      </c>
    </row>
    <row r="61">
      <c r="A61" s="18" t="inlineStr">
        <is>
          <t>Installations</t>
        </is>
      </c>
      <c r="B61" s="18" t="inlineStr">
        <is>
          <t>Jan 26</t>
        </is>
      </c>
      <c r="C61" s="18" t="inlineStr">
        <is>
          <t>Locked</t>
        </is>
      </c>
      <c r="D61" s="13" t="n">
        <v>97500</v>
      </c>
      <c r="E61" s="13" t="n">
        <v>74216</v>
      </c>
      <c r="F61" s="13">
        <f>D61-E61</f>
        <v/>
      </c>
      <c r="G61" s="14">
        <f>IF(D61=0,"",F61/D61)</f>
        <v/>
      </c>
    </row>
    <row r="62">
      <c r="A62" s="18" t="inlineStr">
        <is>
          <t>Installations</t>
        </is>
      </c>
      <c r="B62" s="18" t="inlineStr">
        <is>
          <t>Feb 26</t>
        </is>
      </c>
      <c r="C62" s="18" t="inlineStr">
        <is>
          <t>Locked</t>
        </is>
      </c>
      <c r="D62" s="13" t="n">
        <v>129300</v>
      </c>
      <c r="E62" s="13" t="n">
        <v>88896</v>
      </c>
      <c r="F62" s="13">
        <f>D62-E62</f>
        <v/>
      </c>
      <c r="G62" s="14">
        <f>IF(D62=0,"",F62/D62)</f>
        <v/>
      </c>
    </row>
    <row r="63">
      <c r="A63" s="18" t="inlineStr">
        <is>
          <t>Installations</t>
        </is>
      </c>
      <c r="B63" s="18" t="inlineStr">
        <is>
          <t>Mar 26</t>
        </is>
      </c>
      <c r="C63" s="18" t="inlineStr">
        <is>
          <t>Locked</t>
        </is>
      </c>
      <c r="D63" s="13" t="n">
        <v>129400</v>
      </c>
      <c r="E63" s="13" t="n">
        <v>94290</v>
      </c>
      <c r="F63" s="13">
        <f>D63-E63</f>
        <v/>
      </c>
      <c r="G63" s="14">
        <f>IF(D63=0,"",F63/D63)</f>
        <v/>
      </c>
    </row>
    <row r="64">
      <c r="A64" s="18" t="inlineStr">
        <is>
          <t>Installations</t>
        </is>
      </c>
      <c r="B64" s="18" t="inlineStr">
        <is>
          <t>Apr 26</t>
        </is>
      </c>
      <c r="C64" s="18" t="inlineStr">
        <is>
          <t>Locked</t>
        </is>
      </c>
      <c r="D64" s="13" t="n">
        <v>104400</v>
      </c>
      <c r="E64" s="13" t="n">
        <v>68016</v>
      </c>
      <c r="F64" s="13">
        <f>D64-E64</f>
        <v/>
      </c>
      <c r="G64" s="14">
        <f>IF(D64=0,"",F64/D64)</f>
        <v/>
      </c>
    </row>
    <row r="65">
      <c r="A65" s="18" t="inlineStr">
        <is>
          <t>Installations</t>
        </is>
      </c>
      <c r="B65" s="18" t="inlineStr">
        <is>
          <t>May 26</t>
        </is>
      </c>
      <c r="C65" s="18" t="inlineStr">
        <is>
          <t>Locked</t>
        </is>
      </c>
      <c r="D65" s="13" t="n">
        <v>92400</v>
      </c>
      <c r="E65" s="13" t="n">
        <v>66240</v>
      </c>
      <c r="F65" s="13">
        <f>D65-E65</f>
        <v/>
      </c>
      <c r="G65" s="14">
        <f>IF(D65=0,"",F65/D65)</f>
        <v/>
      </c>
    </row>
    <row r="66">
      <c r="A66" s="18" t="inlineStr">
        <is>
          <t>Call-outs and repairs</t>
        </is>
      </c>
      <c r="B66" s="18" t="inlineStr">
        <is>
          <t>Oct 24</t>
        </is>
      </c>
      <c r="C66" s="18" t="inlineStr">
        <is>
          <t>Locked</t>
        </is>
      </c>
      <c r="D66" s="13" t="n">
        <v>20039</v>
      </c>
      <c r="E66" s="13" t="n">
        <v>11484</v>
      </c>
      <c r="F66" s="13">
        <f>D66-E66</f>
        <v/>
      </c>
      <c r="G66" s="14">
        <f>IF(D66=0,"",F66/D66)</f>
        <v/>
      </c>
    </row>
    <row r="67">
      <c r="A67" s="18" t="inlineStr">
        <is>
          <t>Call-outs and repairs</t>
        </is>
      </c>
      <c r="B67" s="18" t="inlineStr">
        <is>
          <t>Nov 24</t>
        </is>
      </c>
      <c r="C67" s="18" t="inlineStr">
        <is>
          <t>Locked</t>
        </is>
      </c>
      <c r="D67" s="13" t="n">
        <v>23404</v>
      </c>
      <c r="E67" s="13" t="n">
        <v>13526</v>
      </c>
      <c r="F67" s="13">
        <f>D67-E67</f>
        <v/>
      </c>
      <c r="G67" s="14">
        <f>IF(D67=0,"",F67/D67)</f>
        <v/>
      </c>
    </row>
    <row r="68">
      <c r="A68" s="18" t="inlineStr">
        <is>
          <t>Call-outs and repairs</t>
        </is>
      </c>
      <c r="B68" s="18" t="inlineStr">
        <is>
          <t>Dec 24</t>
        </is>
      </c>
      <c r="C68" s="18" t="inlineStr">
        <is>
          <t>Locked</t>
        </is>
      </c>
      <c r="D68" s="13" t="n">
        <v>25886</v>
      </c>
      <c r="E68" s="13" t="n">
        <v>14988</v>
      </c>
      <c r="F68" s="13">
        <f>D68-E68</f>
        <v/>
      </c>
      <c r="G68" s="14">
        <f>IF(D68=0,"",F68/D68)</f>
        <v/>
      </c>
    </row>
    <row r="69">
      <c r="A69" s="18" t="inlineStr">
        <is>
          <t>Call-outs and repairs</t>
        </is>
      </c>
      <c r="B69" s="18" t="inlineStr">
        <is>
          <t>Jan 25</t>
        </is>
      </c>
      <c r="C69" s="18" t="inlineStr">
        <is>
          <t>Locked</t>
        </is>
      </c>
      <c r="D69" s="13" t="n">
        <v>26839</v>
      </c>
      <c r="E69" s="13" t="n">
        <v>15644</v>
      </c>
      <c r="F69" s="13">
        <f>D69-E69</f>
        <v/>
      </c>
      <c r="G69" s="14">
        <f>IF(D69=0,"",F69/D69)</f>
        <v/>
      </c>
    </row>
    <row r="70">
      <c r="A70" s="18" t="inlineStr">
        <is>
          <t>Call-outs and repairs</t>
        </is>
      </c>
      <c r="B70" s="18" t="inlineStr">
        <is>
          <t>Feb 25</t>
        </is>
      </c>
      <c r="C70" s="18" t="inlineStr">
        <is>
          <t>Locked</t>
        </is>
      </c>
      <c r="D70" s="13" t="n">
        <v>27013</v>
      </c>
      <c r="E70" s="13" t="n">
        <v>15600</v>
      </c>
      <c r="F70" s="13">
        <f>D70-E70</f>
        <v/>
      </c>
      <c r="G70" s="14">
        <f>IF(D70=0,"",F70/D70)</f>
        <v/>
      </c>
    </row>
    <row r="71">
      <c r="A71" s="18" t="inlineStr">
        <is>
          <t>Call-outs and repairs</t>
        </is>
      </c>
      <c r="B71" s="18" t="inlineStr">
        <is>
          <t>Mar 25</t>
        </is>
      </c>
      <c r="C71" s="18" t="inlineStr">
        <is>
          <t>Locked</t>
        </is>
      </c>
      <c r="D71" s="13" t="n">
        <v>21052</v>
      </c>
      <c r="E71" s="13" t="n">
        <v>12306</v>
      </c>
      <c r="F71" s="13">
        <f>D71-E71</f>
        <v/>
      </c>
      <c r="G71" s="14">
        <f>IF(D71=0,"",F71/D71)</f>
        <v/>
      </c>
    </row>
    <row r="72">
      <c r="A72" s="18" t="inlineStr">
        <is>
          <t>Call-outs and repairs</t>
        </is>
      </c>
      <c r="B72" s="18" t="inlineStr">
        <is>
          <t>Apr 25</t>
        </is>
      </c>
      <c r="C72" s="18" t="inlineStr">
        <is>
          <t>Locked</t>
        </is>
      </c>
      <c r="D72" s="13" t="n">
        <v>21875</v>
      </c>
      <c r="E72" s="13" t="n">
        <v>12762</v>
      </c>
      <c r="F72" s="13">
        <f>D72-E72</f>
        <v/>
      </c>
      <c r="G72" s="14">
        <f>IF(D72=0,"",F72/D72)</f>
        <v/>
      </c>
    </row>
    <row r="73">
      <c r="A73" s="18" t="inlineStr">
        <is>
          <t>Call-outs and repairs</t>
        </is>
      </c>
      <c r="B73" s="18" t="inlineStr">
        <is>
          <t>May 25</t>
        </is>
      </c>
      <c r="C73" s="18" t="inlineStr">
        <is>
          <t>Locked</t>
        </is>
      </c>
      <c r="D73" s="13" t="n">
        <v>21586</v>
      </c>
      <c r="E73" s="13" t="n">
        <v>12384</v>
      </c>
      <c r="F73" s="13">
        <f>D73-E73</f>
        <v/>
      </c>
      <c r="G73" s="14">
        <f>IF(D73=0,"",F73/D73)</f>
        <v/>
      </c>
    </row>
    <row r="74">
      <c r="A74" s="18" t="inlineStr">
        <is>
          <t>Call-outs and repairs</t>
        </is>
      </c>
      <c r="B74" s="18" t="inlineStr">
        <is>
          <t>Jun 25</t>
        </is>
      </c>
      <c r="C74" s="18" t="inlineStr">
        <is>
          <t>Locked</t>
        </is>
      </c>
      <c r="D74" s="13" t="n">
        <v>19543</v>
      </c>
      <c r="E74" s="13" t="n">
        <v>11162</v>
      </c>
      <c r="F74" s="13">
        <f>D74-E74</f>
        <v/>
      </c>
      <c r="G74" s="14">
        <f>IF(D74=0,"",F74/D74)</f>
        <v/>
      </c>
    </row>
    <row r="75">
      <c r="A75" s="18" t="inlineStr">
        <is>
          <t>Call-outs and repairs</t>
        </is>
      </c>
      <c r="B75" s="18" t="inlineStr">
        <is>
          <t>Jul 25</t>
        </is>
      </c>
      <c r="C75" s="18" t="inlineStr">
        <is>
          <t>Locked</t>
        </is>
      </c>
      <c r="D75" s="13" t="n">
        <v>17760</v>
      </c>
      <c r="E75" s="13" t="n">
        <v>9960</v>
      </c>
      <c r="F75" s="13">
        <f>D75-E75</f>
        <v/>
      </c>
      <c r="G75" s="14">
        <f>IF(D75=0,"",F75/D75)</f>
        <v/>
      </c>
    </row>
    <row r="76">
      <c r="A76" s="18" t="inlineStr">
        <is>
          <t>Call-outs and repairs</t>
        </is>
      </c>
      <c r="B76" s="18" t="inlineStr">
        <is>
          <t>Aug 25</t>
        </is>
      </c>
      <c r="C76" s="18" t="inlineStr">
        <is>
          <t>Locked</t>
        </is>
      </c>
      <c r="D76" s="13" t="n">
        <v>19764</v>
      </c>
      <c r="E76" s="13" t="n">
        <v>11222</v>
      </c>
      <c r="F76" s="13">
        <f>D76-E76</f>
        <v/>
      </c>
      <c r="G76" s="14">
        <f>IF(D76=0,"",F76/D76)</f>
        <v/>
      </c>
    </row>
    <row r="77">
      <c r="A77" s="18" t="inlineStr">
        <is>
          <t>Call-outs and repairs</t>
        </is>
      </c>
      <c r="B77" s="18" t="inlineStr">
        <is>
          <t>Sep 25</t>
        </is>
      </c>
      <c r="C77" s="18" t="inlineStr">
        <is>
          <t>Locked</t>
        </is>
      </c>
      <c r="D77" s="13" t="n">
        <v>19955</v>
      </c>
      <c r="E77" s="13" t="n">
        <v>11168</v>
      </c>
      <c r="F77" s="13">
        <f>D77-E77</f>
        <v/>
      </c>
      <c r="G77" s="14">
        <f>IF(D77=0,"",F77/D77)</f>
        <v/>
      </c>
    </row>
    <row r="78">
      <c r="A78" s="18" t="inlineStr">
        <is>
          <t>Call-outs and repairs</t>
        </is>
      </c>
      <c r="B78" s="18" t="inlineStr">
        <is>
          <t>Oct 25</t>
        </is>
      </c>
      <c r="C78" s="18" t="inlineStr">
        <is>
          <t>Locked</t>
        </is>
      </c>
      <c r="D78" s="13" t="n">
        <v>22298</v>
      </c>
      <c r="E78" s="13" t="n">
        <v>12648</v>
      </c>
      <c r="F78" s="13">
        <f>D78-E78</f>
        <v/>
      </c>
      <c r="G78" s="14">
        <f>IF(D78=0,"",F78/D78)</f>
        <v/>
      </c>
    </row>
    <row r="79">
      <c r="A79" s="18" t="inlineStr">
        <is>
          <t>Call-outs and repairs</t>
        </is>
      </c>
      <c r="B79" s="18" t="inlineStr">
        <is>
          <t>Nov 25</t>
        </is>
      </c>
      <c r="C79" s="18" t="inlineStr">
        <is>
          <t>Locked</t>
        </is>
      </c>
      <c r="D79" s="13" t="n">
        <v>25686</v>
      </c>
      <c r="E79" s="13" t="n">
        <v>14252</v>
      </c>
      <c r="F79" s="13">
        <f>D79-E79</f>
        <v/>
      </c>
      <c r="G79" s="14">
        <f>IF(D79=0,"",F79/D79)</f>
        <v/>
      </c>
    </row>
    <row r="80">
      <c r="A80" s="18" t="inlineStr">
        <is>
          <t>Call-outs and repairs</t>
        </is>
      </c>
      <c r="B80" s="18" t="inlineStr">
        <is>
          <t>Dec 25</t>
        </is>
      </c>
      <c r="C80" s="18" t="inlineStr">
        <is>
          <t>Locked</t>
        </is>
      </c>
      <c r="D80" s="13" t="n">
        <v>29579</v>
      </c>
      <c r="E80" s="13" t="n">
        <v>16702</v>
      </c>
      <c r="F80" s="13">
        <f>D80-E80</f>
        <v/>
      </c>
      <c r="G80" s="14">
        <f>IF(D80=0,"",F80/D80)</f>
        <v/>
      </c>
    </row>
    <row r="81">
      <c r="A81" s="18" t="inlineStr">
        <is>
          <t>Call-outs and repairs</t>
        </is>
      </c>
      <c r="B81" s="18" t="inlineStr">
        <is>
          <t>Jan 26</t>
        </is>
      </c>
      <c r="C81" s="18" t="inlineStr">
        <is>
          <t>Locked</t>
        </is>
      </c>
      <c r="D81" s="13" t="n">
        <v>31480</v>
      </c>
      <c r="E81" s="13" t="n">
        <v>17858</v>
      </c>
      <c r="F81" s="13">
        <f>D81-E81</f>
        <v/>
      </c>
      <c r="G81" s="14">
        <f>IF(D81=0,"",F81/D81)</f>
        <v/>
      </c>
    </row>
    <row r="82">
      <c r="A82" s="18" t="inlineStr">
        <is>
          <t>Call-outs and repairs</t>
        </is>
      </c>
      <c r="B82" s="18" t="inlineStr">
        <is>
          <t>Feb 26</t>
        </is>
      </c>
      <c r="C82" s="18" t="inlineStr">
        <is>
          <t>Locked</t>
        </is>
      </c>
      <c r="D82" s="13" t="n">
        <v>29572</v>
      </c>
      <c r="E82" s="13" t="n">
        <v>16608</v>
      </c>
      <c r="F82" s="13">
        <f>D82-E82</f>
        <v/>
      </c>
      <c r="G82" s="14">
        <f>IF(D82=0,"",F82/D82)</f>
        <v/>
      </c>
    </row>
    <row r="83">
      <c r="A83" s="18" t="inlineStr">
        <is>
          <t>Call-outs and repairs</t>
        </is>
      </c>
      <c r="B83" s="18" t="inlineStr">
        <is>
          <t>Mar 26</t>
        </is>
      </c>
      <c r="C83" s="18" t="inlineStr">
        <is>
          <t>Locked</t>
        </is>
      </c>
      <c r="D83" s="13" t="n">
        <v>24600</v>
      </c>
      <c r="E83" s="13" t="n">
        <v>13894</v>
      </c>
      <c r="F83" s="13">
        <f>D83-E83</f>
        <v/>
      </c>
      <c r="G83" s="14">
        <f>IF(D83=0,"",F83/D83)</f>
        <v/>
      </c>
    </row>
    <row r="84">
      <c r="A84" s="18" t="inlineStr">
        <is>
          <t>Call-outs and repairs</t>
        </is>
      </c>
      <c r="B84" s="18" t="inlineStr">
        <is>
          <t>Apr 26</t>
        </is>
      </c>
      <c r="C84" s="18" t="inlineStr">
        <is>
          <t>Locked</t>
        </is>
      </c>
      <c r="D84" s="13" t="n">
        <v>23087</v>
      </c>
      <c r="E84" s="13" t="n">
        <v>12970</v>
      </c>
      <c r="F84" s="13">
        <f>D84-E84</f>
        <v/>
      </c>
      <c r="G84" s="14">
        <f>IF(D84=0,"",F84/D84)</f>
        <v/>
      </c>
    </row>
    <row r="85">
      <c r="A85" s="18" t="inlineStr">
        <is>
          <t>Call-outs and repairs</t>
        </is>
      </c>
      <c r="B85" s="18" t="inlineStr">
        <is>
          <t>May 26</t>
        </is>
      </c>
      <c r="C85" s="18" t="inlineStr">
        <is>
          <t>Locked</t>
        </is>
      </c>
      <c r="D85" s="13" t="n">
        <v>29063</v>
      </c>
      <c r="E85" s="13" t="n">
        <v>16234</v>
      </c>
      <c r="F85" s="13">
        <f>D85-E85</f>
        <v/>
      </c>
      <c r="G85" s="14">
        <f>IF(D85=0,"",F85/D85)</f>
        <v/>
      </c>
    </row>
  </sheetData>
  <printOptions horizontalCentered="1"/>
  <pageMargins left="0.5" right="0.5" top="0.75" bottom="0.75" header="0.5" footer="0.5"/>
  <pageSetup orientation="landscape" paperSize="9" fitToHeight="0" fitToWidth="1"/>
  <headerFooter>
    <oddHeader>&amp;L&amp;"Roboto,Regular"&amp;8 Sample Electrical &amp;&amp; Air Pty Ltd&amp;R&amp;"Roboto,Regular"&amp;8 &amp;A</oddHeader>
    <oddFooter>&amp;L&amp;"Roboto,Regular"&amp;8 job-margins.xlsx&amp;C&amp;"Roboto,Regular"&amp;8 Data retrieved 2pm, Tue 6 Oct 2026&amp;R&amp;"Roboto,Regular"&amp;8 Page &amp;P of &amp;N</oddFooter>
    <evenHeader/>
    <evenFooter/>
    <firstHeader/>
    <firstFooter/>
  </headerFooter>
  <rowBreaks count="3" manualBreakCount="3">
    <brk id="25" min="0" max="16383" man="1"/>
    <brk id="45" min="0" max="16383" man="1"/>
    <brk id="65" min="0" max="16383" man="1"/>
  </rowBreak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2026-10-07T12:57:53Z</dcterms:created>
  <dcterms:modified xmlns:dcterms="http://purl.org/dc/terms/" xmlns:xsi="http://www.w3.org/2001/XMLSchema-instance" xsi:type="dcterms:W3CDTF">2026-10-07T12:57:53Z</dcterms:modified>
</cp:coreProperties>
</file>