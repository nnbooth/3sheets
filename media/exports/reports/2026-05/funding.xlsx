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May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May it cost: Grants 10¢,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May: grants (10¢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$699,210 raised this financial year to date (75.3% of everything raised), $78,100 to raise it, so $621,110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$185,800 raised this financial year to date (20.0% of everything raised), $27,300 to raise it, so $158,500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(4.6%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May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$699,210</t>
        </is>
      </c>
      <c r="C43" s="11" t="inlineStr">
        <is>
          <t>$78,100</t>
        </is>
      </c>
      <c r="D43" s="11" t="inlineStr">
        <is>
          <t>$621,110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$185,800</t>
        </is>
      </c>
      <c r="C44" s="11" t="inlineStr">
        <is>
          <t>$27,300</t>
        </is>
      </c>
      <c r="D44" s="11" t="inlineStr">
        <is>
          <t>$158,500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4" t="inlineStr">
        <is>
          <t>Cost to raise a dollar, by source, May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May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72245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16600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May.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Oct 24</t>
        </is>
      </c>
      <c r="C26" s="17" t="inlineStr">
        <is>
          <t>Locked</t>
        </is>
      </c>
      <c r="D26" s="13" t="n">
        <v>15300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Nov 24</t>
        </is>
      </c>
      <c r="C27" s="17" t="inlineStr">
        <is>
          <t>Locked</t>
        </is>
      </c>
      <c r="D27" s="13" t="n">
        <v>17700</v>
      </c>
      <c r="E27" s="13" t="n">
        <v>3100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Dec 24</t>
        </is>
      </c>
      <c r="C28" s="17" t="inlineStr">
        <is>
          <t>Locked</t>
        </is>
      </c>
      <c r="D28" s="13" t="n">
        <v>24700</v>
      </c>
      <c r="E28" s="13" t="n">
        <v>4400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Jan 25</t>
        </is>
      </c>
      <c r="C29" s="17" t="inlineStr">
        <is>
          <t>Locked</t>
        </is>
      </c>
      <c r="D29" s="13" t="n">
        <v>12400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Feb 25</t>
        </is>
      </c>
      <c r="C30" s="17" t="inlineStr">
        <is>
          <t>Locked</t>
        </is>
      </c>
      <c r="D30" s="13" t="n">
        <v>15600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Mar 25</t>
        </is>
      </c>
      <c r="C31" s="17" t="inlineStr">
        <is>
          <t>Locked</t>
        </is>
      </c>
      <c r="D31" s="13" t="n">
        <v>15700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Apr 25</t>
        </is>
      </c>
      <c r="C32" s="17" t="inlineStr">
        <is>
          <t>Locked</t>
        </is>
      </c>
      <c r="D32" s="13" t="n">
        <v>15700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May 25</t>
        </is>
      </c>
      <c r="C33" s="17" t="inlineStr">
        <is>
          <t>Locked</t>
        </is>
      </c>
      <c r="D33" s="13" t="n">
        <v>15800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Jun 25</t>
        </is>
      </c>
      <c r="C34" s="17" t="inlineStr">
        <is>
          <t>Locked</t>
        </is>
      </c>
      <c r="D34" s="13" t="n">
        <v>38100</v>
      </c>
      <c r="E34" s="13" t="n">
        <v>5500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Jul 25</t>
        </is>
      </c>
      <c r="C35" s="17" t="inlineStr">
        <is>
          <t>Locked</t>
        </is>
      </c>
      <c r="D35" s="13" t="n">
        <v>13500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Aug 25</t>
        </is>
      </c>
      <c r="C36" s="17" t="inlineStr">
        <is>
          <t>Locked</t>
        </is>
      </c>
      <c r="D36" s="13" t="n">
        <v>16000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Sep 25</t>
        </is>
      </c>
      <c r="C37" s="17" t="inlineStr">
        <is>
          <t>Locked</t>
        </is>
      </c>
      <c r="D37" s="13" t="n">
        <v>16100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Oct 25</t>
        </is>
      </c>
      <c r="C38" s="17" t="inlineStr">
        <is>
          <t>Locked</t>
        </is>
      </c>
      <c r="D38" s="13" t="n">
        <v>16200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Nov 25</t>
        </is>
      </c>
      <c r="C39" s="17" t="inlineStr">
        <is>
          <t>Locked</t>
        </is>
      </c>
      <c r="D39" s="13" t="n">
        <v>18700</v>
      </c>
      <c r="E39" s="13" t="n">
        <v>3100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Dec 25</t>
        </is>
      </c>
      <c r="C40" s="17" t="inlineStr">
        <is>
          <t>Locked</t>
        </is>
      </c>
      <c r="D40" s="13" t="n">
        <v>26100</v>
      </c>
      <c r="E40" s="13" t="n">
        <v>4400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Jan 26</t>
        </is>
      </c>
      <c r="C41" s="17" t="inlineStr">
        <is>
          <t>Locked</t>
        </is>
      </c>
      <c r="D41" s="13" t="n">
        <v>13100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Feb 26</t>
        </is>
      </c>
      <c r="C42" s="17" t="inlineStr">
        <is>
          <t>Locked</t>
        </is>
      </c>
      <c r="D42" s="13" t="n">
        <v>16400</v>
      </c>
      <c r="E42" s="13" t="n">
        <v>2200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Mar 26</t>
        </is>
      </c>
      <c r="C43" s="17" t="inlineStr">
        <is>
          <t>Locked</t>
        </is>
      </c>
      <c r="D43" s="13" t="n">
        <v>16500</v>
      </c>
      <c r="E43" s="13" t="n">
        <v>2200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Apr 26</t>
        </is>
      </c>
      <c r="C44" s="17" t="inlineStr">
        <is>
          <t>Locked</t>
        </is>
      </c>
      <c r="D44" s="13" t="n">
        <v>16600</v>
      </c>
      <c r="E44" s="13" t="n">
        <v>2200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May 26</t>
        </is>
      </c>
      <c r="C45" s="17" t="inlineStr">
        <is>
          <t>Locked</t>
        </is>
      </c>
      <c r="D45" s="13" t="n">
        <v>16600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Oct 24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Nov 24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Dec 24</t>
        </is>
      </c>
      <c r="C48" s="17" t="inlineStr">
        <is>
          <t>Locked</t>
        </is>
      </c>
      <c r="D48" s="13" t="n">
        <v>6200</v>
      </c>
      <c r="E48" s="13" t="n">
        <v>2600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Jan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Feb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Mar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Apr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May 25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Jun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Jul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Aug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Sep 25</t>
        </is>
      </c>
      <c r="C57" s="17" t="inlineStr">
        <is>
          <t>Locked</t>
        </is>
      </c>
      <c r="D57" s="13" t="n">
        <v>36800</v>
      </c>
      <c r="E57" s="13" t="n">
        <v>15200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Oct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Nov 25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Dec 25</t>
        </is>
      </c>
      <c r="C60" s="17" t="inlineStr">
        <is>
          <t>Locked</t>
        </is>
      </c>
      <c r="D60" s="13" t="n">
        <v>6200</v>
      </c>
      <c r="E60" s="13" t="n">
        <v>2600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Jan 26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Feb 26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Mar 26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Apr 26</t>
        </is>
      </c>
      <c r="C64" s="17" t="inlineStr">
        <is>
          <t>Locked</t>
        </is>
      </c>
      <c r="D64" s="13" t="n">
        <v>0</v>
      </c>
      <c r="E64" s="13" t="n">
        <v>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May 26</t>
        </is>
      </c>
      <c r="C65" s="17" t="inlineStr">
        <is>
          <t>Locked</t>
        </is>
      </c>
      <c r="D65" s="13" t="n">
        <v>0</v>
      </c>
      <c r="E65" s="13" t="n">
        <v>0</v>
      </c>
      <c r="F65" s="13">
        <f>D65-E65</f>
        <v/>
      </c>
      <c r="G65" s="14">
        <f>IF(D65=0,"",E65/D65*100)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5" min="0" max="16383" man="1"/>
    <brk id="4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