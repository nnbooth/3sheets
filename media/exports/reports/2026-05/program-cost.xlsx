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'Report'!$A$1:$D$73</definedName>
    <definedName name="_xlnm.Print_Area" localSheetId="1">'Workings'!$A$1:$B$80</definedName>
    <definedName name="_xlnm.Print_Titles" localSheetId="2">'Data'!$9:$9</definedName>
    <definedName name="_xlnm.Print_Area" localSheetId="2">'Data'!$A$1:$F$15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'Report'!$A$10:$A$15</f>
            </numRef>
          </cat>
          <val>
            <numRef>
              <f>'Report'!$B$10:$B$15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5" headerRowCount="1">
  <autoFilter ref="A9:F15"/>
  <tableColumns count="6">
    <tableColumn id="1" name="Program"/>
    <tableColumn id="2" name="Grant spending, May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May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/>
    <row r="18"/>
    <row r="19"/>
    <row r="20"/>
    <row r="21"/>
    <row r="22"/>
    <row r="23"/>
    <row r="24">
      <c r="A24" s="10" t="inlineStr">
        <is>
          <t>What it shows</t>
        </is>
      </c>
    </row>
    <row r="25" ht="45" customHeight="1">
      <c r="A25" s="3" t="inlineStr">
        <is>
          <t>Housing support is the biggest program: $54,240 in May once its share of untied program costs and administration is added to $31,337 of grant spending. Shared costs add 73.1% on top of grant spending across all programs.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9"/>
    <row r="30">
      <c r="A30" s="4" t="inlineStr">
        <is>
          <t>Program: Housing support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Housing support cost $54,240 in full in May: $31,337 paid by the State Housing Program grant, and $22,903 of shared costs no grant covers. It has spent 91.3% of its budget to date, with $223,091 left and 7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$54,240 a month; $22,903 of it is shared cost the grant doesn't pay for. Worth asking for as much of it as the funder allows at renewal.</t>
        </is>
      </c>
    </row>
    <row r="36"/>
    <row r="37">
      <c r="A37" s="4" t="inlineStr">
        <is>
          <t>Program: Youth outreach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Youth outreach cost $36,649 in full in May: $21,174 paid by the State Department of Families grant, and $15,475 of shared costs no grant covers. It has spent 99.3% of its budget to date, with $261,640 left and 13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$36,649 a month; $15,475 of it is shared cost the grant doesn't pay for. Worth asking for as much of it as the funder allows at renewal.</t>
        </is>
      </c>
    </row>
    <row r="43"/>
    <row r="44">
      <c r="A44" s="4" t="inlineStr">
        <is>
          <t>Program: Mental health first aid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Mental health first aid cost $15,491 in full in May: $8,950 paid by the Federal health program grant, and $6,541 of shared costs no grant covers. It has spent 92.7% of its budget to date, with $101,466 left and 10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$15,491 a month; $6,541 of it is shared cost the grant doesn't pay for. Worth asking for as much of it as the funder allows at renewal.</t>
        </is>
      </c>
    </row>
    <row r="50"/>
    <row r="51">
      <c r="A51" s="4" t="inlineStr">
        <is>
          <t>Program: Digital literacy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Digital literacy cost $8,022 in full in May: $4,635 paid by the Philanthropic foundation grant, and $3,387 of shared costs no grant covers. It has spent 100.9% of its budget to date, with $49,629 left and 10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$8,022 a month; $3,387 of it is shared cost the grant doesn't pay for. Worth asking for as much of it as the funder allows at renewal.</t>
        </is>
      </c>
    </row>
    <row r="57"/>
    <row r="58">
      <c r="A58" s="4" t="inlineStr">
        <is>
          <t>Program: Community meals (2025-26)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Community meals (2025-26) cost $6,058 in full in May: $3,500 paid by the Local council community grant grant, and $2,558 of shared costs no grant covers. It has spent 97.4% of its budget to date, with $4,700 left and 1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$6,058 a month; $2,558 of it is shared cost the grant doesn't pay for. Worth asking for as much of it as the funder allows at renewal.</t>
        </is>
      </c>
    </row>
    <row r="64"/>
    <row r="65">
      <c r="A65" s="4" t="inlineStr">
        <is>
          <t>Program: Volunteer coordinator</t>
        </is>
      </c>
    </row>
    <row r="66">
      <c r="A66" s="10" t="inlineStr">
        <is>
          <t>What it shows</t>
        </is>
      </c>
    </row>
    <row r="67" ht="45" customHeight="1">
      <c r="A67" s="3" t="inlineStr">
        <is>
          <t>Volunteer coordinator cost $4,585 in full in May: $2,649 paid by the State volunteering grant grant, and $1,936 of shared costs no grant covers. It has spent 101.5% of its budget to date, with $26,864 left and 9 months to go.</t>
        </is>
      </c>
    </row>
    <row r="68"/>
    <row r="69">
      <c r="A69" s="10" t="inlineStr">
        <is>
          <t>What you'd do about it</t>
        </is>
      </c>
    </row>
    <row r="70" ht="30" customHeight="1">
      <c r="A70" s="3" t="inlineStr">
        <is>
          <t>The full cost is $4,585 a month; $1,936 of it is shared cost the grant doesn't pay for. Worth asking for as much of it as the funder allows at renewal.</t>
        </is>
      </c>
    </row>
    <row r="71"/>
    <row r="72">
      <c r="A72" s="4" t="inlineStr">
        <is>
          <t>Every program at once</t>
        </is>
      </c>
    </row>
    <row r="73">
      <c r="A73" s="11" t="inlineStr">
        <is>
          <t>Grant spending, by month: every month is on the Data sheet.</t>
        </is>
      </c>
    </row>
    <row r="74"/>
    <row r="75"/>
  </sheetData>
  <mergeCells count="15">
    <mergeCell ref="A5:D5"/>
    <mergeCell ref="A56:D56"/>
    <mergeCell ref="A67:D67"/>
    <mergeCell ref="A70:D70"/>
    <mergeCell ref="A42:D42"/>
    <mergeCell ref="A53:D53"/>
    <mergeCell ref="A60:D60"/>
    <mergeCell ref="A35:D35"/>
    <mergeCell ref="A63:D63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4" t="inlineStr">
        <is>
          <t>Housing support: full cost, May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May 2026</t>
        </is>
      </c>
    </row>
    <row r="8">
      <c r="A8" t="inlineStr">
        <is>
          <t>Grant spending on the program</t>
        </is>
      </c>
      <c r="B8" s="12" t="n">
        <v>31337</v>
      </c>
    </row>
    <row r="9">
      <c r="A9" t="inlineStr">
        <is>
          <t>All grant-funded program spending</t>
        </is>
      </c>
      <c r="B9" s="12" t="n">
        <v>72245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17300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35500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May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May 2026</t>
        </is>
      </c>
    </row>
    <row r="21">
      <c r="A21" t="inlineStr">
        <is>
          <t>Grant spending on the program</t>
        </is>
      </c>
      <c r="B21" s="12" t="n">
        <v>21174</v>
      </c>
    </row>
    <row r="22">
      <c r="A22" t="inlineStr">
        <is>
          <t>All grant-funded program spending</t>
        </is>
      </c>
      <c r="B22" s="12" t="n">
        <v>72245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17300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35500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May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May 2026</t>
        </is>
      </c>
    </row>
    <row r="34">
      <c r="A34" t="inlineStr">
        <is>
          <t>Grant spending on the program</t>
        </is>
      </c>
      <c r="B34" s="12" t="n">
        <v>8950</v>
      </c>
    </row>
    <row r="35">
      <c r="A35" t="inlineStr">
        <is>
          <t>All grant-funded program spending</t>
        </is>
      </c>
      <c r="B35" s="12" t="n">
        <v>72245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17300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35500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May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May 2026</t>
        </is>
      </c>
    </row>
    <row r="47">
      <c r="A47" t="inlineStr">
        <is>
          <t>Grant spending on the program</t>
        </is>
      </c>
      <c r="B47" s="12" t="n">
        <v>4635</v>
      </c>
    </row>
    <row r="48">
      <c r="A48" t="inlineStr">
        <is>
          <t>All grant-funded program spending</t>
        </is>
      </c>
      <c r="B48" s="12" t="n">
        <v>72245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17300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35500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May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May 2026</t>
        </is>
      </c>
    </row>
    <row r="60">
      <c r="A60" t="inlineStr">
        <is>
          <t>Grant spending on the program</t>
        </is>
      </c>
      <c r="B60" s="12" t="n">
        <v>3500</v>
      </c>
    </row>
    <row r="61">
      <c r="A61" t="inlineStr">
        <is>
          <t>All grant-funded program spending</t>
        </is>
      </c>
      <c r="B61" s="12" t="n">
        <v>72245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17300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35500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May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May 2026</t>
        </is>
      </c>
    </row>
    <row r="73">
      <c r="A73" t="inlineStr">
        <is>
          <t>Grant spending on the program</t>
        </is>
      </c>
      <c r="B73" s="12" t="n">
        <v>2649</v>
      </c>
    </row>
    <row r="74">
      <c r="A74" t="inlineStr">
        <is>
          <t>All grant-funded program spending</t>
        </is>
      </c>
      <c r="B74" s="12" t="n">
        <v>72245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17300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35500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t="inlineStr">
        <is>
          <t>All grant-funded program spending, May 2026</t>
        </is>
      </c>
      <c r="B5" s="8" t="n">
        <v>72245</v>
      </c>
    </row>
    <row r="6">
      <c r="A6" t="inlineStr">
        <is>
          <t>Untied program costs, May 2026 (all programs)</t>
        </is>
      </c>
      <c r="B6" s="8" t="n">
        <v>17300</v>
      </c>
    </row>
    <row r="7">
      <c r="A7" t="inlineStr">
        <is>
          <t>Administration, May 2026 (all)</t>
        </is>
      </c>
      <c r="B7" s="8" t="n">
        <v>35500</v>
      </c>
    </row>
    <row r="8"/>
    <row r="9">
      <c r="A9" s="6" t="inlineStr">
        <is>
          <t>Program</t>
        </is>
      </c>
      <c r="B9" s="7" t="inlineStr">
        <is>
          <t>Grant spending, May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31337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21174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8950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4635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3500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2649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