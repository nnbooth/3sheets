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Calls_for_help_October_so_far">'Report'!$B$8</definedName>
    <definedName name="Answered_while_staffed_October_so_far">'Report'!$B$9</definedName>
    <definedName name="Calls_outside_staffed_hours_October_so_far">'Report'!$B$10</definedName>
    <definedName name="Median_wait_when_answered_October_so_far">'Report'!$B$11</definedName>
    <definedName name="_xlnm.Print_Area" localSheetId="0">'Report'!$A$1:$D$36</definedName>
    <definedName name="_xlnm.Print_Area" localSheetId="1">'Workings'!$A$1:$C$109</definedName>
    <definedName name="_xlnm.Print_Titles" localSheetId="2">'Data'!$5:$5</definedName>
    <definedName name="_xlnm.Print_Area" localSheetId="2">'Data'!$A$1:$F$29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When the calls come in, October 2026 to date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Calls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'Report'!$A$15:$A$21</f>
            </numRef>
          </cat>
          <val>
            <numRef>
              <f>'Report'!$B$15:$B$21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261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alls_Data" displayName="calls_Data" ref="A5:F29" headerRowCount="1">
  <autoFilter ref="A5:F29"/>
  <tableColumns count="6">
    <tableColumn id="1" name="Month"/>
    <tableColumn id="2" name="Status"/>
    <tableColumn id="3" name="Calls"/>
    <tableColumn id="4" name="While staffed"/>
    <tableColumn id="5" name="Answered"/>
    <tableColumn id="6" name="Answered while staffed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When do calls for help come in, and are we there to answer?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2026 to date · Data status: Sep 2026 locked · Oct 2026 incomplete (data retrieved 2pm, Tue 6 Oct 2026) · Generated 8 Oct 2026, 11:41pm</t>
        </is>
      </c>
    </row>
    <row r="4"/>
    <row r="5" ht="32" customHeight="1">
      <c r="A5" s="3" t="inlineStr">
        <is>
          <t>Every call to the help line: when it came in, whether someone answered, and how long the caller waited. The line is staffed 8:30am to 5pm on working days.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Calls for help, October so far</t>
        </is>
      </c>
      <c r="B8" s="6">
        <f>Workings!B12</f>
        <v/>
      </c>
      <c r="C8" s="7" t="inlineStr">
        <is>
          <t>September 817</t>
        </is>
      </c>
    </row>
    <row r="9">
      <c r="A9" t="inlineStr">
        <is>
          <t>Answered while staffed, October so far</t>
        </is>
      </c>
      <c r="B9" s="6">
        <f>Workings!B23</f>
        <v/>
      </c>
      <c r="C9" s="7" t="inlineStr">
        <is>
          <t>target 90.0%</t>
        </is>
      </c>
    </row>
    <row r="10">
      <c r="A10" t="inlineStr">
        <is>
          <t>Calls outside staffed hours, October so far</t>
        </is>
      </c>
      <c r="B10" s="6">
        <f>Workings!B34</f>
        <v/>
      </c>
      <c r="C10" s="7" t="inlineStr">
        <is>
          <t>59 calls to voicemail</t>
        </is>
      </c>
    </row>
    <row r="11">
      <c r="A11" t="inlineStr">
        <is>
          <t>Median wait when answered, October so far</t>
        </is>
      </c>
      <c r="B11" s="6">
        <f>Workings!B45</f>
        <v/>
      </c>
      <c r="C11" s="7" t="inlineStr">
        <is>
          <t>40 answered calls</t>
        </is>
      </c>
    </row>
    <row r="12"/>
    <row r="13">
      <c r="A13" s="8" t="inlineStr">
        <is>
          <t>When the calls come in, October 2026 to date</t>
        </is>
      </c>
    </row>
    <row r="14">
      <c r="A14" s="4" t="inlineStr"/>
      <c r="B14" s="5" t="inlineStr">
        <is>
          <t>Calls</t>
        </is>
      </c>
      <c r="C14" s="5" t="inlineStr">
        <is>
          <t>Answered %</t>
        </is>
      </c>
    </row>
    <row r="15">
      <c r="A15" t="inlineStr">
        <is>
          <t>Before 8:30am</t>
        </is>
      </c>
      <c r="B15" s="9">
        <f>Workings!B53</f>
        <v/>
      </c>
      <c r="C15" s="6">
        <f>Workings!B54</f>
        <v/>
      </c>
    </row>
    <row r="16">
      <c r="A16" t="inlineStr">
        <is>
          <t>8:30 to 10am</t>
        </is>
      </c>
      <c r="B16" s="9">
        <f>Workings!B62</f>
        <v/>
      </c>
      <c r="C16" s="6">
        <f>Workings!B63</f>
        <v/>
      </c>
    </row>
    <row r="17">
      <c r="A17" t="inlineStr">
        <is>
          <t>10am to noon</t>
        </is>
      </c>
      <c r="B17" s="9">
        <f>Workings!B71</f>
        <v/>
      </c>
      <c r="C17" s="6">
        <f>Workings!B72</f>
        <v/>
      </c>
    </row>
    <row r="18">
      <c r="A18" t="inlineStr">
        <is>
          <t>Noon to 2pm</t>
        </is>
      </c>
      <c r="B18" s="9">
        <f>Workings!B80</f>
        <v/>
      </c>
      <c r="C18" s="6">
        <f>Workings!B81</f>
        <v/>
      </c>
    </row>
    <row r="19">
      <c r="A19" t="inlineStr">
        <is>
          <t>2 to 5pm</t>
        </is>
      </c>
      <c r="B19" s="9">
        <f>Workings!B89</f>
        <v/>
      </c>
      <c r="C19" s="6">
        <f>Workings!B90</f>
        <v/>
      </c>
    </row>
    <row r="20">
      <c r="A20" t="inlineStr">
        <is>
          <t>5 to 8pm</t>
        </is>
      </c>
      <c r="B20" s="9">
        <f>Workings!B98</f>
        <v/>
      </c>
      <c r="C20" s="6">
        <f>Workings!B99</f>
        <v/>
      </c>
    </row>
    <row r="21">
      <c r="A21" t="inlineStr">
        <is>
          <t>After 8pm</t>
        </is>
      </c>
      <c r="B21" s="9">
        <f>Workings!B107</f>
        <v/>
      </c>
      <c r="C21" s="6">
        <f>Workings!B108</f>
        <v/>
      </c>
    </row>
    <row r="22"/>
    <row r="23"/>
    <row r="24"/>
    <row r="25"/>
    <row r="26"/>
    <row r="27"/>
    <row r="28"/>
    <row r="29"/>
    <row r="30">
      <c r="A30" s="10" t="inlineStr">
        <is>
          <t>Calls for help by month: every month is on the Data sheet.</t>
        </is>
      </c>
    </row>
    <row r="31"/>
    <row r="32">
      <c r="A32" s="11" t="inlineStr">
        <is>
          <t>What it shows</t>
        </is>
      </c>
    </row>
    <row r="33" ht="45" customHeight="1">
      <c r="A33" s="3" t="inlineStr">
        <is>
          <t>108 calls for help came in during October so far. While the line was staffed, 81.6% were answered (target 90.0%); 54.6% of all calls came outside staffed hours and went to voicemail. The busiest time was 2 to 5pm (20 calls).</t>
        </is>
      </c>
    </row>
    <row r="34"/>
    <row r="35">
      <c r="A35" s="11" t="inlineStr">
        <is>
          <t>What you'd do about it</t>
        </is>
      </c>
    </row>
    <row r="36" ht="30" customHeight="1">
      <c r="A36" s="3" t="inlineStr">
        <is>
          <t>13 calls came between 5 and 8pm, when no-one is on the line. 9 callers hung up waiting while the line was staffed.</t>
        </is>
      </c>
    </row>
    <row r="37"/>
    <row r="38"/>
  </sheetData>
  <mergeCells count="3">
    <mergeCell ref="A5:D5"/>
    <mergeCell ref="A36:D36"/>
    <mergeCell ref="A33:D33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1" manualBreakCount="1">
    <brk id="31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1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2026 to date · Data status: Sep 2026 locked · Oct 2026 incomplete (data retrieved 2pm, Tue 6 Oct 2026) · Generated 8 Oct 2026, 11:41pm</t>
        </is>
      </c>
    </row>
    <row r="4"/>
    <row r="5">
      <c r="A5" s="12" t="inlineStr">
        <is>
          <t>Calls for help, October and September</t>
        </is>
      </c>
    </row>
    <row r="6">
      <c r="A6" s="10" t="inlineStr">
        <is>
          <t>Answered ÷ calls while the line was staffed</t>
        </is>
      </c>
    </row>
    <row r="7">
      <c r="A7" s="4" t="inlineStr"/>
      <c r="B7" s="5" t="inlineStr">
        <is>
          <t>Oct 26</t>
        </is>
      </c>
      <c r="C7" s="5" t="inlineStr">
        <is>
          <t>Sep 26</t>
        </is>
      </c>
    </row>
    <row r="8">
      <c r="A8" t="inlineStr">
        <is>
          <t>Calls</t>
        </is>
      </c>
      <c r="B8" s="13" t="n">
        <v>108</v>
      </c>
      <c r="C8" s="13" t="n">
        <v>817</v>
      </c>
    </row>
    <row r="9">
      <c r="A9" t="inlineStr">
        <is>
          <t>Calls while staffed</t>
        </is>
      </c>
      <c r="B9" s="13" t="n">
        <v>49</v>
      </c>
      <c r="C9" s="13" t="n">
        <v>404</v>
      </c>
    </row>
    <row r="10">
      <c r="A10" t="inlineStr">
        <is>
          <t>Answered</t>
        </is>
      </c>
      <c r="B10" s="13" t="n">
        <v>40</v>
      </c>
      <c r="C10" s="13" t="n">
        <v>321</v>
      </c>
    </row>
    <row r="11">
      <c r="A11" t="inlineStr">
        <is>
          <t>Answered while staffed</t>
        </is>
      </c>
      <c r="B11" s="14">
        <f>B10/B9</f>
        <v/>
      </c>
      <c r="C11" s="14">
        <f>C10/C9</f>
        <v/>
      </c>
    </row>
    <row r="12">
      <c r="A12" s="15" t="inlineStr">
        <is>
          <t>Calls outside staffed hours</t>
        </is>
      </c>
      <c r="B12" s="16">
        <f>(B8-B9)/B8</f>
        <v/>
      </c>
      <c r="C12" s="16">
        <f>(C8-C9)/C8</f>
        <v/>
      </c>
    </row>
    <row r="13">
      <c r="A13" s="2" t="inlineStr">
        <is>
          <t>October is still in progress (data to 6 October), so it is a part month against full months.</t>
        </is>
      </c>
    </row>
    <row r="14"/>
    <row r="15"/>
    <row r="16">
      <c r="A16" s="12" t="inlineStr">
        <is>
          <t>Calls for help, October and September</t>
        </is>
      </c>
    </row>
    <row r="17">
      <c r="A17" s="10" t="inlineStr">
        <is>
          <t>Answered ÷ calls while the line was staffed</t>
        </is>
      </c>
    </row>
    <row r="18">
      <c r="A18" s="4" t="inlineStr"/>
      <c r="B18" s="5" t="inlineStr">
        <is>
          <t>Oct 26</t>
        </is>
      </c>
      <c r="C18" s="5" t="inlineStr">
        <is>
          <t>Sep 26</t>
        </is>
      </c>
    </row>
    <row r="19">
      <c r="A19" t="inlineStr">
        <is>
          <t>Calls</t>
        </is>
      </c>
      <c r="B19" s="13" t="n">
        <v>108</v>
      </c>
      <c r="C19" s="13" t="n">
        <v>817</v>
      </c>
    </row>
    <row r="20">
      <c r="A20" t="inlineStr">
        <is>
          <t>Calls while staffed</t>
        </is>
      </c>
      <c r="B20" s="13" t="n">
        <v>49</v>
      </c>
      <c r="C20" s="13" t="n">
        <v>404</v>
      </c>
    </row>
    <row r="21">
      <c r="A21" t="inlineStr">
        <is>
          <t>Answered</t>
        </is>
      </c>
      <c r="B21" s="13" t="n">
        <v>40</v>
      </c>
      <c r="C21" s="13" t="n">
        <v>321</v>
      </c>
    </row>
    <row r="22">
      <c r="A22" t="inlineStr">
        <is>
          <t>Answered while staffed</t>
        </is>
      </c>
      <c r="B22" s="14">
        <f>B21/B20</f>
        <v/>
      </c>
      <c r="C22" s="14">
        <f>C21/C20</f>
        <v/>
      </c>
    </row>
    <row r="23">
      <c r="A23" s="15" t="inlineStr">
        <is>
          <t>Calls outside staffed hours</t>
        </is>
      </c>
      <c r="B23" s="16">
        <f>(B19-B20)/B19</f>
        <v/>
      </c>
      <c r="C23" s="16">
        <f>(C19-C20)/C19</f>
        <v/>
      </c>
    </row>
    <row r="24">
      <c r="A24" s="2" t="inlineStr">
        <is>
          <t>October is still in progress (data to 6 October), so it is a part month against full months.</t>
        </is>
      </c>
    </row>
    <row r="25"/>
    <row r="26"/>
    <row r="27">
      <c r="A27" s="12" t="inlineStr">
        <is>
          <t>Calls for help, October and September</t>
        </is>
      </c>
    </row>
    <row r="28">
      <c r="A28" s="10" t="inlineStr">
        <is>
          <t>Answered ÷ calls while the line was staffed</t>
        </is>
      </c>
    </row>
    <row r="29">
      <c r="A29" s="4" t="inlineStr"/>
      <c r="B29" s="5" t="inlineStr">
        <is>
          <t>Oct 26</t>
        </is>
      </c>
      <c r="C29" s="5" t="inlineStr">
        <is>
          <t>Sep 26</t>
        </is>
      </c>
    </row>
    <row r="30">
      <c r="A30" t="inlineStr">
        <is>
          <t>Calls</t>
        </is>
      </c>
      <c r="B30" s="13" t="n">
        <v>108</v>
      </c>
      <c r="C30" s="13" t="n">
        <v>817</v>
      </c>
    </row>
    <row r="31">
      <c r="A31" t="inlineStr">
        <is>
          <t>Calls while staffed</t>
        </is>
      </c>
      <c r="B31" s="13" t="n">
        <v>49</v>
      </c>
      <c r="C31" s="13" t="n">
        <v>404</v>
      </c>
    </row>
    <row r="32">
      <c r="A32" t="inlineStr">
        <is>
          <t>Answered</t>
        </is>
      </c>
      <c r="B32" s="13" t="n">
        <v>40</v>
      </c>
      <c r="C32" s="13" t="n">
        <v>321</v>
      </c>
    </row>
    <row r="33">
      <c r="A33" t="inlineStr">
        <is>
          <t>Answered while staffed</t>
        </is>
      </c>
      <c r="B33" s="14">
        <f>B32/B31</f>
        <v/>
      </c>
      <c r="C33" s="14">
        <f>C32/C31</f>
        <v/>
      </c>
    </row>
    <row r="34">
      <c r="A34" s="15" t="inlineStr">
        <is>
          <t>Calls outside staffed hours</t>
        </is>
      </c>
      <c r="B34" s="16">
        <f>(B30-B31)/B30</f>
        <v/>
      </c>
      <c r="C34" s="16">
        <f>(C30-C31)/C30</f>
        <v/>
      </c>
    </row>
    <row r="35">
      <c r="A35" s="2" t="inlineStr">
        <is>
          <t>October is still in progress (data to 6 October), so it is a part month against full months.</t>
        </is>
      </c>
    </row>
    <row r="36"/>
    <row r="37"/>
    <row r="38">
      <c r="A38" s="12" t="inlineStr">
        <is>
          <t>Calls for help, October and September</t>
        </is>
      </c>
    </row>
    <row r="39">
      <c r="A39" s="10" t="inlineStr">
        <is>
          <t>Answered ÷ calls while the line was staffed</t>
        </is>
      </c>
    </row>
    <row r="40">
      <c r="A40" s="4" t="inlineStr"/>
      <c r="B40" s="5" t="inlineStr">
        <is>
          <t>Oct 26</t>
        </is>
      </c>
      <c r="C40" s="5" t="inlineStr">
        <is>
          <t>Sep 26</t>
        </is>
      </c>
    </row>
    <row r="41">
      <c r="A41" t="inlineStr">
        <is>
          <t>Calls</t>
        </is>
      </c>
      <c r="B41" s="13" t="n">
        <v>108</v>
      </c>
      <c r="C41" s="13" t="n">
        <v>817</v>
      </c>
    </row>
    <row r="42">
      <c r="A42" t="inlineStr">
        <is>
          <t>Calls while staffed</t>
        </is>
      </c>
      <c r="B42" s="13" t="n">
        <v>49</v>
      </c>
      <c r="C42" s="13" t="n">
        <v>404</v>
      </c>
    </row>
    <row r="43">
      <c r="A43" t="inlineStr">
        <is>
          <t>Answered</t>
        </is>
      </c>
      <c r="B43" s="13" t="n">
        <v>40</v>
      </c>
      <c r="C43" s="13" t="n">
        <v>321</v>
      </c>
    </row>
    <row r="44">
      <c r="A44" t="inlineStr">
        <is>
          <t>Answered while staffed</t>
        </is>
      </c>
      <c r="B44" s="14">
        <f>B43/B42</f>
        <v/>
      </c>
      <c r="C44" s="14">
        <f>C43/C42</f>
        <v/>
      </c>
    </row>
    <row r="45">
      <c r="A45" s="15" t="inlineStr">
        <is>
          <t>Calls outside staffed hours</t>
        </is>
      </c>
      <c r="B45" s="16">
        <f>(B41-B42)/B41</f>
        <v/>
      </c>
      <c r="C45" s="16">
        <f>(C41-C42)/C41</f>
        <v/>
      </c>
    </row>
    <row r="46">
      <c r="A46" s="2" t="inlineStr">
        <is>
          <t>October is still in progress (data to 6 October), so it is a part month against full months.</t>
        </is>
      </c>
    </row>
    <row r="47"/>
    <row r="48"/>
    <row r="49">
      <c r="A49" s="12" t="inlineStr">
        <is>
          <t>Calls before 8:30am, October 2026 to date</t>
        </is>
      </c>
    </row>
    <row r="50">
      <c r="A50" s="10" t="inlineStr">
        <is>
          <t>Answered ÷ calls</t>
        </is>
      </c>
    </row>
    <row r="51">
      <c r="A51" s="4" t="inlineStr"/>
      <c r="B51" s="5" t="inlineStr">
        <is>
          <t>Oct 2026</t>
        </is>
      </c>
    </row>
    <row r="52">
      <c r="A52" t="inlineStr">
        <is>
          <t>Calls</t>
        </is>
      </c>
      <c r="B52" s="13" t="n">
        <v>16</v>
      </c>
    </row>
    <row r="53">
      <c r="A53" t="inlineStr">
        <is>
          <t>Answered</t>
        </is>
      </c>
      <c r="B53" s="13" t="n">
        <v>0</v>
      </c>
    </row>
    <row r="54">
      <c r="A54" s="15" t="inlineStr">
        <is>
          <t>Answered</t>
        </is>
      </c>
      <c r="B54" s="16">
        <f>B53/B52</f>
        <v/>
      </c>
    </row>
    <row r="55">
      <c r="A55" s="2" t="inlineStr">
        <is>
          <t>Outside 8:30am to 5pm on working days the line goes to voicemail.</t>
        </is>
      </c>
    </row>
    <row r="56"/>
    <row r="57"/>
    <row r="58">
      <c r="A58" s="12" t="inlineStr">
        <is>
          <t>Calls 8:30 to 10am, October 2026 to date</t>
        </is>
      </c>
    </row>
    <row r="59">
      <c r="A59" s="10" t="inlineStr">
        <is>
          <t>Answered ÷ calls</t>
        </is>
      </c>
    </row>
    <row r="60">
      <c r="A60" s="4" t="inlineStr"/>
      <c r="B60" s="5" t="inlineStr">
        <is>
          <t>Oct 2026</t>
        </is>
      </c>
    </row>
    <row r="61">
      <c r="A61" t="inlineStr">
        <is>
          <t>Calls</t>
        </is>
      </c>
      <c r="B61" s="13" t="n">
        <v>15</v>
      </c>
    </row>
    <row r="62">
      <c r="A62" t="inlineStr">
        <is>
          <t>Answered</t>
        </is>
      </c>
      <c r="B62" s="13" t="n">
        <v>9</v>
      </c>
    </row>
    <row r="63">
      <c r="A63" s="15" t="inlineStr">
        <is>
          <t>Answered</t>
        </is>
      </c>
      <c r="B63" s="16">
        <f>B62/B61</f>
        <v/>
      </c>
    </row>
    <row r="64">
      <c r="A64" s="2" t="inlineStr">
        <is>
          <t>Outside 8:30am to 5pm on working days the line goes to voicemail.</t>
        </is>
      </c>
    </row>
    <row r="65"/>
    <row r="66"/>
    <row r="67">
      <c r="A67" s="12" t="inlineStr">
        <is>
          <t>Calls 10am to noon, October 2026 to date</t>
        </is>
      </c>
    </row>
    <row r="68">
      <c r="A68" s="10" t="inlineStr">
        <is>
          <t>Answered ÷ calls</t>
        </is>
      </c>
    </row>
    <row r="69">
      <c r="A69" s="4" t="inlineStr"/>
      <c r="B69" s="5" t="inlineStr">
        <is>
          <t>Oct 2026</t>
        </is>
      </c>
    </row>
    <row r="70">
      <c r="A70" t="inlineStr">
        <is>
          <t>Calls</t>
        </is>
      </c>
      <c r="B70" s="13" t="n">
        <v>18</v>
      </c>
    </row>
    <row r="71">
      <c r="A71" t="inlineStr">
        <is>
          <t>Answered</t>
        </is>
      </c>
      <c r="B71" s="13" t="n">
        <v>10</v>
      </c>
    </row>
    <row r="72">
      <c r="A72" s="15" t="inlineStr">
        <is>
          <t>Answered</t>
        </is>
      </c>
      <c r="B72" s="16">
        <f>B71/B70</f>
        <v/>
      </c>
    </row>
    <row r="73">
      <c r="A73" s="2" t="inlineStr">
        <is>
          <t>Outside 8:30am to 5pm on working days the line goes to voicemail.</t>
        </is>
      </c>
    </row>
    <row r="74"/>
    <row r="75"/>
    <row r="76">
      <c r="A76" s="12" t="inlineStr">
        <is>
          <t>Calls noon to 2pm, October 2026 to date</t>
        </is>
      </c>
    </row>
    <row r="77">
      <c r="A77" s="10" t="inlineStr">
        <is>
          <t>Answered ÷ calls</t>
        </is>
      </c>
    </row>
    <row r="78">
      <c r="A78" s="4" t="inlineStr"/>
      <c r="B78" s="5" t="inlineStr">
        <is>
          <t>Oct 2026</t>
        </is>
      </c>
    </row>
    <row r="79">
      <c r="A79" t="inlineStr">
        <is>
          <t>Calls</t>
        </is>
      </c>
      <c r="B79" s="13" t="n">
        <v>19</v>
      </c>
    </row>
    <row r="80">
      <c r="A80" t="inlineStr">
        <is>
          <t>Answered</t>
        </is>
      </c>
      <c r="B80" s="13" t="n">
        <v>11</v>
      </c>
    </row>
    <row r="81">
      <c r="A81" s="15" t="inlineStr">
        <is>
          <t>Answered</t>
        </is>
      </c>
      <c r="B81" s="16">
        <f>B80/B79</f>
        <v/>
      </c>
    </row>
    <row r="82">
      <c r="A82" s="2" t="inlineStr">
        <is>
          <t>Outside 8:30am to 5pm on working days the line goes to voicemail.</t>
        </is>
      </c>
    </row>
    <row r="83"/>
    <row r="84"/>
    <row r="85">
      <c r="A85" s="12" t="inlineStr">
        <is>
          <t>Calls 2 to 5pm, October 2026 to date</t>
        </is>
      </c>
    </row>
    <row r="86">
      <c r="A86" s="10" t="inlineStr">
        <is>
          <t>Answered ÷ calls</t>
        </is>
      </c>
    </row>
    <row r="87">
      <c r="A87" s="4" t="inlineStr"/>
      <c r="B87" s="5" t="inlineStr">
        <is>
          <t>Oct 2026</t>
        </is>
      </c>
    </row>
    <row r="88">
      <c r="A88" t="inlineStr">
        <is>
          <t>Calls</t>
        </is>
      </c>
      <c r="B88" s="13" t="n">
        <v>20</v>
      </c>
    </row>
    <row r="89">
      <c r="A89" t="inlineStr">
        <is>
          <t>Answered</t>
        </is>
      </c>
      <c r="B89" s="13" t="n">
        <v>10</v>
      </c>
    </row>
    <row r="90">
      <c r="A90" s="15" t="inlineStr">
        <is>
          <t>Answered</t>
        </is>
      </c>
      <c r="B90" s="16">
        <f>B89/B88</f>
        <v/>
      </c>
    </row>
    <row r="91">
      <c r="A91" s="2" t="inlineStr">
        <is>
          <t>Outside 8:30am to 5pm on working days the line goes to voicemail.</t>
        </is>
      </c>
    </row>
    <row r="92"/>
    <row r="93"/>
    <row r="94">
      <c r="A94" s="12" t="inlineStr">
        <is>
          <t>Calls 5 to 8pm, October 2026 to date</t>
        </is>
      </c>
    </row>
    <row r="95">
      <c r="A95" s="10" t="inlineStr">
        <is>
          <t>Answered ÷ calls</t>
        </is>
      </c>
    </row>
    <row r="96">
      <c r="A96" s="4" t="inlineStr"/>
      <c r="B96" s="5" t="inlineStr">
        <is>
          <t>Oct 2026</t>
        </is>
      </c>
    </row>
    <row r="97">
      <c r="A97" t="inlineStr">
        <is>
          <t>Calls</t>
        </is>
      </c>
      <c r="B97" s="13" t="n">
        <v>13</v>
      </c>
    </row>
    <row r="98">
      <c r="A98" t="inlineStr">
        <is>
          <t>Answered</t>
        </is>
      </c>
      <c r="B98" s="13" t="n">
        <v>0</v>
      </c>
    </row>
    <row r="99">
      <c r="A99" s="15" t="inlineStr">
        <is>
          <t>Answered</t>
        </is>
      </c>
      <c r="B99" s="16">
        <f>B98/B97</f>
        <v/>
      </c>
    </row>
    <row r="100">
      <c r="A100" s="2" t="inlineStr">
        <is>
          <t>Outside 8:30am to 5pm on working days the line goes to voicemail.</t>
        </is>
      </c>
    </row>
    <row r="101"/>
    <row r="102"/>
    <row r="103">
      <c r="A103" s="12" t="inlineStr">
        <is>
          <t>Calls after 8pm, October 2026 to date</t>
        </is>
      </c>
    </row>
    <row r="104">
      <c r="A104" s="10" t="inlineStr">
        <is>
          <t>Answered ÷ calls</t>
        </is>
      </c>
    </row>
    <row r="105">
      <c r="A105" s="4" t="inlineStr"/>
      <c r="B105" s="5" t="inlineStr">
        <is>
          <t>Oct 2026</t>
        </is>
      </c>
    </row>
    <row r="106">
      <c r="A106" t="inlineStr">
        <is>
          <t>Calls</t>
        </is>
      </c>
      <c r="B106" s="13" t="n">
        <v>7</v>
      </c>
    </row>
    <row r="107">
      <c r="A107" t="inlineStr">
        <is>
          <t>Answered</t>
        </is>
      </c>
      <c r="B107" s="13" t="n">
        <v>0</v>
      </c>
    </row>
    <row r="108">
      <c r="A108" s="15" t="inlineStr">
        <is>
          <t>Answered</t>
        </is>
      </c>
      <c r="B108" s="16">
        <f>B107/B106</f>
        <v/>
      </c>
    </row>
    <row r="109">
      <c r="A109" s="2" t="inlineStr">
        <is>
          <t>Outside 8:30am to 5pm on working days the line goes to voicemail.</t>
        </is>
      </c>
    </row>
    <row r="110"/>
    <row r="111"/>
    <row r="112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3" manualBreakCount="3">
    <brk id="26" min="0" max="16383" man="1"/>
    <brk id="57" min="0" max="16383" man="1"/>
    <brk id="84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2026 to date · Data status: Sep 2026 locked · Oct 2026 incomplete (data retrieved 2pm, Tue 6 Oct 2026) · Generated 8 Oct 2026, 11:41pm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Calls</t>
        </is>
      </c>
      <c r="D5" s="5" t="inlineStr">
        <is>
          <t>While staffed</t>
        </is>
      </c>
      <c r="E5" s="5" t="inlineStr">
        <is>
          <t>Answered</t>
        </is>
      </c>
      <c r="F5" s="5" t="inlineStr">
        <is>
          <t>Answered while staffed</t>
        </is>
      </c>
    </row>
    <row r="6">
      <c r="A6" s="17" t="inlineStr">
        <is>
          <t>Nov 24</t>
        </is>
      </c>
      <c r="B6" s="17" t="inlineStr">
        <is>
          <t>Locked</t>
        </is>
      </c>
      <c r="C6" s="13" t="n">
        <v>633</v>
      </c>
      <c r="D6" s="13" t="n">
        <v>307</v>
      </c>
      <c r="E6" s="13" t="n">
        <v>278</v>
      </c>
      <c r="F6" s="14">
        <f>IF(D6=0,"",E6/D6)</f>
        <v/>
      </c>
    </row>
    <row r="7">
      <c r="A7" s="17" t="inlineStr">
        <is>
          <t>Dec 24</t>
        </is>
      </c>
      <c r="B7" s="17" t="inlineStr">
        <is>
          <t>Locked</t>
        </is>
      </c>
      <c r="C7" s="13" t="n">
        <v>684</v>
      </c>
      <c r="D7" s="13" t="n">
        <v>330</v>
      </c>
      <c r="E7" s="13" t="n">
        <v>284</v>
      </c>
      <c r="F7" s="14">
        <f>IF(D7=0,"",E7/D7)</f>
        <v/>
      </c>
    </row>
    <row r="8">
      <c r="A8" s="17" t="inlineStr">
        <is>
          <t>Jan 25</t>
        </is>
      </c>
      <c r="B8" s="17" t="inlineStr">
        <is>
          <t>Locked</t>
        </is>
      </c>
      <c r="C8" s="13" t="n">
        <v>690</v>
      </c>
      <c r="D8" s="13" t="n">
        <v>324</v>
      </c>
      <c r="E8" s="13" t="n">
        <v>280</v>
      </c>
      <c r="F8" s="14">
        <f>IF(D8=0,"",E8/D8)</f>
        <v/>
      </c>
    </row>
    <row r="9">
      <c r="A9" s="17" t="inlineStr">
        <is>
          <t>Feb 25</t>
        </is>
      </c>
      <c r="B9" s="17" t="inlineStr">
        <is>
          <t>Locked</t>
        </is>
      </c>
      <c r="C9" s="13" t="n">
        <v>664</v>
      </c>
      <c r="D9" s="13" t="n">
        <v>320</v>
      </c>
      <c r="E9" s="13" t="n">
        <v>278</v>
      </c>
      <c r="F9" s="14">
        <f>IF(D9=0,"",E9/D9)</f>
        <v/>
      </c>
    </row>
    <row r="10">
      <c r="A10" s="17" t="inlineStr">
        <is>
          <t>Mar 25</t>
        </is>
      </c>
      <c r="B10" s="17" t="inlineStr">
        <is>
          <t>Locked</t>
        </is>
      </c>
      <c r="C10" s="13" t="n">
        <v>685</v>
      </c>
      <c r="D10" s="13" t="n">
        <v>311</v>
      </c>
      <c r="E10" s="13" t="n">
        <v>284</v>
      </c>
      <c r="F10" s="14">
        <f>IF(D10=0,"",E10/D10)</f>
        <v/>
      </c>
    </row>
    <row r="11">
      <c r="A11" s="17" t="inlineStr">
        <is>
          <t>Apr 25</t>
        </is>
      </c>
      <c r="B11" s="17" t="inlineStr">
        <is>
          <t>Locked</t>
        </is>
      </c>
      <c r="C11" s="13" t="n">
        <v>629</v>
      </c>
      <c r="D11" s="13" t="n">
        <v>286</v>
      </c>
      <c r="E11" s="13" t="n">
        <v>246</v>
      </c>
      <c r="F11" s="14">
        <f>IF(D11=0,"",E11/D11)</f>
        <v/>
      </c>
    </row>
    <row r="12">
      <c r="A12" s="17" t="inlineStr">
        <is>
          <t>May 25</t>
        </is>
      </c>
      <c r="B12" s="17" t="inlineStr">
        <is>
          <t>Locked</t>
        </is>
      </c>
      <c r="C12" s="13" t="n">
        <v>724</v>
      </c>
      <c r="D12" s="13" t="n">
        <v>348</v>
      </c>
      <c r="E12" s="13" t="n">
        <v>302</v>
      </c>
      <c r="F12" s="14">
        <f>IF(D12=0,"",E12/D12)</f>
        <v/>
      </c>
    </row>
    <row r="13">
      <c r="A13" s="17" t="inlineStr">
        <is>
          <t>Jun 25</t>
        </is>
      </c>
      <c r="B13" s="17" t="inlineStr">
        <is>
          <t>Locked</t>
        </is>
      </c>
      <c r="C13" s="13" t="n">
        <v>820</v>
      </c>
      <c r="D13" s="13" t="n">
        <v>389</v>
      </c>
      <c r="E13" s="13" t="n">
        <v>330</v>
      </c>
      <c r="F13" s="14">
        <f>IF(D13=0,"",E13/D13)</f>
        <v/>
      </c>
    </row>
    <row r="14">
      <c r="A14" s="17" t="inlineStr">
        <is>
          <t>Jul 25</t>
        </is>
      </c>
      <c r="B14" s="17" t="inlineStr">
        <is>
          <t>Locked</t>
        </is>
      </c>
      <c r="C14" s="13" t="n">
        <v>909</v>
      </c>
      <c r="D14" s="13" t="n">
        <v>477</v>
      </c>
      <c r="E14" s="13" t="n">
        <v>402</v>
      </c>
      <c r="F14" s="14">
        <f>IF(D14=0,"",E14/D14)</f>
        <v/>
      </c>
    </row>
    <row r="15">
      <c r="A15" s="17" t="inlineStr">
        <is>
          <t>Aug 25</t>
        </is>
      </c>
      <c r="B15" s="17" t="inlineStr">
        <is>
          <t>Locked</t>
        </is>
      </c>
      <c r="C15" s="13" t="n">
        <v>826</v>
      </c>
      <c r="D15" s="13" t="n">
        <v>388</v>
      </c>
      <c r="E15" s="13" t="n">
        <v>327</v>
      </c>
      <c r="F15" s="14">
        <f>IF(D15=0,"",E15/D15)</f>
        <v/>
      </c>
    </row>
    <row r="16">
      <c r="A16" s="17" t="inlineStr">
        <is>
          <t>Sep 25</t>
        </is>
      </c>
      <c r="B16" s="17" t="inlineStr">
        <is>
          <t>Locked</t>
        </is>
      </c>
      <c r="C16" s="13" t="n">
        <v>756</v>
      </c>
      <c r="D16" s="13" t="n">
        <v>359</v>
      </c>
      <c r="E16" s="13" t="n">
        <v>307</v>
      </c>
      <c r="F16" s="14">
        <f>IF(D16=0,"",E16/D16)</f>
        <v/>
      </c>
    </row>
    <row r="17">
      <c r="A17" s="17" t="inlineStr">
        <is>
          <t>Oct 25</t>
        </is>
      </c>
      <c r="B17" s="17" t="inlineStr">
        <is>
          <t>Locked</t>
        </is>
      </c>
      <c r="C17" s="13" t="n">
        <v>770</v>
      </c>
      <c r="D17" s="13" t="n">
        <v>363</v>
      </c>
      <c r="E17" s="13" t="n">
        <v>304</v>
      </c>
      <c r="F17" s="14">
        <f>IF(D17=0,"",E17/D17)</f>
        <v/>
      </c>
    </row>
    <row r="18">
      <c r="A18" s="17" t="inlineStr">
        <is>
          <t>Nov 25</t>
        </is>
      </c>
      <c r="B18" s="17" t="inlineStr">
        <is>
          <t>Locked</t>
        </is>
      </c>
      <c r="C18" s="13" t="n">
        <v>746</v>
      </c>
      <c r="D18" s="13" t="n">
        <v>357</v>
      </c>
      <c r="E18" s="13" t="n">
        <v>297</v>
      </c>
      <c r="F18" s="14">
        <f>IF(D18=0,"",E18/D18)</f>
        <v/>
      </c>
    </row>
    <row r="19">
      <c r="A19" s="17" t="inlineStr">
        <is>
          <t>Dec 25</t>
        </is>
      </c>
      <c r="B19" s="17" t="inlineStr">
        <is>
          <t>Locked</t>
        </is>
      </c>
      <c r="C19" s="13" t="n">
        <v>776</v>
      </c>
      <c r="D19" s="13" t="n">
        <v>357</v>
      </c>
      <c r="E19" s="13" t="n">
        <v>282</v>
      </c>
      <c r="F19" s="14">
        <f>IF(D19=0,"",E19/D19)</f>
        <v/>
      </c>
    </row>
    <row r="20">
      <c r="A20" s="17" t="inlineStr">
        <is>
          <t>Jan 26</t>
        </is>
      </c>
      <c r="B20" s="17" t="inlineStr">
        <is>
          <t>Locked</t>
        </is>
      </c>
      <c r="C20" s="13" t="n">
        <v>726</v>
      </c>
      <c r="D20" s="13" t="n">
        <v>346</v>
      </c>
      <c r="E20" s="13" t="n">
        <v>297</v>
      </c>
      <c r="F20" s="14">
        <f>IF(D20=0,"",E20/D20)</f>
        <v/>
      </c>
    </row>
    <row r="21">
      <c r="A21" s="17" t="inlineStr">
        <is>
          <t>Feb 26</t>
        </is>
      </c>
      <c r="B21" s="17" t="inlineStr">
        <is>
          <t>Locked</t>
        </is>
      </c>
      <c r="C21" s="13" t="n">
        <v>678</v>
      </c>
      <c r="D21" s="13" t="n">
        <v>341</v>
      </c>
      <c r="E21" s="13" t="n">
        <v>275</v>
      </c>
      <c r="F21" s="14">
        <f>IF(D21=0,"",E21/D21)</f>
        <v/>
      </c>
    </row>
    <row r="22">
      <c r="A22" s="17" t="inlineStr">
        <is>
          <t>Mar 26</t>
        </is>
      </c>
      <c r="B22" s="17" t="inlineStr">
        <is>
          <t>Locked</t>
        </is>
      </c>
      <c r="C22" s="13" t="n">
        <v>865</v>
      </c>
      <c r="D22" s="13" t="n">
        <v>421</v>
      </c>
      <c r="E22" s="13" t="n">
        <v>338</v>
      </c>
      <c r="F22" s="14">
        <f>IF(D22=0,"",E22/D22)</f>
        <v/>
      </c>
    </row>
    <row r="23">
      <c r="A23" s="17" t="inlineStr">
        <is>
          <t>Apr 26</t>
        </is>
      </c>
      <c r="B23" s="17" t="inlineStr">
        <is>
          <t>Locked</t>
        </is>
      </c>
      <c r="C23" s="13" t="n">
        <v>731</v>
      </c>
      <c r="D23" s="13" t="n">
        <v>356</v>
      </c>
      <c r="E23" s="13" t="n">
        <v>294</v>
      </c>
      <c r="F23" s="14">
        <f>IF(D23=0,"",E23/D23)</f>
        <v/>
      </c>
    </row>
    <row r="24">
      <c r="A24" s="17" t="inlineStr">
        <is>
          <t>May 26</t>
        </is>
      </c>
      <c r="B24" s="17" t="inlineStr">
        <is>
          <t>Locked</t>
        </is>
      </c>
      <c r="C24" s="13" t="n">
        <v>757</v>
      </c>
      <c r="D24" s="13" t="n">
        <v>338</v>
      </c>
      <c r="E24" s="13" t="n">
        <v>280</v>
      </c>
      <c r="F24" s="14">
        <f>IF(D24=0,"",E24/D24)</f>
        <v/>
      </c>
    </row>
    <row r="25">
      <c r="A25" s="17" t="inlineStr">
        <is>
          <t>Jun 26</t>
        </is>
      </c>
      <c r="B25" s="17" t="inlineStr">
        <is>
          <t>Locked</t>
        </is>
      </c>
      <c r="C25" s="13" t="n">
        <v>951</v>
      </c>
      <c r="D25" s="13" t="n">
        <v>488</v>
      </c>
      <c r="E25" s="13" t="n">
        <v>380</v>
      </c>
      <c r="F25" s="14">
        <f>IF(D25=0,"",E25/D25)</f>
        <v/>
      </c>
    </row>
    <row r="26">
      <c r="A26" s="17" t="inlineStr">
        <is>
          <t>Jul 26</t>
        </is>
      </c>
      <c r="B26" s="17" t="inlineStr">
        <is>
          <t>Locked</t>
        </is>
      </c>
      <c r="C26" s="13" t="n">
        <v>953</v>
      </c>
      <c r="D26" s="13" t="n">
        <v>486</v>
      </c>
      <c r="E26" s="13" t="n">
        <v>384</v>
      </c>
      <c r="F26" s="14">
        <f>IF(D26=0,"",E26/D26)</f>
        <v/>
      </c>
    </row>
    <row r="27">
      <c r="A27" s="17" t="inlineStr">
        <is>
          <t>Aug 26</t>
        </is>
      </c>
      <c r="B27" s="17" t="inlineStr">
        <is>
          <t>Locked</t>
        </is>
      </c>
      <c r="C27" s="13" t="n">
        <v>942</v>
      </c>
      <c r="D27" s="13" t="n">
        <v>421</v>
      </c>
      <c r="E27" s="13" t="n">
        <v>327</v>
      </c>
      <c r="F27" s="14">
        <f>IF(D27=0,"",E27/D27)</f>
        <v/>
      </c>
    </row>
    <row r="28">
      <c r="A28" s="17" t="inlineStr">
        <is>
          <t>Sep 26</t>
        </is>
      </c>
      <c r="B28" s="17" t="inlineStr">
        <is>
          <t>Locked</t>
        </is>
      </c>
      <c r="C28" s="13" t="n">
        <v>817</v>
      </c>
      <c r="D28" s="13" t="n">
        <v>404</v>
      </c>
      <c r="E28" s="13" t="n">
        <v>321</v>
      </c>
      <c r="F28" s="14">
        <f>IF(D28=0,"",E28/D28)</f>
        <v/>
      </c>
    </row>
    <row r="29">
      <c r="A29" s="17" t="inlineStr">
        <is>
          <t>Oct 26</t>
        </is>
      </c>
      <c r="B29" s="17" t="inlineStr">
        <is>
          <t>Incomplete</t>
        </is>
      </c>
      <c r="C29" s="13" t="n">
        <v>108</v>
      </c>
      <c r="D29" s="13" t="n">
        <v>49</v>
      </c>
      <c r="E29" s="13" t="n">
        <v>40</v>
      </c>
      <c r="F29" s="14">
        <f>IF(D29=0,"",E29/D29)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8 Oct 2026, 11:41pm&amp;R&amp;"Roboto,Regular"&amp;8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2026-10-08T13:42:19Z</dcterms:created>
  <dcterms:modified xmlns:dcterms="http://purl.org/dc/terms/" xmlns:xsi="http://www.w3.org/2001/XMLSchema-instance" xsi:type="dcterms:W3CDTF">2026-10-08T13:42:19Z</dcterms:modified>
</cp:coreProperties>
</file>