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Calls_for_help_October_so_far">'Report'!$B$9</definedName>
    <definedName name="Answered_while_staffed_October_so_far">'Report'!$B$10</definedName>
    <definedName name="Calls_outside_staffed_hours_October_so_far">'Report'!$B$11</definedName>
    <definedName name="Median_wait_when_answered_October_so_far">'Report'!$B$12</definedName>
    <definedName name="_xlnm.Print_Area" localSheetId="0">'Report'!$A$1:$D$37</definedName>
    <definedName name="_xlnm.Print_Area" localSheetId="1">'Workings'!$A$1:$C$106</definedName>
    <definedName name="_xlnm.Print_Titles" localSheetId="2">'Data'!$5:$5</definedName>
    <definedName name="_xlnm.Print_Area" localSheetId="2">'Data'!$A$1:$F$29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FFFFFF"/>
    </font>
    <font>
      <name val="Roboto"/>
      <b val="1"/>
      <color rgb="002F7A5D"/>
      <sz val="12"/>
    </font>
    <font>
      <name val="Roboto"/>
      <i val="1"/>
      <color rgb="005F6F63"/>
    </font>
    <font>
      <name val="Roboto"/>
      <b val="1"/>
    </font>
    <font>
      <name val="Roboto"/>
      <color rgb="005F6F63"/>
    </font>
    <font>
      <name val="Roboto"/>
      <b val="1"/>
      <color rgb="002F7A5D"/>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2" borderId="0" applyAlignment="1" pivotButton="0" quotePrefix="0" xfId="0">
      <alignment horizontal="left" vertical="center" wrapText="1"/>
    </xf>
    <xf numFmtId="0" fontId="5" fillId="2" borderId="0" applyAlignment="1" pivotButton="0" quotePrefix="0" xfId="0">
      <alignment horizontal="right" vertical="center" wrapText="1"/>
    </xf>
    <xf numFmtId="164" fontId="0" fillId="0" borderId="0" pivotButton="0" quotePrefix="0" xfId="0"/>
    <xf numFmtId="0" fontId="9" fillId="0" borderId="0" applyAlignment="1" pivotButton="0" quotePrefix="0" xfId="0">
      <alignment indent="1"/>
    </xf>
    <xf numFmtId="165" fontId="0" fillId="0" borderId="0" pivotButton="0" quotePrefix="0" xfId="0"/>
    <xf numFmtId="0" fontId="4" fillId="0" borderId="0" pivotButton="0" quotePrefix="0" xfId="0"/>
    <xf numFmtId="0" fontId="7" fillId="0" borderId="0" pivotButton="0" quotePrefix="0" xfId="0"/>
    <xf numFmtId="0" fontId="1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4"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When the calls come in, October 2026 to date</a:t>
            </a:r>
          </a:p>
        </rich>
      </tx>
      <overlay val="0"/>
    </title>
    <plotArea>
      <barChart>
        <barDir val="bar"/>
        <grouping val="clustered"/>
        <varyColors val="0"/>
        <ser>
          <idx val="0"/>
          <order val="0"/>
          <tx>
            <v>Calls</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'Report'!$A$16:$A$22</f>
            </numRef>
          </cat>
          <val>
            <numRef>
              <f>'Report'!$B$16:$B$22</f>
            </numRef>
          </val>
        </ser>
        <gapWidth val="60"/>
        <axId val="10"/>
        <axId val="100"/>
      </barChart>
      <catAx>
        <axId val="10"/>
        <scaling>
          <orientation val="maxMin"/>
        </scaling>
        <axPos val="l"/>
        <majorTickMark val="none"/>
        <minorTickMark val="none"/>
        <crossAx val="100"/>
        <lblOffset val="100"/>
      </catAx>
      <valAx>
        <axId val="100"/>
        <scaling>
          <orientation val="minMax"/>
        </scaling>
        <delete val="1"/>
        <axPos val="l"/>
        <numFmt formatCode="#,##0;(#,##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14</row>
      <rowOff>0</rowOff>
    </from>
    <ext cx="5400000" cy="261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calls_Data" displayName="calls_Data" ref="A5:F29" headerRowCount="1">
  <autoFilter ref="A5:F29"/>
  <tableColumns count="6">
    <tableColumn id="1" name="Month"/>
    <tableColumn id="2" name="Status"/>
    <tableColumn id="3" name="Calls"/>
    <tableColumn id="4" name="While staffed"/>
    <tableColumn id="5" name="Answered"/>
    <tableColumn id="6" name="Answered while staff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D39"/>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When do calls for help come in, and are we there to answer?</t>
        </is>
      </c>
    </row>
    <row r="2">
      <c r="A2" s="2" t="inlineStr">
        <is>
          <t>Sample Community Services Ltd · SAMPLE DATA (invented) · The Fourth Sheet · Made with Python (openpyxl)</t>
        </is>
      </c>
    </row>
    <row r="3">
      <c r="A3" s="2" t="inlineStr">
        <is>
          <t>Period: October 2026 to date · Data status: Sep 2026 locked · Oct 2026 incomplete (data retrieved 2pm, Tue 6 Oct 2026) · Generated 10 Oct 2026, 9:55pm</t>
        </is>
      </c>
    </row>
    <row r="4"/>
    <row r="5" ht="32" customHeight="1">
      <c r="A5" s="3" t="inlineStr">
        <is>
          <t>In short: 108 calls in October so far: 81.6% answered while staffed (target 90.0%); 54.6% came outside staffed hours.</t>
        </is>
      </c>
    </row>
    <row r="6" ht="32" customHeight="1">
      <c r="A6" s="4" t="inlineStr">
        <is>
          <t>Every call to the help line: when it came in, whether someone answered, and how long the caller waited. The line is staffed 8:30am to 5pm on working days.</t>
        </is>
      </c>
    </row>
    <row r="7"/>
    <row r="8">
      <c r="A8" s="5" t="inlineStr">
        <is>
          <t>Headline number</t>
        </is>
      </c>
      <c r="B8" s="6" t="inlineStr">
        <is>
          <t>Value</t>
        </is>
      </c>
      <c r="C8" s="6" t="inlineStr">
        <is>
          <t>Compared with</t>
        </is>
      </c>
    </row>
    <row r="9">
      <c r="A9" t="inlineStr">
        <is>
          <t>Calls for help, October so far</t>
        </is>
      </c>
      <c r="B9" s="7">
        <f>Workings!B8</f>
        <v/>
      </c>
      <c r="C9" s="8" t="inlineStr">
        <is>
          <t>September 817</t>
        </is>
      </c>
    </row>
    <row r="10">
      <c r="A10" t="inlineStr">
        <is>
          <t>Answered while staffed, October so far</t>
        </is>
      </c>
      <c r="B10" s="9">
        <f>Workings!B22</f>
        <v/>
      </c>
      <c r="C10" s="8" t="inlineStr">
        <is>
          <t>target 90.0%</t>
        </is>
      </c>
    </row>
    <row r="11">
      <c r="A11" t="inlineStr">
        <is>
          <t>Calls outside staffed hours, October so far</t>
        </is>
      </c>
      <c r="B11" s="9">
        <f>Workings!B34</f>
        <v/>
      </c>
      <c r="C11" s="8" t="inlineStr">
        <is>
          <t>59 calls to voicemail</t>
        </is>
      </c>
    </row>
    <row r="12">
      <c r="A12" t="inlineStr">
        <is>
          <t>Median wait when answered, October so far</t>
        </is>
      </c>
      <c r="B12" s="7">
        <f>Workings!B42</f>
        <v/>
      </c>
      <c r="C12" s="8" t="inlineStr">
        <is>
          <t>40 answered calls</t>
        </is>
      </c>
    </row>
    <row r="13"/>
    <row r="14">
      <c r="A14" s="10" t="inlineStr">
        <is>
          <t>When the calls come in, October 2026 to date</t>
        </is>
      </c>
    </row>
    <row r="15">
      <c r="A15" s="5" t="inlineStr"/>
      <c r="B15" s="6" t="inlineStr">
        <is>
          <t>Calls</t>
        </is>
      </c>
      <c r="C15" s="6" t="inlineStr">
        <is>
          <t>Answered %</t>
        </is>
      </c>
    </row>
    <row r="16">
      <c r="A16" t="inlineStr">
        <is>
          <t>Before 8:30am</t>
        </is>
      </c>
      <c r="B16" s="7">
        <f>Workings!B49</f>
        <v/>
      </c>
      <c r="C16" s="9">
        <f>Workings!B51</f>
        <v/>
      </c>
    </row>
    <row r="17">
      <c r="A17" t="inlineStr">
        <is>
          <t>8:30 to 10am</t>
        </is>
      </c>
      <c r="B17" s="7">
        <f>Workings!B58</f>
        <v/>
      </c>
      <c r="C17" s="9">
        <f>Workings!B60</f>
        <v/>
      </c>
    </row>
    <row r="18">
      <c r="A18" t="inlineStr">
        <is>
          <t>10am to noon</t>
        </is>
      </c>
      <c r="B18" s="7">
        <f>Workings!B67</f>
        <v/>
      </c>
      <c r="C18" s="9">
        <f>Workings!B69</f>
        <v/>
      </c>
    </row>
    <row r="19">
      <c r="A19" t="inlineStr">
        <is>
          <t>Noon to 2pm</t>
        </is>
      </c>
      <c r="B19" s="7">
        <f>Workings!B76</f>
        <v/>
      </c>
      <c r="C19" s="9">
        <f>Workings!B78</f>
        <v/>
      </c>
    </row>
    <row r="20">
      <c r="A20" t="inlineStr">
        <is>
          <t>2 to 5pm</t>
        </is>
      </c>
      <c r="B20" s="7">
        <f>Workings!B85</f>
        <v/>
      </c>
      <c r="C20" s="9">
        <f>Workings!B87</f>
        <v/>
      </c>
    </row>
    <row r="21">
      <c r="A21" t="inlineStr">
        <is>
          <t>5 to 8pm</t>
        </is>
      </c>
      <c r="B21" s="7">
        <f>Workings!B94</f>
        <v/>
      </c>
      <c r="C21" s="9">
        <f>Workings!B96</f>
        <v/>
      </c>
    </row>
    <row r="22">
      <c r="A22" t="inlineStr">
        <is>
          <t>After 8pm</t>
        </is>
      </c>
      <c r="B22" s="7">
        <f>Workings!B103</f>
        <v/>
      </c>
      <c r="C22" s="9">
        <f>Workings!B105</f>
        <v/>
      </c>
    </row>
    <row r="23"/>
    <row r="24"/>
    <row r="25"/>
    <row r="26"/>
    <row r="27"/>
    <row r="28"/>
    <row r="29"/>
    <row r="30"/>
    <row r="31">
      <c r="A31" s="11" t="inlineStr">
        <is>
          <t>Calls for help by month: every month is on the Data sheet.</t>
        </is>
      </c>
    </row>
    <row r="32"/>
    <row r="33">
      <c r="A33" s="12" t="inlineStr">
        <is>
          <t>What it shows</t>
        </is>
      </c>
    </row>
    <row r="34" ht="45" customHeight="1">
      <c r="A34" s="4" t="inlineStr">
        <is>
          <t>108 calls for help came in during October so far. While the line was staffed, 81.6% were answered (target 90.0%); 54.6% of all calls came outside staffed hours and went to voicemail. The busiest time was 2 to 5pm (20 calls).</t>
        </is>
      </c>
    </row>
    <row r="35"/>
    <row r="36">
      <c r="A36" s="12" t="inlineStr">
        <is>
          <t>What you'd do about it</t>
        </is>
      </c>
    </row>
    <row r="37" ht="30" customHeight="1">
      <c r="A37" s="4" t="inlineStr">
        <is>
          <t>13 calls came between 5 and 8pm, when no-one is on the line. 9 callers hung up waiting while the line was staffed.</t>
        </is>
      </c>
    </row>
    <row r="38"/>
    <row r="39"/>
  </sheetData>
  <mergeCells count="4">
    <mergeCell ref="A5:D5"/>
    <mergeCell ref="A37:D37"/>
    <mergeCell ref="A34:D34"/>
    <mergeCell ref="A6:D6"/>
  </mergeCells>
  <printOptions horizontalCentered="1"/>
  <pageMargins left="0.5" right="0.5" top="0.75" bottom="0.75" header="0.5" footer="0.5"/>
  <pageSetup orientation="landscape" paperSize="9" fitToHeight="0" fitToWidth="1"/>
  <headerFooter>
    <oddHeader>&amp;L&amp;"Roboto,Regular"&amp;8 Sample Community Services Ltd&amp;R&amp;"Roboto,Regular"&amp;8 &amp;A</oddHeader>
    <oddFooter>&amp;L&amp;"Roboto,Regular"&amp;8 calls.xlsx&amp;C&amp;"Roboto,Regular"&amp;8 Data retrieved 2pm, Tue 6 Oct 2026 · Generated 10 Oct 2026, 9:55pm&amp;R&amp;"Roboto,Regular"&amp;8 Page &amp;P of &amp;N</oddFooter>
    <evenHeader/>
    <evenFooter/>
    <firstHeader/>
    <firstFooter/>
  </headerFooter>
  <rowBreaks count="1" manualBreakCount="1">
    <brk id="13"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09"/>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Community Services Ltd · SAMPLE DATA (invented) · The Fourth Sheet · Made with Python (openpyxl)</t>
        </is>
      </c>
    </row>
    <row r="3">
      <c r="A3" s="2" t="inlineStr">
        <is>
          <t>Period: October 2026 to date · Data status: Sep 2026 locked · Oct 2026 incomplete (data retrieved 2pm, Tue 6 Oct 2026) · Generated 10 Oct 2026, 9:55pm</t>
        </is>
      </c>
    </row>
    <row r="4"/>
    <row r="5">
      <c r="A5" s="13" t="inlineStr">
        <is>
          <t>Calls for help, October and September</t>
        </is>
      </c>
    </row>
    <row r="6">
      <c r="A6" s="11" t="inlineStr">
        <is>
          <t>Answered ÷ calls while the line was staffed</t>
        </is>
      </c>
    </row>
    <row r="7">
      <c r="A7" s="5" t="inlineStr"/>
      <c r="B7" s="6" t="inlineStr">
        <is>
          <t>Oct 26</t>
        </is>
      </c>
      <c r="C7" s="6" t="inlineStr">
        <is>
          <t>Sep 26</t>
        </is>
      </c>
    </row>
    <row r="8">
      <c r="A8" t="inlineStr">
        <is>
          <t>Calls</t>
        </is>
      </c>
      <c r="B8" s="14" t="n">
        <v>108</v>
      </c>
      <c r="C8" s="14" t="n">
        <v>817</v>
      </c>
    </row>
    <row r="9">
      <c r="A9" t="inlineStr">
        <is>
          <t>Calls while staffed</t>
        </is>
      </c>
      <c r="B9" s="14" t="n">
        <v>49</v>
      </c>
      <c r="C9" s="14" t="n">
        <v>404</v>
      </c>
    </row>
    <row r="10">
      <c r="A10" t="inlineStr">
        <is>
          <t>Answered</t>
        </is>
      </c>
      <c r="B10" s="14" t="n">
        <v>40</v>
      </c>
      <c r="C10" s="14" t="n">
        <v>321</v>
      </c>
    </row>
    <row r="11">
      <c r="A11" t="inlineStr">
        <is>
          <t>Answered while staffed</t>
        </is>
      </c>
      <c r="B11" s="15">
        <f>B10/B9</f>
        <v/>
      </c>
      <c r="C11" s="15">
        <f>C10/C9</f>
        <v/>
      </c>
    </row>
    <row r="12">
      <c r="A12" s="16" t="inlineStr">
        <is>
          <t>Calls outside staffed hours</t>
        </is>
      </c>
      <c r="B12" s="17">
        <f>(B8-B9)/B8</f>
        <v/>
      </c>
      <c r="C12" s="17">
        <f>(C8-C9)/C8</f>
        <v/>
      </c>
    </row>
    <row r="13">
      <c r="A13" s="2" t="inlineStr">
        <is>
          <t>October is still in progress (data to 6 October), so it is a part month against full months.</t>
        </is>
      </c>
    </row>
    <row r="14"/>
    <row r="15"/>
    <row r="16">
      <c r="A16" s="13" t="inlineStr">
        <is>
          <t>Calls for help, October and September</t>
        </is>
      </c>
    </row>
    <row r="17">
      <c r="A17" s="11" t="inlineStr">
        <is>
          <t>Answered ÷ calls while the line was staffed</t>
        </is>
      </c>
    </row>
    <row r="18">
      <c r="A18" s="5" t="inlineStr"/>
      <c r="B18" s="6" t="inlineStr">
        <is>
          <t>Oct 26</t>
        </is>
      </c>
      <c r="C18" s="6" t="inlineStr">
        <is>
          <t>Sep 26</t>
        </is>
      </c>
    </row>
    <row r="19">
      <c r="A19" t="inlineStr">
        <is>
          <t>Calls</t>
        </is>
      </c>
      <c r="B19" s="14" t="n">
        <v>108</v>
      </c>
      <c r="C19" s="14" t="n">
        <v>817</v>
      </c>
    </row>
    <row r="20">
      <c r="A20" t="inlineStr">
        <is>
          <t>Calls while staffed</t>
        </is>
      </c>
      <c r="B20" s="14" t="n">
        <v>49</v>
      </c>
      <c r="C20" s="14" t="n">
        <v>404</v>
      </c>
    </row>
    <row r="21">
      <c r="A21" t="inlineStr">
        <is>
          <t>Answered</t>
        </is>
      </c>
      <c r="B21" s="14" t="n">
        <v>40</v>
      </c>
      <c r="C21" s="14" t="n">
        <v>321</v>
      </c>
    </row>
    <row r="22">
      <c r="A22" t="inlineStr">
        <is>
          <t>Answered while staffed</t>
        </is>
      </c>
      <c r="B22" s="15">
        <f>B21/B20</f>
        <v/>
      </c>
      <c r="C22" s="15">
        <f>C21/C20</f>
        <v/>
      </c>
    </row>
    <row r="23">
      <c r="A23" s="16" t="inlineStr">
        <is>
          <t>Calls outside staffed hours</t>
        </is>
      </c>
      <c r="B23" s="17">
        <f>(B19-B20)/B19</f>
        <v/>
      </c>
      <c r="C23" s="17">
        <f>(C19-C20)/C19</f>
        <v/>
      </c>
    </row>
    <row r="24">
      <c r="A24" s="2" t="inlineStr">
        <is>
          <t>October is still in progress (data to 6 October), so it is a part month against full months.</t>
        </is>
      </c>
    </row>
    <row r="25"/>
    <row r="26"/>
    <row r="27">
      <c r="A27" s="13" t="inlineStr">
        <is>
          <t>Calls for help, October and September</t>
        </is>
      </c>
    </row>
    <row r="28">
      <c r="A28" s="11" t="inlineStr">
        <is>
          <t>Answered ÷ calls while the line was staffed</t>
        </is>
      </c>
    </row>
    <row r="29">
      <c r="A29" s="5" t="inlineStr"/>
      <c r="B29" s="6" t="inlineStr">
        <is>
          <t>Oct 26</t>
        </is>
      </c>
      <c r="C29" s="6" t="inlineStr">
        <is>
          <t>Sep 26</t>
        </is>
      </c>
    </row>
    <row r="30">
      <c r="A30" t="inlineStr">
        <is>
          <t>Calls</t>
        </is>
      </c>
      <c r="B30" s="14" t="n">
        <v>108</v>
      </c>
      <c r="C30" s="14" t="n">
        <v>817</v>
      </c>
    </row>
    <row r="31">
      <c r="A31" t="inlineStr">
        <is>
          <t>Calls while staffed</t>
        </is>
      </c>
      <c r="B31" s="14" t="n">
        <v>49</v>
      </c>
      <c r="C31" s="14" t="n">
        <v>404</v>
      </c>
    </row>
    <row r="32">
      <c r="A32" t="inlineStr">
        <is>
          <t>Answered</t>
        </is>
      </c>
      <c r="B32" s="14" t="n">
        <v>40</v>
      </c>
      <c r="C32" s="14" t="n">
        <v>321</v>
      </c>
    </row>
    <row r="33">
      <c r="A33" t="inlineStr">
        <is>
          <t>Answered while staffed</t>
        </is>
      </c>
      <c r="B33" s="15">
        <f>B32/B31</f>
        <v/>
      </c>
      <c r="C33" s="15">
        <f>C32/C31</f>
        <v/>
      </c>
    </row>
    <row r="34">
      <c r="A34" s="16" t="inlineStr">
        <is>
          <t>Calls outside staffed hours</t>
        </is>
      </c>
      <c r="B34" s="17">
        <f>(B30-B31)/B30</f>
        <v/>
      </c>
      <c r="C34" s="17">
        <f>(C30-C31)/C30</f>
        <v/>
      </c>
    </row>
    <row r="35">
      <c r="A35" s="2" t="inlineStr">
        <is>
          <t>October is still in progress (data to 6 October), so it is a part month against full months.</t>
        </is>
      </c>
    </row>
    <row r="36"/>
    <row r="37"/>
    <row r="38">
      <c r="A38" s="13" t="inlineStr">
        <is>
          <t>Median wait when answered, October and September</t>
        </is>
      </c>
    </row>
    <row r="39">
      <c r="A39" s="11" t="inlineStr">
        <is>
          <t>The middle wait when every answered call is lined up from shortest to longest</t>
        </is>
      </c>
    </row>
    <row r="40">
      <c r="A40" s="5" t="inlineStr"/>
      <c r="B40" s="6" t="inlineStr">
        <is>
          <t>Oct 26</t>
        </is>
      </c>
      <c r="C40" s="6" t="inlineStr">
        <is>
          <t>Sep 26</t>
        </is>
      </c>
    </row>
    <row r="41">
      <c r="A41" t="inlineStr">
        <is>
          <t>Answered calls (while staffed)</t>
        </is>
      </c>
      <c r="B41" s="14" t="n">
        <v>40</v>
      </c>
      <c r="C41" s="14" t="n">
        <v>321</v>
      </c>
    </row>
    <row r="42">
      <c r="A42" s="16" t="inlineStr">
        <is>
          <t>Median wait (seconds, rounded half up)</t>
        </is>
      </c>
      <c r="B42" s="18" t="n">
        <v>82</v>
      </c>
      <c r="C42" s="18" t="n">
        <v>82</v>
      </c>
    </row>
    <row r="43">
      <c r="A43" s="2" t="inlineStr">
        <is>
          <t>October: 40 waits in order; the median is halfway between the 20th and 21st (81 and 82 seconds). Unanswered calls and calls outside staffed hours have no wait to count. October is still in progress (data to 6 October), so it is a part month against full months.</t>
        </is>
      </c>
    </row>
    <row r="44"/>
    <row r="45"/>
    <row r="46">
      <c r="A46" s="13" t="inlineStr">
        <is>
          <t>Calls before 8:30am, October 2026 to date</t>
        </is>
      </c>
    </row>
    <row r="47">
      <c r="A47" s="11" t="inlineStr">
        <is>
          <t>Answered ÷ calls</t>
        </is>
      </c>
    </row>
    <row r="48">
      <c r="A48" s="5" t="inlineStr"/>
      <c r="B48" s="6" t="inlineStr">
        <is>
          <t>Oct 2026</t>
        </is>
      </c>
    </row>
    <row r="49">
      <c r="A49" t="inlineStr">
        <is>
          <t>Calls</t>
        </is>
      </c>
      <c r="B49" s="14" t="n">
        <v>16</v>
      </c>
    </row>
    <row r="50">
      <c r="A50" t="inlineStr">
        <is>
          <t>Answered</t>
        </is>
      </c>
      <c r="B50" s="14" t="n">
        <v>0</v>
      </c>
    </row>
    <row r="51">
      <c r="A51" s="16" t="inlineStr">
        <is>
          <t>Answered</t>
        </is>
      </c>
      <c r="B51" s="17">
        <f>B50/B49</f>
        <v/>
      </c>
    </row>
    <row r="52">
      <c r="A52" s="2" t="inlineStr">
        <is>
          <t>Outside 8:30am to 5pm on working days the line goes to voicemail.</t>
        </is>
      </c>
    </row>
    <row r="53"/>
    <row r="54"/>
    <row r="55">
      <c r="A55" s="13" t="inlineStr">
        <is>
          <t>Calls 8:30 to 10am, October 2026 to date</t>
        </is>
      </c>
    </row>
    <row r="56">
      <c r="A56" s="11" t="inlineStr">
        <is>
          <t>Answered ÷ calls</t>
        </is>
      </c>
    </row>
    <row r="57">
      <c r="A57" s="5" t="inlineStr"/>
      <c r="B57" s="6" t="inlineStr">
        <is>
          <t>Oct 2026</t>
        </is>
      </c>
    </row>
    <row r="58">
      <c r="A58" t="inlineStr">
        <is>
          <t>Calls</t>
        </is>
      </c>
      <c r="B58" s="14" t="n">
        <v>15</v>
      </c>
    </row>
    <row r="59">
      <c r="A59" t="inlineStr">
        <is>
          <t>Answered</t>
        </is>
      </c>
      <c r="B59" s="14" t="n">
        <v>9</v>
      </c>
    </row>
    <row r="60">
      <c r="A60" s="16" t="inlineStr">
        <is>
          <t>Answered</t>
        </is>
      </c>
      <c r="B60" s="17">
        <f>B59/B58</f>
        <v/>
      </c>
    </row>
    <row r="61">
      <c r="A61" s="2" t="inlineStr">
        <is>
          <t>Outside 8:30am to 5pm on working days the line goes to voicemail.</t>
        </is>
      </c>
    </row>
    <row r="62"/>
    <row r="63"/>
    <row r="64">
      <c r="A64" s="13" t="inlineStr">
        <is>
          <t>Calls 10am to noon, October 2026 to date</t>
        </is>
      </c>
    </row>
    <row r="65">
      <c r="A65" s="11" t="inlineStr">
        <is>
          <t>Answered ÷ calls</t>
        </is>
      </c>
    </row>
    <row r="66">
      <c r="A66" s="5" t="inlineStr"/>
      <c r="B66" s="6" t="inlineStr">
        <is>
          <t>Oct 2026</t>
        </is>
      </c>
    </row>
    <row r="67">
      <c r="A67" t="inlineStr">
        <is>
          <t>Calls</t>
        </is>
      </c>
      <c r="B67" s="14" t="n">
        <v>18</v>
      </c>
    </row>
    <row r="68">
      <c r="A68" t="inlineStr">
        <is>
          <t>Answered</t>
        </is>
      </c>
      <c r="B68" s="14" t="n">
        <v>10</v>
      </c>
    </row>
    <row r="69">
      <c r="A69" s="16" t="inlineStr">
        <is>
          <t>Answered</t>
        </is>
      </c>
      <c r="B69" s="17">
        <f>B68/B67</f>
        <v/>
      </c>
    </row>
    <row r="70">
      <c r="A70" s="2" t="inlineStr">
        <is>
          <t>Outside 8:30am to 5pm on working days the line goes to voicemail.</t>
        </is>
      </c>
    </row>
    <row r="71"/>
    <row r="72"/>
    <row r="73">
      <c r="A73" s="13" t="inlineStr">
        <is>
          <t>Calls noon to 2pm, October 2026 to date</t>
        </is>
      </c>
    </row>
    <row r="74">
      <c r="A74" s="11" t="inlineStr">
        <is>
          <t>Answered ÷ calls</t>
        </is>
      </c>
    </row>
    <row r="75">
      <c r="A75" s="5" t="inlineStr"/>
      <c r="B75" s="6" t="inlineStr">
        <is>
          <t>Oct 2026</t>
        </is>
      </c>
    </row>
    <row r="76">
      <c r="A76" t="inlineStr">
        <is>
          <t>Calls</t>
        </is>
      </c>
      <c r="B76" s="14" t="n">
        <v>19</v>
      </c>
    </row>
    <row r="77">
      <c r="A77" t="inlineStr">
        <is>
          <t>Answered</t>
        </is>
      </c>
      <c r="B77" s="14" t="n">
        <v>11</v>
      </c>
    </row>
    <row r="78">
      <c r="A78" s="16" t="inlineStr">
        <is>
          <t>Answered</t>
        </is>
      </c>
      <c r="B78" s="17">
        <f>B77/B76</f>
        <v/>
      </c>
    </row>
    <row r="79">
      <c r="A79" s="2" t="inlineStr">
        <is>
          <t>Outside 8:30am to 5pm on working days the line goes to voicemail.</t>
        </is>
      </c>
    </row>
    <row r="80"/>
    <row r="81"/>
    <row r="82">
      <c r="A82" s="13" t="inlineStr">
        <is>
          <t>Calls 2 to 5pm, October 2026 to date</t>
        </is>
      </c>
    </row>
    <row r="83">
      <c r="A83" s="11" t="inlineStr">
        <is>
          <t>Answered ÷ calls</t>
        </is>
      </c>
    </row>
    <row r="84">
      <c r="A84" s="5" t="inlineStr"/>
      <c r="B84" s="6" t="inlineStr">
        <is>
          <t>Oct 2026</t>
        </is>
      </c>
    </row>
    <row r="85">
      <c r="A85" t="inlineStr">
        <is>
          <t>Calls</t>
        </is>
      </c>
      <c r="B85" s="14" t="n">
        <v>20</v>
      </c>
    </row>
    <row r="86">
      <c r="A86" t="inlineStr">
        <is>
          <t>Answered</t>
        </is>
      </c>
      <c r="B86" s="14" t="n">
        <v>10</v>
      </c>
    </row>
    <row r="87">
      <c r="A87" s="16" t="inlineStr">
        <is>
          <t>Answered</t>
        </is>
      </c>
      <c r="B87" s="17">
        <f>B86/B85</f>
        <v/>
      </c>
    </row>
    <row r="88">
      <c r="A88" s="2" t="inlineStr">
        <is>
          <t>Outside 8:30am to 5pm on working days the line goes to voicemail.</t>
        </is>
      </c>
    </row>
    <row r="89"/>
    <row r="90"/>
    <row r="91">
      <c r="A91" s="13" t="inlineStr">
        <is>
          <t>Calls 5 to 8pm, October 2026 to date</t>
        </is>
      </c>
    </row>
    <row r="92">
      <c r="A92" s="11" t="inlineStr">
        <is>
          <t>Answered ÷ calls</t>
        </is>
      </c>
    </row>
    <row r="93">
      <c r="A93" s="5" t="inlineStr"/>
      <c r="B93" s="6" t="inlineStr">
        <is>
          <t>Oct 2026</t>
        </is>
      </c>
    </row>
    <row r="94">
      <c r="A94" t="inlineStr">
        <is>
          <t>Calls</t>
        </is>
      </c>
      <c r="B94" s="14" t="n">
        <v>13</v>
      </c>
    </row>
    <row r="95">
      <c r="A95" t="inlineStr">
        <is>
          <t>Answered</t>
        </is>
      </c>
      <c r="B95" s="14" t="n">
        <v>0</v>
      </c>
    </row>
    <row r="96">
      <c r="A96" s="16" t="inlineStr">
        <is>
          <t>Answered</t>
        </is>
      </c>
      <c r="B96" s="17">
        <f>B95/B94</f>
        <v/>
      </c>
    </row>
    <row r="97">
      <c r="A97" s="2" t="inlineStr">
        <is>
          <t>Outside 8:30am to 5pm on working days the line goes to voicemail.</t>
        </is>
      </c>
    </row>
    <row r="98"/>
    <row r="99"/>
    <row r="100">
      <c r="A100" s="13" t="inlineStr">
        <is>
          <t>Calls after 8pm, October 2026 to date</t>
        </is>
      </c>
    </row>
    <row r="101">
      <c r="A101" s="11" t="inlineStr">
        <is>
          <t>Answered ÷ calls</t>
        </is>
      </c>
    </row>
    <row r="102">
      <c r="A102" s="5" t="inlineStr"/>
      <c r="B102" s="6" t="inlineStr">
        <is>
          <t>Oct 2026</t>
        </is>
      </c>
    </row>
    <row r="103">
      <c r="A103" t="inlineStr">
        <is>
          <t>Calls</t>
        </is>
      </c>
      <c r="B103" s="14" t="n">
        <v>7</v>
      </c>
    </row>
    <row r="104">
      <c r="A104" t="inlineStr">
        <is>
          <t>Answered</t>
        </is>
      </c>
      <c r="B104" s="14" t="n">
        <v>0</v>
      </c>
    </row>
    <row r="105">
      <c r="A105" s="16" t="inlineStr">
        <is>
          <t>Answered</t>
        </is>
      </c>
      <c r="B105" s="17">
        <f>B104/B103</f>
        <v/>
      </c>
    </row>
    <row r="106">
      <c r="A106" s="2" t="inlineStr">
        <is>
          <t>Outside 8:30am to 5pm on working days the line goes to voicemail.</t>
        </is>
      </c>
    </row>
    <row r="107"/>
    <row r="108"/>
    <row r="109"/>
  </sheetData>
  <printOptions horizontalCentered="1"/>
  <pageMargins left="0.5" right="0.5" top="0.75" bottom="0.75" header="0.5" footer="0.5"/>
  <pageSetup orientation="landscape" paperSize="9" fitToHeight="0" fitToWidth="1"/>
  <headerFooter>
    <oddHeader>&amp;L&amp;"Roboto,Regular"&amp;8 Sample Community Services Ltd&amp;R&amp;"Roboto,Regular"&amp;8 &amp;A</oddHeader>
    <oddFooter>&amp;L&amp;"Roboto,Regular"&amp;8 calls.xlsx&amp;C&amp;"Roboto,Regular"&amp;8 Data retrieved 2pm, Tue 6 Oct 2026 · Generated 10 Oct 2026, 9:55pm&amp;R&amp;"Roboto,Regular"&amp;8 Page &amp;P of &amp;N</oddFooter>
    <evenHeader/>
    <evenFooter/>
    <firstHeader/>
    <firstFooter/>
  </headerFooter>
  <rowBreaks count="3" manualBreakCount="3">
    <brk id="26" min="0" max="16383" man="1"/>
    <brk id="54" min="0" max="16383" man="1"/>
    <brk id="81" min="0" max="16383" man="1"/>
  </rowBreaks>
</worksheet>
</file>

<file path=xl/worksheets/sheet3.xml><?xml version="1.0" encoding="utf-8"?>
<worksheet xmlns="http://schemas.openxmlformats.org/spreadsheetml/2006/main">
  <sheetPr>
    <outlinePr summaryBelow="1" summaryRight="1"/>
    <pageSetUpPr fitToPage="1"/>
  </sheetPr>
  <dimension ref="A1:F2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Data</t>
        </is>
      </c>
    </row>
    <row r="2">
      <c r="A2" s="2" t="inlineStr">
        <is>
          <t>Sample Community Services Ltd · SAMPLE DATA (invented) · The Fourth Sheet · Made with Python (openpyxl)</t>
        </is>
      </c>
    </row>
    <row r="3">
      <c r="A3" s="2" t="inlineStr">
        <is>
          <t>Period: October 2026 to date · Data status: Sep 2026 locked · Oct 2026 incomplete (data retrieved 2pm, Tue 6 Oct 2026) · Generated 10 Oct 2026, 9:55pm</t>
        </is>
      </c>
    </row>
    <row r="4"/>
    <row r="5">
      <c r="A5" s="5" t="inlineStr">
        <is>
          <t>Month</t>
        </is>
      </c>
      <c r="B5" s="6" t="inlineStr">
        <is>
          <t>Status</t>
        </is>
      </c>
      <c r="C5" s="6" t="inlineStr">
        <is>
          <t>Calls</t>
        </is>
      </c>
      <c r="D5" s="6" t="inlineStr">
        <is>
          <t>While staffed</t>
        </is>
      </c>
      <c r="E5" s="6" t="inlineStr">
        <is>
          <t>Answered</t>
        </is>
      </c>
      <c r="F5" s="6" t="inlineStr">
        <is>
          <t>Answered while staffed</t>
        </is>
      </c>
    </row>
    <row r="6">
      <c r="A6" s="19" t="inlineStr">
        <is>
          <t>Nov 24</t>
        </is>
      </c>
      <c r="B6" s="19" t="inlineStr">
        <is>
          <t>Locked</t>
        </is>
      </c>
      <c r="C6" s="14" t="n">
        <v>633</v>
      </c>
      <c r="D6" s="14" t="n">
        <v>307</v>
      </c>
      <c r="E6" s="14" t="n">
        <v>278</v>
      </c>
      <c r="F6" s="15">
        <f>IF(D6=0,"",E6/D6)</f>
        <v/>
      </c>
    </row>
    <row r="7">
      <c r="A7" s="19" t="inlineStr">
        <is>
          <t>Dec 24</t>
        </is>
      </c>
      <c r="B7" s="19" t="inlineStr">
        <is>
          <t>Locked</t>
        </is>
      </c>
      <c r="C7" s="14" t="n">
        <v>684</v>
      </c>
      <c r="D7" s="14" t="n">
        <v>330</v>
      </c>
      <c r="E7" s="14" t="n">
        <v>284</v>
      </c>
      <c r="F7" s="15">
        <f>IF(D7=0,"",E7/D7)</f>
        <v/>
      </c>
    </row>
    <row r="8">
      <c r="A8" s="19" t="inlineStr">
        <is>
          <t>Jan 25</t>
        </is>
      </c>
      <c r="B8" s="19" t="inlineStr">
        <is>
          <t>Locked</t>
        </is>
      </c>
      <c r="C8" s="14" t="n">
        <v>690</v>
      </c>
      <c r="D8" s="14" t="n">
        <v>324</v>
      </c>
      <c r="E8" s="14" t="n">
        <v>280</v>
      </c>
      <c r="F8" s="15">
        <f>IF(D8=0,"",E8/D8)</f>
        <v/>
      </c>
    </row>
    <row r="9">
      <c r="A9" s="19" t="inlineStr">
        <is>
          <t>Feb 25</t>
        </is>
      </c>
      <c r="B9" s="19" t="inlineStr">
        <is>
          <t>Locked</t>
        </is>
      </c>
      <c r="C9" s="14" t="n">
        <v>664</v>
      </c>
      <c r="D9" s="14" t="n">
        <v>320</v>
      </c>
      <c r="E9" s="14" t="n">
        <v>278</v>
      </c>
      <c r="F9" s="15">
        <f>IF(D9=0,"",E9/D9)</f>
        <v/>
      </c>
    </row>
    <row r="10">
      <c r="A10" s="19" t="inlineStr">
        <is>
          <t>Mar 25</t>
        </is>
      </c>
      <c r="B10" s="19" t="inlineStr">
        <is>
          <t>Locked</t>
        </is>
      </c>
      <c r="C10" s="14" t="n">
        <v>685</v>
      </c>
      <c r="D10" s="14" t="n">
        <v>311</v>
      </c>
      <c r="E10" s="14" t="n">
        <v>284</v>
      </c>
      <c r="F10" s="15">
        <f>IF(D10=0,"",E10/D10)</f>
        <v/>
      </c>
    </row>
    <row r="11">
      <c r="A11" s="19" t="inlineStr">
        <is>
          <t>Apr 25</t>
        </is>
      </c>
      <c r="B11" s="19" t="inlineStr">
        <is>
          <t>Locked</t>
        </is>
      </c>
      <c r="C11" s="14" t="n">
        <v>629</v>
      </c>
      <c r="D11" s="14" t="n">
        <v>286</v>
      </c>
      <c r="E11" s="14" t="n">
        <v>246</v>
      </c>
      <c r="F11" s="15">
        <f>IF(D11=0,"",E11/D11)</f>
        <v/>
      </c>
    </row>
    <row r="12">
      <c r="A12" s="19" t="inlineStr">
        <is>
          <t>May 25</t>
        </is>
      </c>
      <c r="B12" s="19" t="inlineStr">
        <is>
          <t>Locked</t>
        </is>
      </c>
      <c r="C12" s="14" t="n">
        <v>724</v>
      </c>
      <c r="D12" s="14" t="n">
        <v>348</v>
      </c>
      <c r="E12" s="14" t="n">
        <v>302</v>
      </c>
      <c r="F12" s="15">
        <f>IF(D12=0,"",E12/D12)</f>
        <v/>
      </c>
    </row>
    <row r="13">
      <c r="A13" s="19" t="inlineStr">
        <is>
          <t>Jun 25</t>
        </is>
      </c>
      <c r="B13" s="19" t="inlineStr">
        <is>
          <t>Locked</t>
        </is>
      </c>
      <c r="C13" s="14" t="n">
        <v>820</v>
      </c>
      <c r="D13" s="14" t="n">
        <v>389</v>
      </c>
      <c r="E13" s="14" t="n">
        <v>330</v>
      </c>
      <c r="F13" s="15">
        <f>IF(D13=0,"",E13/D13)</f>
        <v/>
      </c>
    </row>
    <row r="14">
      <c r="A14" s="19" t="inlineStr">
        <is>
          <t>Jul 25</t>
        </is>
      </c>
      <c r="B14" s="19" t="inlineStr">
        <is>
          <t>Locked</t>
        </is>
      </c>
      <c r="C14" s="14" t="n">
        <v>909</v>
      </c>
      <c r="D14" s="14" t="n">
        <v>477</v>
      </c>
      <c r="E14" s="14" t="n">
        <v>402</v>
      </c>
      <c r="F14" s="15">
        <f>IF(D14=0,"",E14/D14)</f>
        <v/>
      </c>
    </row>
    <row r="15">
      <c r="A15" s="19" t="inlineStr">
        <is>
          <t>Aug 25</t>
        </is>
      </c>
      <c r="B15" s="19" t="inlineStr">
        <is>
          <t>Locked</t>
        </is>
      </c>
      <c r="C15" s="14" t="n">
        <v>826</v>
      </c>
      <c r="D15" s="14" t="n">
        <v>388</v>
      </c>
      <c r="E15" s="14" t="n">
        <v>327</v>
      </c>
      <c r="F15" s="15">
        <f>IF(D15=0,"",E15/D15)</f>
        <v/>
      </c>
    </row>
    <row r="16">
      <c r="A16" s="19" t="inlineStr">
        <is>
          <t>Sep 25</t>
        </is>
      </c>
      <c r="B16" s="19" t="inlineStr">
        <is>
          <t>Locked</t>
        </is>
      </c>
      <c r="C16" s="14" t="n">
        <v>756</v>
      </c>
      <c r="D16" s="14" t="n">
        <v>359</v>
      </c>
      <c r="E16" s="14" t="n">
        <v>307</v>
      </c>
      <c r="F16" s="15">
        <f>IF(D16=0,"",E16/D16)</f>
        <v/>
      </c>
    </row>
    <row r="17">
      <c r="A17" s="19" t="inlineStr">
        <is>
          <t>Oct 25</t>
        </is>
      </c>
      <c r="B17" s="19" t="inlineStr">
        <is>
          <t>Locked</t>
        </is>
      </c>
      <c r="C17" s="14" t="n">
        <v>770</v>
      </c>
      <c r="D17" s="14" t="n">
        <v>363</v>
      </c>
      <c r="E17" s="14" t="n">
        <v>304</v>
      </c>
      <c r="F17" s="15">
        <f>IF(D17=0,"",E17/D17)</f>
        <v/>
      </c>
    </row>
    <row r="18">
      <c r="A18" s="19" t="inlineStr">
        <is>
          <t>Nov 25</t>
        </is>
      </c>
      <c r="B18" s="19" t="inlineStr">
        <is>
          <t>Locked</t>
        </is>
      </c>
      <c r="C18" s="14" t="n">
        <v>746</v>
      </c>
      <c r="D18" s="14" t="n">
        <v>357</v>
      </c>
      <c r="E18" s="14" t="n">
        <v>297</v>
      </c>
      <c r="F18" s="15">
        <f>IF(D18=0,"",E18/D18)</f>
        <v/>
      </c>
    </row>
    <row r="19">
      <c r="A19" s="19" t="inlineStr">
        <is>
          <t>Dec 25</t>
        </is>
      </c>
      <c r="B19" s="19" t="inlineStr">
        <is>
          <t>Locked</t>
        </is>
      </c>
      <c r="C19" s="14" t="n">
        <v>776</v>
      </c>
      <c r="D19" s="14" t="n">
        <v>357</v>
      </c>
      <c r="E19" s="14" t="n">
        <v>282</v>
      </c>
      <c r="F19" s="15">
        <f>IF(D19=0,"",E19/D19)</f>
        <v/>
      </c>
    </row>
    <row r="20">
      <c r="A20" s="19" t="inlineStr">
        <is>
          <t>Jan 26</t>
        </is>
      </c>
      <c r="B20" s="19" t="inlineStr">
        <is>
          <t>Locked</t>
        </is>
      </c>
      <c r="C20" s="14" t="n">
        <v>726</v>
      </c>
      <c r="D20" s="14" t="n">
        <v>346</v>
      </c>
      <c r="E20" s="14" t="n">
        <v>297</v>
      </c>
      <c r="F20" s="15">
        <f>IF(D20=0,"",E20/D20)</f>
        <v/>
      </c>
    </row>
    <row r="21">
      <c r="A21" s="19" t="inlineStr">
        <is>
          <t>Feb 26</t>
        </is>
      </c>
      <c r="B21" s="19" t="inlineStr">
        <is>
          <t>Locked</t>
        </is>
      </c>
      <c r="C21" s="14" t="n">
        <v>678</v>
      </c>
      <c r="D21" s="14" t="n">
        <v>341</v>
      </c>
      <c r="E21" s="14" t="n">
        <v>275</v>
      </c>
      <c r="F21" s="15">
        <f>IF(D21=0,"",E21/D21)</f>
        <v/>
      </c>
    </row>
    <row r="22">
      <c r="A22" s="19" t="inlineStr">
        <is>
          <t>Mar 26</t>
        </is>
      </c>
      <c r="B22" s="19" t="inlineStr">
        <is>
          <t>Locked</t>
        </is>
      </c>
      <c r="C22" s="14" t="n">
        <v>865</v>
      </c>
      <c r="D22" s="14" t="n">
        <v>421</v>
      </c>
      <c r="E22" s="14" t="n">
        <v>338</v>
      </c>
      <c r="F22" s="15">
        <f>IF(D22=0,"",E22/D22)</f>
        <v/>
      </c>
    </row>
    <row r="23">
      <c r="A23" s="19" t="inlineStr">
        <is>
          <t>Apr 26</t>
        </is>
      </c>
      <c r="B23" s="19" t="inlineStr">
        <is>
          <t>Locked</t>
        </is>
      </c>
      <c r="C23" s="14" t="n">
        <v>731</v>
      </c>
      <c r="D23" s="14" t="n">
        <v>356</v>
      </c>
      <c r="E23" s="14" t="n">
        <v>294</v>
      </c>
      <c r="F23" s="15">
        <f>IF(D23=0,"",E23/D23)</f>
        <v/>
      </c>
    </row>
    <row r="24">
      <c r="A24" s="19" t="inlineStr">
        <is>
          <t>May 26</t>
        </is>
      </c>
      <c r="B24" s="19" t="inlineStr">
        <is>
          <t>Locked</t>
        </is>
      </c>
      <c r="C24" s="14" t="n">
        <v>757</v>
      </c>
      <c r="D24" s="14" t="n">
        <v>338</v>
      </c>
      <c r="E24" s="14" t="n">
        <v>280</v>
      </c>
      <c r="F24" s="15">
        <f>IF(D24=0,"",E24/D24)</f>
        <v/>
      </c>
    </row>
    <row r="25">
      <c r="A25" s="19" t="inlineStr">
        <is>
          <t>Jun 26</t>
        </is>
      </c>
      <c r="B25" s="19" t="inlineStr">
        <is>
          <t>Locked</t>
        </is>
      </c>
      <c r="C25" s="14" t="n">
        <v>951</v>
      </c>
      <c r="D25" s="14" t="n">
        <v>488</v>
      </c>
      <c r="E25" s="14" t="n">
        <v>380</v>
      </c>
      <c r="F25" s="15">
        <f>IF(D25=0,"",E25/D25)</f>
        <v/>
      </c>
    </row>
    <row r="26">
      <c r="A26" s="19" t="inlineStr">
        <is>
          <t>Jul 26</t>
        </is>
      </c>
      <c r="B26" s="19" t="inlineStr">
        <is>
          <t>Locked</t>
        </is>
      </c>
      <c r="C26" s="14" t="n">
        <v>953</v>
      </c>
      <c r="D26" s="14" t="n">
        <v>486</v>
      </c>
      <c r="E26" s="14" t="n">
        <v>384</v>
      </c>
      <c r="F26" s="15">
        <f>IF(D26=0,"",E26/D26)</f>
        <v/>
      </c>
    </row>
    <row r="27">
      <c r="A27" s="19" t="inlineStr">
        <is>
          <t>Aug 26</t>
        </is>
      </c>
      <c r="B27" s="19" t="inlineStr">
        <is>
          <t>Locked</t>
        </is>
      </c>
      <c r="C27" s="14" t="n">
        <v>942</v>
      </c>
      <c r="D27" s="14" t="n">
        <v>421</v>
      </c>
      <c r="E27" s="14" t="n">
        <v>327</v>
      </c>
      <c r="F27" s="15">
        <f>IF(D27=0,"",E27/D27)</f>
        <v/>
      </c>
    </row>
    <row r="28">
      <c r="A28" s="19" t="inlineStr">
        <is>
          <t>Sep 26</t>
        </is>
      </c>
      <c r="B28" s="19" t="inlineStr">
        <is>
          <t>Locked</t>
        </is>
      </c>
      <c r="C28" s="14" t="n">
        <v>817</v>
      </c>
      <c r="D28" s="14" t="n">
        <v>404</v>
      </c>
      <c r="E28" s="14" t="n">
        <v>321</v>
      </c>
      <c r="F28" s="15">
        <f>IF(D28=0,"",E28/D28)</f>
        <v/>
      </c>
    </row>
    <row r="29">
      <c r="A29" s="19" t="inlineStr">
        <is>
          <t>Oct 26</t>
        </is>
      </c>
      <c r="B29" s="19" t="inlineStr">
        <is>
          <t>Incomplete</t>
        </is>
      </c>
      <c r="C29" s="14" t="n">
        <v>108</v>
      </c>
      <c r="D29" s="14" t="n">
        <v>49</v>
      </c>
      <c r="E29" s="14" t="n">
        <v>40</v>
      </c>
      <c r="F29" s="15">
        <f>IF(D29=0,"",E29/D29)</f>
        <v/>
      </c>
    </row>
  </sheetData>
  <printOptions horizontalCentered="1"/>
  <pageMargins left="0.5" right="0.5" top="0.75" bottom="0.75" header="0.5" footer="0.5"/>
  <pageSetup orientation="landscape" paperSize="9" fitToHeight="0" fitToWidth="1"/>
  <headerFooter>
    <oddHeader>&amp;L&amp;"Roboto,Regular"&amp;8 Sample Community Services Ltd&amp;R&amp;"Roboto,Regular"&amp;8 &amp;A</oddHeader>
    <oddFooter>&amp;L&amp;"Roboto,Regular"&amp;8 calls.xlsx&amp;C&amp;"Roboto,Regular"&amp;8 Data retrieved 2pm, Tue 6 Oct 2026 · Generated 10 Oct 2026, 9:55pm&amp;R&amp;"Roboto,Regular"&amp;8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2026-10-10T11:57:02Z</dcterms:created>
  <dcterms:modified xmlns:dcterms="http://purl.org/dc/terms/" xmlns:xsi="http://www.w3.org/2001/XMLSchema-instance" xsi:type="dcterms:W3CDTF">2026-10-10T11:57:02Z</dcterms:modified>
</cp:coreProperties>
</file>