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October 2026 to date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September</t>
        </is>
      </c>
      <c r="B11" s="6">
        <f>Workings!B45</f>
        <v/>
      </c>
      <c r="C11" s="7" t="inlineStr">
        <is>
          <t>at September's rate of spending</t>
        </is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Unrestricted cash ($289,912, after setting aside unspent grant money) would cover 1.8 months of spending at September's rate of spending, short of the 3.0 months target by $198,788.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A reserves plan is the usual next step: how much of each month's surplus goes to reserves, and by when the gap is closed.</t>
        </is>
      </c>
    </row>
    <row r="18"/>
    <row r="19">
      <c r="A19" s="10" t="inlineStr">
        <is>
          <t>Cash at bank, every day (1 Aug to 6 Oct): every month is on the Data sheet.</t>
        </is>
      </c>
    </row>
    <row r="20"/>
    <row r="21"/>
  </sheetData>
  <mergeCells count="3">
    <mergeCell ref="A5:D5"/>
    <mergeCell ref="A17:D17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runway.xlsx&amp;C&amp;8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11" t="inlineStr">
        <is>
          <t>Unrestricted cash runway, October 2026</t>
        </is>
      </c>
    </row>
    <row r="6">
      <c r="A6" s="10" t="inlineStr">
        <is>
          <t>(Cash at bank − unspent grant money) ÷ a month's cash spending</t>
        </is>
      </c>
    </row>
    <row r="7">
      <c r="A7" s="4" t="inlineStr"/>
      <c r="B7" s="5" t="inlineStr">
        <is>
          <t>Oct 2026</t>
        </is>
      </c>
    </row>
    <row r="8">
      <c r="A8" t="inlineStr">
        <is>
          <t>Cash at bank</t>
        </is>
      </c>
      <c r="B8" s="12" t="n">
        <v>438965</v>
      </c>
    </row>
    <row r="9">
      <c r="A9" t="inlineStr">
        <is>
          <t>Less unspent grant money (belongs to funders' programs)</t>
        </is>
      </c>
      <c r="B9" s="12" t="n">
        <v>-149053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September (expenses less depreciation)</t>
        </is>
      </c>
      <c r="B11" s="12" t="n">
        <v>162900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October is still in progress, so the rate of spending is September's. 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10" t="inlineStr">
        <is>
          <t>Target months × monthly cash spending − unrestricted cash</t>
        </is>
      </c>
    </row>
    <row r="18">
      <c r="A18" s="4" t="inlineStr"/>
      <c r="B18" s="5" t="inlineStr">
        <is>
          <t>Oct 2026</t>
        </is>
      </c>
    </row>
    <row r="19">
      <c r="A19" t="inlineStr">
        <is>
          <t>Unrestricted cash</t>
        </is>
      </c>
      <c r="B19" s="12" t="n">
        <v>289912</v>
      </c>
    </row>
    <row r="20">
      <c r="A20" t="inlineStr">
        <is>
          <t>A month's cash spending</t>
        </is>
      </c>
      <c r="B20" s="12" t="n">
        <v>162900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10" t="inlineStr">
        <is>
          <t>Target months × monthly cash spending − unrestricted cash</t>
        </is>
      </c>
    </row>
    <row r="29">
      <c r="A29" s="4" t="inlineStr"/>
      <c r="B29" s="5" t="inlineStr">
        <is>
          <t>Oct 2026</t>
        </is>
      </c>
    </row>
    <row r="30">
      <c r="A30" t="inlineStr">
        <is>
          <t>Unrestricted cash</t>
        </is>
      </c>
      <c r="B30" s="12" t="n">
        <v>289912</v>
      </c>
    </row>
    <row r="31">
      <c r="A31" t="inlineStr">
        <is>
          <t>A month's cash spending</t>
        </is>
      </c>
      <c r="B31" s="12" t="n">
        <v>162900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September 2026</t>
        </is>
      </c>
    </row>
    <row r="39">
      <c r="A39" s="10" t="inlineStr">
        <is>
          <t>(Cash at bank − unspent grant money) ÷ a month's cash spending</t>
        </is>
      </c>
    </row>
    <row r="40">
      <c r="A40" s="4" t="inlineStr"/>
      <c r="B40" s="5" t="inlineStr">
        <is>
          <t>Sep 2026</t>
        </is>
      </c>
    </row>
    <row r="41">
      <c r="A41" t="inlineStr">
        <is>
          <t>Cash at bank</t>
        </is>
      </c>
      <c r="B41" s="12" t="n">
        <v>480780</v>
      </c>
    </row>
    <row r="42">
      <c r="A42" t="inlineStr">
        <is>
          <t>Less unspent grant money (belongs to funders' programs)</t>
        </is>
      </c>
      <c r="B42" s="12" t="n">
        <v>-156100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September (expenses less depreciation)</t>
        </is>
      </c>
      <c r="B44" s="12" t="n">
        <v>162900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runway.xlsx&amp;C&amp;8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7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  <row r="37">
      <c r="A37" s="17" t="inlineStr">
        <is>
          <t>2026-09-01</t>
        </is>
      </c>
      <c r="B37" s="17" t="inlineStr">
        <is>
          <t>Locked</t>
        </is>
      </c>
      <c r="C37" s="12" t="n">
        <v>527865</v>
      </c>
    </row>
    <row r="38">
      <c r="A38" s="17" t="inlineStr">
        <is>
          <t>2026-09-02</t>
        </is>
      </c>
      <c r="B38" s="17" t="inlineStr">
        <is>
          <t>Locked</t>
        </is>
      </c>
      <c r="C38" s="12" t="n">
        <v>530055</v>
      </c>
    </row>
    <row r="39">
      <c r="A39" s="17" t="inlineStr">
        <is>
          <t>2026-09-03</t>
        </is>
      </c>
      <c r="B39" s="17" t="inlineStr">
        <is>
          <t>Locked</t>
        </is>
      </c>
      <c r="C39" s="12" t="n">
        <v>483769</v>
      </c>
    </row>
    <row r="40">
      <c r="A40" s="17" t="inlineStr">
        <is>
          <t>2026-09-04</t>
        </is>
      </c>
      <c r="B40" s="17" t="inlineStr">
        <is>
          <t>Locked</t>
        </is>
      </c>
      <c r="C40" s="12" t="n">
        <v>485958</v>
      </c>
    </row>
    <row r="41">
      <c r="A41" s="17" t="inlineStr">
        <is>
          <t>2026-09-05</t>
        </is>
      </c>
      <c r="B41" s="17" t="inlineStr">
        <is>
          <t>Locked</t>
        </is>
      </c>
      <c r="C41" s="12" t="n">
        <v>486888</v>
      </c>
    </row>
    <row r="42">
      <c r="A42" s="17" t="inlineStr">
        <is>
          <t>2026-09-06</t>
        </is>
      </c>
      <c r="B42" s="17" t="inlineStr">
        <is>
          <t>Locked</t>
        </is>
      </c>
      <c r="C42" s="12" t="n">
        <v>487818</v>
      </c>
    </row>
    <row r="43">
      <c r="A43" s="17" t="inlineStr">
        <is>
          <t>2026-09-07</t>
        </is>
      </c>
      <c r="B43" s="17" t="inlineStr">
        <is>
          <t>Locked</t>
        </is>
      </c>
      <c r="C43" s="12" t="n">
        <v>490007</v>
      </c>
    </row>
    <row r="44">
      <c r="A44" s="17" t="inlineStr">
        <is>
          <t>2026-09-08</t>
        </is>
      </c>
      <c r="B44" s="17" t="inlineStr">
        <is>
          <t>Locked</t>
        </is>
      </c>
      <c r="C44" s="12" t="n">
        <v>492196</v>
      </c>
    </row>
    <row r="45">
      <c r="A45" s="17" t="inlineStr">
        <is>
          <t>2026-09-09</t>
        </is>
      </c>
      <c r="B45" s="17" t="inlineStr">
        <is>
          <t>Locked</t>
        </is>
      </c>
      <c r="C45" s="12" t="n">
        <v>494385</v>
      </c>
    </row>
    <row r="46">
      <c r="A46" s="17" t="inlineStr">
        <is>
          <t>2026-09-10</t>
        </is>
      </c>
      <c r="B46" s="17" t="inlineStr">
        <is>
          <t>Locked</t>
        </is>
      </c>
      <c r="C46" s="12" t="n">
        <v>496574</v>
      </c>
    </row>
    <row r="47">
      <c r="A47" s="17" t="inlineStr">
        <is>
          <t>2026-09-11</t>
        </is>
      </c>
      <c r="B47" s="17" t="inlineStr">
        <is>
          <t>Locked</t>
        </is>
      </c>
      <c r="C47" s="12" t="n">
        <v>498763</v>
      </c>
    </row>
    <row r="48">
      <c r="A48" s="17" t="inlineStr">
        <is>
          <t>2026-09-12</t>
        </is>
      </c>
      <c r="B48" s="17" t="inlineStr">
        <is>
          <t>Locked</t>
        </is>
      </c>
      <c r="C48" s="12" t="n">
        <v>499693</v>
      </c>
    </row>
    <row r="49">
      <c r="A49" s="17" t="inlineStr">
        <is>
          <t>2026-09-13</t>
        </is>
      </c>
      <c r="B49" s="17" t="inlineStr">
        <is>
          <t>Locked</t>
        </is>
      </c>
      <c r="C49" s="12" t="n">
        <v>500623</v>
      </c>
    </row>
    <row r="50">
      <c r="A50" s="17" t="inlineStr">
        <is>
          <t>2026-09-14</t>
        </is>
      </c>
      <c r="B50" s="17" t="inlineStr">
        <is>
          <t>Locked</t>
        </is>
      </c>
      <c r="C50" s="12" t="n">
        <v>502812</v>
      </c>
    </row>
    <row r="51">
      <c r="A51" s="17" t="inlineStr">
        <is>
          <t>2026-09-15</t>
        </is>
      </c>
      <c r="B51" s="17" t="inlineStr">
        <is>
          <t>Locked</t>
        </is>
      </c>
      <c r="C51" s="12" t="n">
        <v>481738</v>
      </c>
    </row>
    <row r="52">
      <c r="A52" s="17" t="inlineStr">
        <is>
          <t>2026-09-16</t>
        </is>
      </c>
      <c r="B52" s="17" t="inlineStr">
        <is>
          <t>Locked</t>
        </is>
      </c>
      <c r="C52" s="12" t="n">
        <v>483927</v>
      </c>
    </row>
    <row r="53">
      <c r="A53" s="17" t="inlineStr">
        <is>
          <t>2026-09-17</t>
        </is>
      </c>
      <c r="B53" s="17" t="inlineStr">
        <is>
          <t>Locked</t>
        </is>
      </c>
      <c r="C53" s="12" t="n">
        <v>437641</v>
      </c>
    </row>
    <row r="54">
      <c r="A54" s="17" t="inlineStr">
        <is>
          <t>2026-09-18</t>
        </is>
      </c>
      <c r="B54" s="17" t="inlineStr">
        <is>
          <t>Locked</t>
        </is>
      </c>
      <c r="C54" s="12" t="n">
        <v>439830</v>
      </c>
    </row>
    <row r="55">
      <c r="A55" s="17" t="inlineStr">
        <is>
          <t>2026-09-19</t>
        </is>
      </c>
      <c r="B55" s="17" t="inlineStr">
        <is>
          <t>Locked</t>
        </is>
      </c>
      <c r="C55" s="12" t="n">
        <v>482360</v>
      </c>
    </row>
    <row r="56">
      <c r="A56" s="17" t="inlineStr">
        <is>
          <t>2026-09-20</t>
        </is>
      </c>
      <c r="B56" s="17" t="inlineStr">
        <is>
          <t>Locked</t>
        </is>
      </c>
      <c r="C56" s="12" t="n">
        <v>483290</v>
      </c>
    </row>
    <row r="57">
      <c r="A57" s="17" t="inlineStr">
        <is>
          <t>2026-09-21</t>
        </is>
      </c>
      <c r="B57" s="17" t="inlineStr">
        <is>
          <t>Locked</t>
        </is>
      </c>
      <c r="C57" s="12" t="n">
        <v>485479</v>
      </c>
    </row>
    <row r="58">
      <c r="A58" s="17" t="inlineStr">
        <is>
          <t>2026-09-22</t>
        </is>
      </c>
      <c r="B58" s="17" t="inlineStr">
        <is>
          <t>Locked</t>
        </is>
      </c>
      <c r="C58" s="12" t="n">
        <v>487668</v>
      </c>
    </row>
    <row r="59">
      <c r="A59" s="17" t="inlineStr">
        <is>
          <t>2026-09-23</t>
        </is>
      </c>
      <c r="B59" s="17" t="inlineStr">
        <is>
          <t>Locked</t>
        </is>
      </c>
      <c r="C59" s="12" t="n">
        <v>489857</v>
      </c>
    </row>
    <row r="60">
      <c r="A60" s="17" t="inlineStr">
        <is>
          <t>2026-09-24</t>
        </is>
      </c>
      <c r="B60" s="17" t="inlineStr">
        <is>
          <t>Locked</t>
        </is>
      </c>
      <c r="C60" s="12" t="n">
        <v>492046</v>
      </c>
    </row>
    <row r="61">
      <c r="A61" s="17" t="inlineStr">
        <is>
          <t>2026-09-25</t>
        </is>
      </c>
      <c r="B61" s="17" t="inlineStr">
        <is>
          <t>Locked</t>
        </is>
      </c>
      <c r="C61" s="12" t="n">
        <v>494235</v>
      </c>
    </row>
    <row r="62">
      <c r="A62" s="17" t="inlineStr">
        <is>
          <t>2026-09-26</t>
        </is>
      </c>
      <c r="B62" s="17" t="inlineStr">
        <is>
          <t>Locked</t>
        </is>
      </c>
      <c r="C62" s="12" t="n">
        <v>495165</v>
      </c>
    </row>
    <row r="63">
      <c r="A63" s="17" t="inlineStr">
        <is>
          <t>2026-09-27</t>
        </is>
      </c>
      <c r="B63" s="17" t="inlineStr">
        <is>
          <t>Locked</t>
        </is>
      </c>
      <c r="C63" s="12" t="n">
        <v>496095</v>
      </c>
    </row>
    <row r="64">
      <c r="A64" s="17" t="inlineStr">
        <is>
          <t>2026-09-28</t>
        </is>
      </c>
      <c r="B64" s="17" t="inlineStr">
        <is>
          <t>Locked</t>
        </is>
      </c>
      <c r="C64" s="12" t="n">
        <v>498284</v>
      </c>
    </row>
    <row r="65">
      <c r="A65" s="17" t="inlineStr">
        <is>
          <t>2026-09-29</t>
        </is>
      </c>
      <c r="B65" s="17" t="inlineStr">
        <is>
          <t>Locked</t>
        </is>
      </c>
      <c r="C65" s="12" t="n">
        <v>500473</v>
      </c>
    </row>
    <row r="66">
      <c r="A66" s="17" t="inlineStr">
        <is>
          <t>2026-09-30</t>
        </is>
      </c>
      <c r="B66" s="17" t="inlineStr">
        <is>
          <t>Locked</t>
        </is>
      </c>
      <c r="C66" s="12" t="n">
        <v>480780</v>
      </c>
    </row>
    <row r="67">
      <c r="A67" s="17" t="inlineStr">
        <is>
          <t>2026-10-01</t>
        </is>
      </c>
      <c r="B67" s="17" t="inlineStr">
        <is>
          <t>Provisional</t>
        </is>
      </c>
      <c r="C67" s="12" t="n">
        <v>433743</v>
      </c>
    </row>
    <row r="68">
      <c r="A68" s="17" t="inlineStr">
        <is>
          <t>2026-10-02</t>
        </is>
      </c>
      <c r="B68" s="17" t="inlineStr">
        <is>
          <t>Provisional</t>
        </is>
      </c>
      <c r="C68" s="12" t="n">
        <v>435531</v>
      </c>
    </row>
    <row r="69">
      <c r="A69" s="17" t="inlineStr">
        <is>
          <t>2026-10-03</t>
        </is>
      </c>
      <c r="B69" s="17" t="inlineStr">
        <is>
          <t>Provisional</t>
        </is>
      </c>
      <c r="C69" s="12" t="n">
        <v>436080</v>
      </c>
    </row>
    <row r="70">
      <c r="A70" s="17" t="inlineStr">
        <is>
          <t>2026-10-04</t>
        </is>
      </c>
      <c r="B70" s="17" t="inlineStr">
        <is>
          <t>Provisional</t>
        </is>
      </c>
      <c r="C70" s="12" t="n">
        <v>436629</v>
      </c>
    </row>
    <row r="71">
      <c r="A71" s="17" t="inlineStr">
        <is>
          <t>2026-10-05</t>
        </is>
      </c>
      <c r="B71" s="17" t="inlineStr">
        <is>
          <t>Provisional</t>
        </is>
      </c>
      <c r="C71" s="12" t="n">
        <v>437178</v>
      </c>
    </row>
    <row r="72">
      <c r="A72" s="17" t="inlineStr">
        <is>
          <t>2026-10-06</t>
        </is>
      </c>
      <c r="B72" s="17" t="inlineStr">
        <is>
          <t>Incomplete</t>
        </is>
      </c>
      <c r="C72" s="12" t="n">
        <v>438965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runway.xlsx&amp;C&amp;8 Data retrieved 2pm, Tue 6 Oct 2026&amp;R&amp;8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