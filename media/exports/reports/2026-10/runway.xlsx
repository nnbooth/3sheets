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'Report'!$B$8</definedName>
    <definedName name="Target">'Report'!$B$9</definedName>
    <definedName name="Gap">'Report'!$B$10</definedName>
    <definedName name="Runway_in_September">'Report'!$B$11</definedName>
    <definedName name="_xlnm.Print_Area" localSheetId="0">'Report'!$A$1:$D$19</definedName>
    <definedName name="_xlnm.Print_Area" localSheetId="1">'Workings'!$A$1:$B$48</definedName>
    <definedName name="_xlnm.Print_Titles" localSheetId="2">'Data'!$5:$5</definedName>
    <definedName name="_xlnm.Print_Area" localSheetId="2">'Data'!$A$1:$C$72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'Data'!$A$6:$A$72</f>
            </numRef>
          </cat>
          <val>
            <numRef>
              <f>'Data'!$C$6:$C$72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72" headerRowCount="1">
  <autoFilter ref="A5:C72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 and GST and PAYG owed to the ATO,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Workings!B13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Workings!B25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Workings!B36</f>
        <v/>
      </c>
      <c r="C10" s="7" t="inlineStr">
        <is>
          <t>to reach the target</t>
        </is>
      </c>
    </row>
    <row r="11">
      <c r="A11" t="inlineStr">
        <is>
          <t>Runway in September</t>
        </is>
      </c>
      <c r="B11" s="6">
        <f>Workings!B47</f>
        <v/>
      </c>
      <c r="C11" s="7" t="inlineStr">
        <is>
          <t>at September's rate of spending</t>
        </is>
      </c>
    </row>
    <row r="12"/>
    <row r="13">
      <c r="A13" s="9" t="inlineStr">
        <is>
          <t>Cash at bank, every day (1 Aug to 6 Oct):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3" t="inlineStr">
        <is>
          <t>Unrestricted cash ($281,667, after setting aside unspent grant money) would cover 1.7 months of spending at September's rate of spending, short of the 3.0 months target by $207,033.</t>
        </is>
      </c>
    </row>
    <row r="17"/>
    <row r="18">
      <c r="A18" s="10" t="inlineStr">
        <is>
          <t>What you'd do about it</t>
        </is>
      </c>
    </row>
    <row r="19" ht="30" customHeight="1">
      <c r="A19" s="3" t="inlineStr">
        <is>
          <t>A reserves plan is the usual next step: how much of each month's surplus goes to reserves, and by when the gap is closed.</t>
        </is>
      </c>
    </row>
    <row r="20"/>
    <row r="21"/>
  </sheetData>
  <mergeCells count="3">
    <mergeCell ref="A5:D5"/>
    <mergeCell ref="A19:D19"/>
    <mergeCell ref="A16:D1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>
      <c r="A5" s="11" t="inlineStr">
        <is>
          <t>Unrestricted cash runway, October 2026</t>
        </is>
      </c>
    </row>
    <row r="6">
      <c r="A6" s="9" t="inlineStr">
        <is>
          <t>(Cash at bank − unspent grant money − GST and PAYG owed to the ATO) ÷ a month's cash spending</t>
        </is>
      </c>
    </row>
    <row r="7">
      <c r="A7" s="4" t="inlineStr"/>
      <c r="B7" s="5" t="inlineStr">
        <is>
          <t>Oct 2026</t>
        </is>
      </c>
    </row>
    <row r="8">
      <c r="A8" t="inlineStr">
        <is>
          <t>Cash at bank</t>
        </is>
      </c>
      <c r="B8" s="12" t="n">
        <v>496243</v>
      </c>
    </row>
    <row r="9">
      <c r="A9" t="inlineStr">
        <is>
          <t>Less unspent grant money (belongs to funders' programs)</t>
        </is>
      </c>
      <c r="B9" s="12" t="n">
        <v>-149053</v>
      </c>
    </row>
    <row r="10">
      <c r="A10" t="inlineStr">
        <is>
          <t>Less GST and PAYG withheld owed to the ATO (paid with the BAS)</t>
        </is>
      </c>
      <c r="B10" s="12" t="n">
        <v>-65523</v>
      </c>
    </row>
    <row r="11">
      <c r="A11" t="inlineStr">
        <is>
          <t>Unrestricted cash</t>
        </is>
      </c>
      <c r="B11" s="12">
        <f>B8+B9+B10</f>
        <v/>
      </c>
    </row>
    <row r="12">
      <c r="A12" t="inlineStr">
        <is>
          <t>Cash spending in September (expenses less depreciation)</t>
        </is>
      </c>
      <c r="B12" s="12" t="n">
        <v>162900</v>
      </c>
    </row>
    <row r="13">
      <c r="A13" s="13" t="inlineStr">
        <is>
          <t>Runway</t>
        </is>
      </c>
      <c r="B13" s="14">
        <f>B11/B12</f>
        <v/>
      </c>
    </row>
    <row r="14">
      <c r="A14" s="2" t="inlineStr">
        <is>
          <t>October is still in progress, so the rate of spending is September's, and what's owed to the ATO is at 30 September. Reserves target: 3.0 months.</t>
        </is>
      </c>
    </row>
    <row r="15"/>
    <row r="16"/>
    <row r="17">
      <c r="A17" s="11" t="inlineStr">
        <is>
          <t>Reserves: how far from 3.0 months?</t>
        </is>
      </c>
    </row>
    <row r="18">
      <c r="A18" s="9" t="inlineStr">
        <is>
          <t>Target months × monthly cash spending − unrestricted cash</t>
        </is>
      </c>
    </row>
    <row r="19">
      <c r="A19" s="4" t="inlineStr"/>
      <c r="B19" s="5" t="inlineStr">
        <is>
          <t>Oct 2026</t>
        </is>
      </c>
    </row>
    <row r="20">
      <c r="A20" t="inlineStr">
        <is>
          <t>Unrestricted cash</t>
        </is>
      </c>
      <c r="B20" s="12" t="n">
        <v>281667</v>
      </c>
    </row>
    <row r="21">
      <c r="A21" t="inlineStr">
        <is>
          <t>A month's cash spending</t>
        </is>
      </c>
      <c r="B21" s="12" t="n">
        <v>162900</v>
      </c>
    </row>
    <row r="22">
      <c r="A22" t="inlineStr">
        <is>
          <t>Runway</t>
        </is>
      </c>
      <c r="B22" s="15">
        <f>B20/B21</f>
        <v/>
      </c>
    </row>
    <row r="23">
      <c r="A23" t="inlineStr">
        <is>
          <t>Reserves target</t>
        </is>
      </c>
      <c r="B23" s="15" t="n">
        <v>3</v>
      </c>
    </row>
    <row r="24">
      <c r="A24" t="inlineStr">
        <is>
          <t>Cash needed for the target</t>
        </is>
      </c>
      <c r="B24" s="12">
        <f>B23*B21</f>
        <v/>
      </c>
    </row>
    <row r="25">
      <c r="A25" s="13" t="inlineStr">
        <is>
          <t>Gap to the target</t>
        </is>
      </c>
      <c r="B25" s="16">
        <f>B24-B20</f>
        <v/>
      </c>
    </row>
    <row r="26"/>
    <row r="27"/>
    <row r="28">
      <c r="A28" s="11" t="inlineStr">
        <is>
          <t>Reserves: how far from 3.0 months?</t>
        </is>
      </c>
    </row>
    <row r="29">
      <c r="A29" s="9" t="inlineStr">
        <is>
          <t>Target months × monthly cash spending − unrestricted cash</t>
        </is>
      </c>
    </row>
    <row r="30">
      <c r="A30" s="4" t="inlineStr"/>
      <c r="B30" s="5" t="inlineStr">
        <is>
          <t>Oct 2026</t>
        </is>
      </c>
    </row>
    <row r="31">
      <c r="A31" t="inlineStr">
        <is>
          <t>Unrestricted cash</t>
        </is>
      </c>
      <c r="B31" s="12" t="n">
        <v>281667</v>
      </c>
    </row>
    <row r="32">
      <c r="A32" t="inlineStr">
        <is>
          <t>A month's cash spending</t>
        </is>
      </c>
      <c r="B32" s="12" t="n">
        <v>162900</v>
      </c>
    </row>
    <row r="33">
      <c r="A33" t="inlineStr">
        <is>
          <t>Runway</t>
        </is>
      </c>
      <c r="B33" s="15">
        <f>B31/B32</f>
        <v/>
      </c>
    </row>
    <row r="34">
      <c r="A34" t="inlineStr">
        <is>
          <t>Reserves target</t>
        </is>
      </c>
      <c r="B34" s="15" t="n">
        <v>3</v>
      </c>
    </row>
    <row r="35">
      <c r="A35" t="inlineStr">
        <is>
          <t>Cash needed for the target</t>
        </is>
      </c>
      <c r="B35" s="12">
        <f>B34*B32</f>
        <v/>
      </c>
    </row>
    <row r="36">
      <c r="A36" s="13" t="inlineStr">
        <is>
          <t>Gap to the target</t>
        </is>
      </c>
      <c r="B36" s="16">
        <f>B35-B31</f>
        <v/>
      </c>
    </row>
    <row r="37"/>
    <row r="38"/>
    <row r="39">
      <c r="A39" s="11" t="inlineStr">
        <is>
          <t>Unrestricted cash runway, September 2026</t>
        </is>
      </c>
    </row>
    <row r="40">
      <c r="A40" s="9" t="inlineStr">
        <is>
          <t>(Cash at bank − unspent grant money − GST and PAYG owed to the ATO) ÷ a month's cash spending</t>
        </is>
      </c>
    </row>
    <row r="41">
      <c r="A41" s="4" t="inlineStr"/>
      <c r="B41" s="5" t="inlineStr">
        <is>
          <t>Sep 2026</t>
        </is>
      </c>
    </row>
    <row r="42">
      <c r="A42" t="inlineStr">
        <is>
          <t>Cash at bank</t>
        </is>
      </c>
      <c r="B42" s="12" t="n">
        <v>527060</v>
      </c>
    </row>
    <row r="43">
      <c r="A43" t="inlineStr">
        <is>
          <t>Less unspent grant money (belongs to funders' programs)</t>
        </is>
      </c>
      <c r="B43" s="12" t="n">
        <v>-156100</v>
      </c>
    </row>
    <row r="44">
      <c r="A44" t="inlineStr">
        <is>
          <t>Less GST and PAYG withheld owed to the ATO (paid with the BAS)</t>
        </is>
      </c>
      <c r="B44" s="12" t="n">
        <v>-65523</v>
      </c>
    </row>
    <row r="45">
      <c r="A45" t="inlineStr">
        <is>
          <t>Unrestricted cash</t>
        </is>
      </c>
      <c r="B45" s="12">
        <f>B42+B43+B44</f>
        <v/>
      </c>
    </row>
    <row r="46">
      <c r="A46" t="inlineStr">
        <is>
          <t>Cash spending in September (expenses less depreciation)</t>
        </is>
      </c>
      <c r="B46" s="12" t="n">
        <v>162900</v>
      </c>
    </row>
    <row r="47">
      <c r="A47" s="13" t="inlineStr">
        <is>
          <t>Runway</t>
        </is>
      </c>
      <c r="B47" s="14">
        <f>B45/B46</f>
        <v/>
      </c>
    </row>
    <row r="48">
      <c r="A48" s="2" t="inlineStr">
        <is>
          <t>Reserves target: 3.0 months.</t>
        </is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7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9 Oct 2026, 8:56am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610000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610000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612356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614712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617068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582091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584447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584447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584447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586803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589159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589159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591515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593871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593871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593871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577977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580332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582687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547709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550064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550064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550064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552419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554774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557129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559484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561839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561839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561839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547394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550048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552702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518023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520677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520677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520677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523330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525983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528636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531289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533942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533942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533942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536595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513659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516312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481632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484285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484285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484285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532698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535351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538004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540657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543310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543310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543310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545963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548616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527060</v>
      </c>
    </row>
    <row r="67">
      <c r="A67" s="17" t="inlineStr">
        <is>
          <t>2026-10-01</t>
        </is>
      </c>
      <c r="B67" s="17" t="inlineStr">
        <is>
          <t>Provisional</t>
        </is>
      </c>
      <c r="C67" s="12" t="n">
        <v>491899</v>
      </c>
    </row>
    <row r="68">
      <c r="A68" s="17" t="inlineStr">
        <is>
          <t>2026-10-02</t>
        </is>
      </c>
      <c r="B68" s="17" t="inlineStr">
        <is>
          <t>Provisional</t>
        </is>
      </c>
      <c r="C68" s="12" t="n">
        <v>494071</v>
      </c>
    </row>
    <row r="69">
      <c r="A69" s="17" t="inlineStr">
        <is>
          <t>2026-10-03</t>
        </is>
      </c>
      <c r="B69" s="17" t="inlineStr">
        <is>
          <t>Provisional</t>
        </is>
      </c>
      <c r="C69" s="12" t="n">
        <v>494071</v>
      </c>
    </row>
    <row r="70">
      <c r="A70" s="17" t="inlineStr">
        <is>
          <t>2026-10-04</t>
        </is>
      </c>
      <c r="B70" s="17" t="inlineStr">
        <is>
          <t>Provisional</t>
        </is>
      </c>
      <c r="C70" s="12" t="n">
        <v>494071</v>
      </c>
    </row>
    <row r="71">
      <c r="A71" s="17" t="inlineStr">
        <is>
          <t>2026-10-05</t>
        </is>
      </c>
      <c r="B71" s="17" t="inlineStr">
        <is>
          <t>Provisional</t>
        </is>
      </c>
      <c r="C71" s="12" t="n">
        <v>494071</v>
      </c>
    </row>
    <row r="72">
      <c r="A72" s="17" t="inlineStr">
        <is>
          <t>2026-10-06</t>
        </is>
      </c>
      <c r="B72" s="17" t="inlineStr">
        <is>
          <t>Incomplete</t>
        </is>
      </c>
      <c r="C72" s="12" t="n">
        <v>496243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9 Oct 2026, 8:56am&amp;R&amp;"Roboto,Regular"&amp;8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2026-10-08T22:57:46Z</dcterms:created>
  <dcterms:modified xmlns:dcterms="http://purl.org/dc/terms/" xmlns:xsi="http://www.w3.org/2001/XMLSchema-instance" xsi:type="dcterms:W3CDTF">2026-10-08T22:57:46Z</dcterms:modified>
</cp:coreProperties>
</file>