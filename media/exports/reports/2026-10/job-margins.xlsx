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September 36.1%</t>
        </is>
      </c>
    </row>
    <row r="16"/>
    <row r="17">
      <c r="A17" s="10" t="inlineStr">
        <is>
          <t>Job gross margin by type of job, October 2026 to date</t>
        </is>
      </c>
    </row>
    <row r="18">
      <c r="A18" s="6" t="inlineStr"/>
      <c r="B18" s="7" t="inlineStr">
        <is>
          <t>Gross margin %</t>
        </is>
      </c>
      <c r="C18" s="7" t="inlineStr">
        <is>
          <t>Gross margin $</t>
        </is>
      </c>
    </row>
    <row r="19">
      <c r="A19" t="inlineStr">
        <is>
          <t>Maintenance contracts</t>
        </is>
      </c>
      <c r="B19" s="8">
        <f>Workings!B38</f>
        <v/>
      </c>
      <c r="C19" s="11">
        <f>Workings!B37</f>
        <v/>
      </c>
    </row>
    <row r="20">
      <c r="A20" t="inlineStr">
        <is>
          <t>Installations</t>
        </is>
      </c>
      <c r="B20" s="8">
        <f>Workings!B47</f>
        <v/>
      </c>
      <c r="C20" s="11">
        <f>Workings!B46</f>
        <v/>
      </c>
    </row>
    <row r="21">
      <c r="A21" t="inlineStr">
        <is>
          <t>Call-outs and repairs</t>
        </is>
      </c>
      <c r="B21" s="8">
        <f>Workings!B56</f>
        <v/>
      </c>
      <c r="C21" s="11">
        <f>Workings!B55</f>
        <v/>
      </c>
    </row>
    <row r="22"/>
    <row r="23">
      <c r="A23" s="4" t="inlineStr">
        <is>
          <t>What it shows</t>
        </is>
      </c>
    </row>
    <row r="24" ht="45" customHeight="1">
      <c r="A24" s="3" t="inlineStr">
        <is>
          <t>In October so far maintenance contracts made a 59.5% job gross margin, installations made a 22.0% job gross margin, call-outs and repairs made a 45.0%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22.0%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so far · Maintenance contracts</t>
        </is>
      </c>
      <c r="B31" s="8">
        <f>Workings!B65</f>
        <v/>
      </c>
      <c r="C31" s="9" t="inlineStr">
        <is>
          <t>September 59.5%</t>
        </is>
      </c>
    </row>
    <row r="32"/>
    <row r="33">
      <c r="A33" s="10" t="inlineStr">
        <is>
          <t>Job gross margin on each maintenance contract, October 2026 to date</t>
        </is>
      </c>
    </row>
    <row r="34">
      <c r="A34" s="6" t="inlineStr"/>
      <c r="B34" s="7" t="inlineStr">
        <is>
          <t>Gross margin %</t>
        </is>
      </c>
      <c r="C34" s="7" t="inlineStr">
        <is>
          <t>Gross margin $</t>
        </is>
      </c>
    </row>
    <row r="35">
      <c r="A35" t="inlineStr">
        <is>
          <t>Carindale vet clinic</t>
        </is>
      </c>
      <c r="B35" s="8">
        <f>Workings!B79</f>
        <v/>
      </c>
      <c r="C35" s="11">
        <f>Workings!B78</f>
        <v/>
      </c>
    </row>
    <row r="36">
      <c r="A36" t="inlineStr">
        <is>
          <t>Wynnum medical centre</t>
        </is>
      </c>
      <c r="B36" s="8">
        <f>Workings!B92</f>
        <v/>
      </c>
      <c r="C36" s="11">
        <f>Workings!B91</f>
        <v/>
      </c>
    </row>
    <row r="37">
      <c r="A37" t="inlineStr">
        <is>
          <t>Southbank cafe group</t>
        </is>
      </c>
      <c r="B37" s="8">
        <f>Workings!B105</f>
        <v/>
      </c>
      <c r="C37" s="11">
        <f>Workings!B104</f>
        <v/>
      </c>
    </row>
    <row r="38">
      <c r="A38" t="inlineStr">
        <is>
          <t>Ashgrove aged care</t>
        </is>
      </c>
      <c r="B38" s="8">
        <f>Workings!B118</f>
        <v/>
      </c>
      <c r="C38" s="11">
        <f>Workings!B117</f>
        <v/>
      </c>
    </row>
    <row r="39">
      <c r="A39" t="inlineStr">
        <is>
          <t>Fortitude Valley hotel</t>
        </is>
      </c>
      <c r="B39" s="8">
        <f>Workings!B131</f>
        <v/>
      </c>
      <c r="C39" s="11">
        <f>Workings!B130</f>
        <v/>
      </c>
    </row>
    <row r="40">
      <c r="A40" t="inlineStr">
        <is>
          <t>Riverside Apartments (strata)</t>
        </is>
      </c>
      <c r="B40" s="8">
        <f>Workings!B144</f>
        <v/>
      </c>
      <c r="C40" s="11">
        <f>Workings!B143</f>
        <v/>
      </c>
    </row>
    <row r="41">
      <c r="A41" t="inlineStr">
        <is>
          <t>Newstead gym</t>
        </is>
      </c>
      <c r="B41" s="8">
        <f>Workings!B157</f>
        <v/>
      </c>
      <c r="C41" s="11">
        <f>Workings!B156</f>
        <v/>
      </c>
    </row>
    <row r="42">
      <c r="A42" t="inlineStr">
        <is>
          <t>Chermside retail centre</t>
        </is>
      </c>
      <c r="B42" s="8">
        <f>Workings!B170</f>
        <v/>
      </c>
      <c r="C42" s="11">
        <f>Workings!B169</f>
        <v/>
      </c>
    </row>
    <row r="43">
      <c r="A43" t="inlineStr">
        <is>
          <t>Wacol logistics depot</t>
        </is>
      </c>
      <c r="B43" s="8">
        <f>Workings!B183</f>
        <v/>
      </c>
      <c r="C43" s="11">
        <f>Workings!B182</f>
        <v/>
      </c>
    </row>
    <row r="44">
      <c r="A44" t="inlineStr">
        <is>
          <t>Milton office tower</t>
        </is>
      </c>
      <c r="B44" s="8">
        <f>Workings!B196</f>
        <v/>
      </c>
      <c r="C44" s="11">
        <f>Workings!B195</f>
        <v/>
      </c>
    </row>
    <row r="45">
      <c r="A45" t="inlineStr">
        <is>
          <t>Bulimba school</t>
        </is>
      </c>
      <c r="B45" s="8">
        <f>Workings!B209</f>
        <v/>
      </c>
      <c r="C45" s="11">
        <f>Workings!B208</f>
        <v/>
      </c>
    </row>
    <row r="46">
      <c r="A46" t="inlineStr">
        <is>
          <t>West End brewery</t>
        </is>
      </c>
      <c r="B46" s="8">
        <f>Workings!B222</f>
        <v/>
      </c>
      <c r="C46" s="11">
        <f>Workings!B221</f>
        <v/>
      </c>
    </row>
    <row r="47">
      <c r="A47" t="inlineStr">
        <is>
          <t>Rocklea factory</t>
        </is>
      </c>
      <c r="B47" s="8">
        <f>Workings!B235</f>
        <v/>
      </c>
      <c r="C47" s="11">
        <f>Workings!B234</f>
        <v/>
      </c>
    </row>
    <row r="48">
      <c r="A48" t="inlineStr">
        <is>
          <t>Kangaroo Point townhouses</t>
        </is>
      </c>
      <c r="B48" s="8">
        <f>Workings!B248</f>
        <v/>
      </c>
      <c r="C48" s="11">
        <f>Workings!B247</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October so far · Installations</t>
        </is>
      </c>
      <c r="B58" s="8">
        <f>Workings!B257</f>
        <v/>
      </c>
      <c r="C58" s="9" t="inlineStr">
        <is>
          <t>September 27.0%</t>
        </is>
      </c>
    </row>
    <row r="59"/>
    <row r="60">
      <c r="A60" s="10" t="inlineStr">
        <is>
          <t>Job gross margin on each installation invoiced in October 2026 to date</t>
        </is>
      </c>
    </row>
    <row r="61">
      <c r="A61" s="6" t="inlineStr"/>
      <c r="B61" s="7" t="inlineStr">
        <is>
          <t>Gross margin %</t>
        </is>
      </c>
      <c r="C61" s="7" t="inlineStr">
        <is>
          <t>Gross margin $</t>
        </is>
      </c>
    </row>
    <row r="62">
      <c r="A62" t="inlineStr">
        <is>
          <t>Morningside house air-con install</t>
        </is>
      </c>
      <c r="B62" s="8">
        <f>Workings!B271</f>
        <v/>
      </c>
      <c r="C62" s="11">
        <f>Workings!B270</f>
        <v/>
      </c>
    </row>
    <row r="63"/>
    <row r="64">
      <c r="A64" s="4" t="inlineStr">
        <is>
          <t>What it shows</t>
        </is>
      </c>
    </row>
    <row r="65" ht="60" customHeight="1">
      <c r="A65" s="3" t="inlineStr">
        <is>
          <t>1 of the 1 installation jobs invoiced in October so far made less than the 35.0% job gross margin target. The Morningside house air-con install made a 22.0% job gross margin: 131.5 h of technician time ($8,942) and $2,300 of subcontractors on a $33,000 job. Jobs need 31.1% gross margin just to cover overheads.</t>
        </is>
      </c>
    </row>
    <row r="66"/>
    <row r="67">
      <c r="A67" s="4" t="inlineStr">
        <is>
          <t>What you'd do about it</t>
        </is>
      </c>
    </row>
    <row r="68" ht="30" customHeight="1">
      <c r="A68" s="3" t="inlineStr">
        <is>
          <t>Below the 31.1% overheads need: Morningside house air-con install (22.0%). Most profitable: Morningside house air-con install (22.0%).</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so far · Call-outs and repairs</t>
        </is>
      </c>
      <c r="B72" s="8">
        <f>Workings!B280</f>
        <v/>
      </c>
      <c r="C72" s="9" t="inlineStr">
        <is>
          <t>September 43.9%</t>
        </is>
      </c>
    </row>
    <row r="73"/>
    <row r="74">
      <c r="A74" s="10" t="inlineStr">
        <is>
          <t>Job gross margin on call-outs by length, October 2026 to date</t>
        </is>
      </c>
    </row>
    <row r="75">
      <c r="A75" s="6" t="inlineStr"/>
      <c r="B75" s="7" t="inlineStr">
        <is>
          <t>Gross margin %</t>
        </is>
      </c>
      <c r="C75" s="7" t="inlineStr">
        <is>
          <t>Gross margin $</t>
        </is>
      </c>
    </row>
    <row r="76">
      <c r="A76" t="inlineStr">
        <is>
          <t>1-hour call-outs (2)</t>
        </is>
      </c>
      <c r="B76" s="8">
        <f>Workings!B292</f>
        <v/>
      </c>
      <c r="C76" s="11">
        <f>Workings!B291</f>
        <v/>
      </c>
    </row>
    <row r="77">
      <c r="A77" t="inlineStr">
        <is>
          <t>1.5-hour call-outs (1)</t>
        </is>
      </c>
      <c r="B77" s="8">
        <f>Workings!B303</f>
        <v/>
      </c>
      <c r="C77" s="11">
        <f>Workings!B302</f>
        <v/>
      </c>
    </row>
    <row r="78">
      <c r="A78" t="inlineStr">
        <is>
          <t>2.5-hour call-outs (1)</t>
        </is>
      </c>
      <c r="B78" s="8">
        <f>Workings!B314</f>
        <v/>
      </c>
      <c r="C78" s="11">
        <f>Workings!B313</f>
        <v/>
      </c>
    </row>
    <row r="79">
      <c r="A79" t="inlineStr">
        <is>
          <t>3-hour call-outs (1)</t>
        </is>
      </c>
      <c r="B79" s="8">
        <f>Workings!B325</f>
        <v/>
      </c>
      <c r="C79" s="11">
        <f>Workings!B324</f>
        <v/>
      </c>
    </row>
    <row r="80">
      <c r="A80" t="inlineStr">
        <is>
          <t>4-hour call-outs (2)</t>
        </is>
      </c>
      <c r="B80" s="8">
        <f>Workings!B336</f>
        <v/>
      </c>
      <c r="C80" s="11">
        <f>Workings!B335</f>
        <v/>
      </c>
    </row>
    <row r="81"/>
    <row r="82">
      <c r="A82" s="4" t="inlineStr">
        <is>
          <t>What it shows</t>
        </is>
      </c>
    </row>
    <row r="83" ht="45" customHeight="1">
      <c r="A83" s="3" t="inlineStr">
        <is>
          <t>7 call-outs in October so far made a 45.0% job gross margin between them. Gross margins run from 41.0% to 48.1% by length: the hourly rate covers technician time comfortably, so the gross margin mostly moves with how much material goes on the van.</t>
        </is>
      </c>
    </row>
    <row r="84"/>
    <row r="85">
      <c r="A85" s="4" t="inlineStr">
        <is>
          <t>What you'd do about it</t>
        </is>
      </c>
    </row>
    <row r="86" ht="30" customHeight="1">
      <c r="A86" s="3" t="inlineStr">
        <is>
          <t>Call-outs: 45.0% gross margin, 13.9 points clear of the 31.1% overheads need.</t>
        </is>
      </c>
    </row>
    <row r="87"/>
    <row r="88">
      <c r="A88" s="5" t="inlineStr">
        <is>
          <t>Every type of job at once</t>
        </is>
      </c>
    </row>
    <row r="89">
      <c r="A89" s="12" t="inlineStr">
        <is>
          <t>Job gross margin by month: every month is on the Data sheet.</t>
        </is>
      </c>
    </row>
    <row r="90"/>
    <row r="91"/>
  </sheetData>
  <mergeCells count="11">
    <mergeCell ref="A5:D5"/>
    <mergeCell ref="A27:D27"/>
    <mergeCell ref="A8:D8"/>
    <mergeCell ref="A83:D83"/>
    <mergeCell ref="A54:D54"/>
    <mergeCell ref="A86:D86"/>
    <mergeCell ref="A65:D65"/>
    <mergeCell ref="A24:D24"/>
    <mergeCell ref="A51:D51"/>
    <mergeCell ref="A11:D11"/>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33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5" t="inlineStr">
        <is>
          <t>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76875</v>
      </c>
      <c r="C25" s="13" t="n">
        <v>202337</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Maintenance contracts, October so far</t>
        </is>
      </c>
    </row>
    <row r="33">
      <c r="A33" s="12" t="inlineStr">
        <is>
          <t>Revenue less direct cost (materials, subcontractors, technician time at cost)</t>
        </is>
      </c>
    </row>
    <row r="34">
      <c r="A34" s="6" t="inlineStr"/>
      <c r="B34" s="7" t="inlineStr">
        <is>
          <t>Oct 2026</t>
        </is>
      </c>
    </row>
    <row r="35">
      <c r="A35" t="inlineStr">
        <is>
          <t>Revenue</t>
        </is>
      </c>
      <c r="B35" s="13" t="n">
        <v>40500</v>
      </c>
    </row>
    <row r="36">
      <c r="A36" t="inlineStr">
        <is>
          <t>Direct cost</t>
        </is>
      </c>
      <c r="B36" s="13" t="n">
        <v>16384</v>
      </c>
    </row>
    <row r="37">
      <c r="A37" t="inlineStr">
        <is>
          <t>Gross margin</t>
        </is>
      </c>
      <c r="B37" s="13">
        <f>B35-B36</f>
        <v/>
      </c>
    </row>
    <row r="38">
      <c r="A38" s="15" t="inlineStr">
        <is>
          <t>Gross margin %</t>
        </is>
      </c>
      <c r="B38" s="16">
        <f>B37/B35</f>
        <v/>
      </c>
    </row>
    <row r="39"/>
    <row r="40"/>
    <row r="41">
      <c r="A41" s="5" t="inlineStr">
        <is>
          <t>Installations, October so far</t>
        </is>
      </c>
    </row>
    <row r="42">
      <c r="A42" s="12" t="inlineStr">
        <is>
          <t>Revenue less direct cost (materials, subcontractors, technician time at cost)</t>
        </is>
      </c>
    </row>
    <row r="43">
      <c r="A43" s="6" t="inlineStr"/>
      <c r="B43" s="7" t="inlineStr">
        <is>
          <t>Oct 2026</t>
        </is>
      </c>
    </row>
    <row r="44">
      <c r="A44" t="inlineStr">
        <is>
          <t>Revenue</t>
        </is>
      </c>
      <c r="B44" s="13" t="n">
        <v>33000</v>
      </c>
    </row>
    <row r="45">
      <c r="A45" t="inlineStr">
        <is>
          <t>Direct cost</t>
        </is>
      </c>
      <c r="B45" s="13" t="n">
        <v>25742</v>
      </c>
    </row>
    <row r="46">
      <c r="A46" t="inlineStr">
        <is>
          <t>Gross margin</t>
        </is>
      </c>
      <c r="B46" s="13">
        <f>B44-B45</f>
        <v/>
      </c>
    </row>
    <row r="47">
      <c r="A47" s="15" t="inlineStr">
        <is>
          <t>Gross margin %</t>
        </is>
      </c>
      <c r="B47" s="16">
        <f>B46/B44</f>
        <v/>
      </c>
    </row>
    <row r="48"/>
    <row r="49"/>
    <row r="50">
      <c r="A50" s="5" t="inlineStr">
        <is>
          <t>Call-outs and repairs, October so far</t>
        </is>
      </c>
    </row>
    <row r="51">
      <c r="A51" s="12" t="inlineStr">
        <is>
          <t>Revenue less direct cost (materials, subcontractors, technician time at cost)</t>
        </is>
      </c>
    </row>
    <row r="52">
      <c r="A52" s="6" t="inlineStr"/>
      <c r="B52" s="7" t="inlineStr">
        <is>
          <t>Oct 2026</t>
        </is>
      </c>
    </row>
    <row r="53">
      <c r="A53" t="inlineStr">
        <is>
          <t>Revenue</t>
        </is>
      </c>
      <c r="B53" s="13" t="n">
        <v>3375</v>
      </c>
    </row>
    <row r="54">
      <c r="A54" t="inlineStr">
        <is>
          <t>Direct cost</t>
        </is>
      </c>
      <c r="B54" s="13" t="n">
        <v>1856</v>
      </c>
    </row>
    <row r="55">
      <c r="A55" t="inlineStr">
        <is>
          <t>Gross margin</t>
        </is>
      </c>
      <c r="B55" s="13">
        <f>B53-B54</f>
        <v/>
      </c>
    </row>
    <row r="56">
      <c r="A56" s="15" t="inlineStr">
        <is>
          <t>Gross margin %</t>
        </is>
      </c>
      <c r="B56" s="16">
        <f>B55/B53</f>
        <v/>
      </c>
    </row>
    <row r="57"/>
    <row r="58"/>
    <row r="59">
      <c r="A59" s="5" t="inlineStr">
        <is>
          <t>Maintenance contracts: gross margin, October and September</t>
        </is>
      </c>
    </row>
    <row r="60">
      <c r="A60" s="12" t="inlineStr">
        <is>
          <t>Revenue less direct cost, over revenue. Before overheads.</t>
        </is>
      </c>
    </row>
    <row r="61">
      <c r="A61" s="6" t="inlineStr"/>
      <c r="B61" s="7" t="inlineStr">
        <is>
          <t>Oct 26</t>
        </is>
      </c>
      <c r="C61" s="7" t="inlineStr">
        <is>
          <t>Sep 26</t>
        </is>
      </c>
    </row>
    <row r="62">
      <c r="A62" t="inlineStr">
        <is>
          <t>Revenue</t>
        </is>
      </c>
      <c r="B62" s="13" t="n">
        <v>40500</v>
      </c>
      <c r="C62" s="13" t="n">
        <v>40500</v>
      </c>
    </row>
    <row r="63">
      <c r="A63" t="inlineStr">
        <is>
          <t>Direct cost</t>
        </is>
      </c>
      <c r="B63" s="13" t="n">
        <v>16384</v>
      </c>
      <c r="C63" s="13" t="n">
        <v>16384</v>
      </c>
    </row>
    <row r="64">
      <c r="A64" t="inlineStr">
        <is>
          <t>Gross margin</t>
        </is>
      </c>
      <c r="B64" s="13">
        <f>B62-B63</f>
        <v/>
      </c>
      <c r="C64" s="13">
        <f>C62-C63</f>
        <v/>
      </c>
    </row>
    <row r="65">
      <c r="A65" s="15" t="inlineStr">
        <is>
          <t>Gross margin %</t>
        </is>
      </c>
      <c r="B65" s="16">
        <f>B64/B62</f>
        <v/>
      </c>
      <c r="C65" s="16">
        <f>C64/C62</f>
        <v/>
      </c>
    </row>
    <row r="66">
      <c r="A66" s="2" t="inlineStr">
        <is>
          <t>October is still in progress (data to 6 October), so it is a part month against full months.</t>
        </is>
      </c>
    </row>
    <row r="67"/>
    <row r="68"/>
    <row r="69">
      <c r="A69" s="5" t="inlineStr">
        <is>
          <t>Carindale vet clinic</t>
        </is>
      </c>
    </row>
    <row r="70">
      <c r="A70" s="12" t="inlineStr">
        <is>
          <t>Job gross margin ÷ revenue for this job (before overheads)</t>
        </is>
      </c>
    </row>
    <row r="71">
      <c r="A71" s="6" t="inlineStr"/>
      <c r="B71" s="7" t="inlineStr">
        <is>
          <t>This job</t>
        </is>
      </c>
    </row>
    <row r="72">
      <c r="A72" t="inlineStr">
        <is>
          <t>Revenue</t>
        </is>
      </c>
      <c r="B72" s="13" t="n">
        <v>1700</v>
      </c>
    </row>
    <row r="73">
      <c r="A73" t="inlineStr">
        <is>
          <t>Materials</t>
        </is>
      </c>
      <c r="B73" s="13" t="n">
        <v>-30</v>
      </c>
    </row>
    <row r="74">
      <c r="A74" t="inlineStr">
        <is>
          <t>Subcontractors</t>
        </is>
      </c>
      <c r="B74" s="13" t="n">
        <v>0</v>
      </c>
    </row>
    <row r="75">
      <c r="A75" t="inlineStr">
        <is>
          <t>Technician hours</t>
        </is>
      </c>
      <c r="B75" s="17" t="n">
        <v>9</v>
      </c>
    </row>
    <row r="76">
      <c r="A76" t="inlineStr">
        <is>
          <t>Technician cost rate ($/hour, wages and all on-costs)</t>
        </is>
      </c>
      <c r="B76" s="13" t="n">
        <v>68</v>
      </c>
    </row>
    <row r="77">
      <c r="A77" t="inlineStr">
        <is>
          <t>Technician time</t>
        </is>
      </c>
      <c r="B77" s="13">
        <f>-B75*B76</f>
        <v/>
      </c>
    </row>
    <row r="78">
      <c r="A78" t="inlineStr">
        <is>
          <t>Job gross margin</t>
        </is>
      </c>
      <c r="B78" s="13">
        <f>B72+B73+B74+B77</f>
        <v/>
      </c>
    </row>
    <row r="79">
      <c r="A79" s="15" t="inlineStr">
        <is>
          <t>Job gross margin %</t>
        </is>
      </c>
      <c r="B79" s="16">
        <f>B78/B72</f>
        <v/>
      </c>
    </row>
    <row r="80"/>
    <row r="81"/>
    <row r="82">
      <c r="A82" s="5" t="inlineStr">
        <is>
          <t>Wynnum medical centre</t>
        </is>
      </c>
    </row>
    <row r="83">
      <c r="A83" s="12" t="inlineStr">
        <is>
          <t>Job gross margin ÷ revenue for this job (before overheads)</t>
        </is>
      </c>
    </row>
    <row r="84">
      <c r="A84" s="6" t="inlineStr"/>
      <c r="B84" s="7" t="inlineStr">
        <is>
          <t>This job</t>
        </is>
      </c>
    </row>
    <row r="85">
      <c r="A85" t="inlineStr">
        <is>
          <t>Revenue</t>
        </is>
      </c>
      <c r="B85" s="13" t="n">
        <v>2200</v>
      </c>
    </row>
    <row r="86">
      <c r="A86" t="inlineStr">
        <is>
          <t>Materials</t>
        </is>
      </c>
      <c r="B86" s="13" t="n">
        <v>-40</v>
      </c>
    </row>
    <row r="87">
      <c r="A87" t="inlineStr">
        <is>
          <t>Subcontractors</t>
        </is>
      </c>
      <c r="B87" s="13" t="n">
        <v>0</v>
      </c>
    </row>
    <row r="88">
      <c r="A88" t="inlineStr">
        <is>
          <t>Technician hours</t>
        </is>
      </c>
      <c r="B88" s="17" t="n">
        <v>12</v>
      </c>
    </row>
    <row r="89">
      <c r="A89" t="inlineStr">
        <is>
          <t>Technician cost rate ($/hour, wages and all on-costs)</t>
        </is>
      </c>
      <c r="B89" s="13" t="n">
        <v>68</v>
      </c>
    </row>
    <row r="90">
      <c r="A90" t="inlineStr">
        <is>
          <t>Technician time</t>
        </is>
      </c>
      <c r="B90" s="13">
        <f>-B88*B89</f>
        <v/>
      </c>
    </row>
    <row r="91">
      <c r="A91" t="inlineStr">
        <is>
          <t>Job gross margin</t>
        </is>
      </c>
      <c r="B91" s="13">
        <f>B85+B86+B87+B90</f>
        <v/>
      </c>
    </row>
    <row r="92">
      <c r="A92" s="15" t="inlineStr">
        <is>
          <t>Job gross margin %</t>
        </is>
      </c>
      <c r="B92" s="16">
        <f>B91/B85</f>
        <v/>
      </c>
    </row>
    <row r="93"/>
    <row r="94"/>
    <row r="95">
      <c r="A95" s="5" t="inlineStr">
        <is>
          <t>Southbank cafe group</t>
        </is>
      </c>
    </row>
    <row r="96">
      <c r="A96" s="12" t="inlineStr">
        <is>
          <t>Job gross margin ÷ revenue for this job (before overheads)</t>
        </is>
      </c>
    </row>
    <row r="97">
      <c r="A97" s="6" t="inlineStr"/>
      <c r="B97" s="7" t="inlineStr">
        <is>
          <t>This job</t>
        </is>
      </c>
    </row>
    <row r="98">
      <c r="A98" t="inlineStr">
        <is>
          <t>Revenue</t>
        </is>
      </c>
      <c r="B98" s="13" t="n">
        <v>1800</v>
      </c>
    </row>
    <row r="99">
      <c r="A99" t="inlineStr">
        <is>
          <t>Materials</t>
        </is>
      </c>
      <c r="B99" s="13" t="n">
        <v>-40</v>
      </c>
    </row>
    <row r="100">
      <c r="A100" t="inlineStr">
        <is>
          <t>Subcontractors</t>
        </is>
      </c>
      <c r="B100" s="13" t="n">
        <v>0</v>
      </c>
    </row>
    <row r="101">
      <c r="A101" t="inlineStr">
        <is>
          <t>Technician hours</t>
        </is>
      </c>
      <c r="B101" s="17" t="n">
        <v>10</v>
      </c>
    </row>
    <row r="102">
      <c r="A102" t="inlineStr">
        <is>
          <t>Technician cost rate ($/hour, wages and all on-costs)</t>
        </is>
      </c>
      <c r="B102" s="13" t="n">
        <v>68</v>
      </c>
    </row>
    <row r="103">
      <c r="A103" t="inlineStr">
        <is>
          <t>Technician time</t>
        </is>
      </c>
      <c r="B103" s="13">
        <f>-B101*B102</f>
        <v/>
      </c>
    </row>
    <row r="104">
      <c r="A104" t="inlineStr">
        <is>
          <t>Job gross margin</t>
        </is>
      </c>
      <c r="B104" s="13">
        <f>B98+B99+B100+B103</f>
        <v/>
      </c>
    </row>
    <row r="105">
      <c r="A105" s="15" t="inlineStr">
        <is>
          <t>Job gross margin %</t>
        </is>
      </c>
      <c r="B105" s="16">
        <f>B104/B98</f>
        <v/>
      </c>
    </row>
    <row r="106"/>
    <row r="107"/>
    <row r="108">
      <c r="A108" s="5" t="inlineStr">
        <is>
          <t>Ashgrove aged care</t>
        </is>
      </c>
    </row>
    <row r="109">
      <c r="A109" s="12" t="inlineStr">
        <is>
          <t>Job gross margin ÷ revenue for this job (before overheads)</t>
        </is>
      </c>
    </row>
    <row r="110">
      <c r="A110" s="6" t="inlineStr"/>
      <c r="B110" s="7" t="inlineStr">
        <is>
          <t>This job</t>
        </is>
      </c>
    </row>
    <row r="111">
      <c r="A111" t="inlineStr">
        <is>
          <t>Revenue</t>
        </is>
      </c>
      <c r="B111" s="13" t="n">
        <v>3600</v>
      </c>
    </row>
    <row r="112">
      <c r="A112" t="inlineStr">
        <is>
          <t>Materials</t>
        </is>
      </c>
      <c r="B112" s="13" t="n">
        <v>-80</v>
      </c>
    </row>
    <row r="113">
      <c r="A113" t="inlineStr">
        <is>
          <t>Subcontractors</t>
        </is>
      </c>
      <c r="B113" s="13" t="n">
        <v>0</v>
      </c>
    </row>
    <row r="114">
      <c r="A114" t="inlineStr">
        <is>
          <t>Technician hours</t>
        </is>
      </c>
      <c r="B114" s="17" t="n">
        <v>20</v>
      </c>
    </row>
    <row r="115">
      <c r="A115" t="inlineStr">
        <is>
          <t>Technician cost rate ($/hour, wages and all on-costs)</t>
        </is>
      </c>
      <c r="B115" s="13" t="n">
        <v>68</v>
      </c>
    </row>
    <row r="116">
      <c r="A116" t="inlineStr">
        <is>
          <t>Technician time</t>
        </is>
      </c>
      <c r="B116" s="13">
        <f>-B114*B115</f>
        <v/>
      </c>
    </row>
    <row r="117">
      <c r="A117" t="inlineStr">
        <is>
          <t>Job gross margin</t>
        </is>
      </c>
      <c r="B117" s="13">
        <f>B111+B112+B113+B116</f>
        <v/>
      </c>
    </row>
    <row r="118">
      <c r="A118" s="15" t="inlineStr">
        <is>
          <t>Job gross margin %</t>
        </is>
      </c>
      <c r="B118" s="16">
        <f>B117/B111</f>
        <v/>
      </c>
    </row>
    <row r="119"/>
    <row r="120"/>
    <row r="121">
      <c r="A121" s="5" t="inlineStr">
        <is>
          <t>Fortitude Valley hotel</t>
        </is>
      </c>
    </row>
    <row r="122">
      <c r="A122" s="12" t="inlineStr">
        <is>
          <t>Job gross margin ÷ revenue for this job (before overheads)</t>
        </is>
      </c>
    </row>
    <row r="123">
      <c r="A123" s="6" t="inlineStr"/>
      <c r="B123" s="7" t="inlineStr">
        <is>
          <t>This job</t>
        </is>
      </c>
    </row>
    <row r="124">
      <c r="A124" t="inlineStr">
        <is>
          <t>Revenue</t>
        </is>
      </c>
      <c r="B124" s="13" t="n">
        <v>3400</v>
      </c>
    </row>
    <row r="125">
      <c r="A125" t="inlineStr">
        <is>
          <t>Materials</t>
        </is>
      </c>
      <c r="B125" s="13" t="n">
        <v>-70</v>
      </c>
    </row>
    <row r="126">
      <c r="A126" t="inlineStr">
        <is>
          <t>Subcontractors</t>
        </is>
      </c>
      <c r="B126" s="13" t="n">
        <v>0</v>
      </c>
    </row>
    <row r="127">
      <c r="A127" t="inlineStr">
        <is>
          <t>Technician hours</t>
        </is>
      </c>
      <c r="B127" s="17" t="n">
        <v>19</v>
      </c>
    </row>
    <row r="128">
      <c r="A128" t="inlineStr">
        <is>
          <t>Technician cost rate ($/hour, wages and all on-costs)</t>
        </is>
      </c>
      <c r="B128" s="13" t="n">
        <v>68</v>
      </c>
    </row>
    <row r="129">
      <c r="A129" t="inlineStr">
        <is>
          <t>Technician time</t>
        </is>
      </c>
      <c r="B129" s="13">
        <f>-B127*B128</f>
        <v/>
      </c>
    </row>
    <row r="130">
      <c r="A130" t="inlineStr">
        <is>
          <t>Job gross margin</t>
        </is>
      </c>
      <c r="B130" s="13">
        <f>B124+B125+B126+B129</f>
        <v/>
      </c>
    </row>
    <row r="131">
      <c r="A131" s="15" t="inlineStr">
        <is>
          <t>Job gross margin %</t>
        </is>
      </c>
      <c r="B131" s="16">
        <f>B130/B124</f>
        <v/>
      </c>
    </row>
    <row r="132"/>
    <row r="133"/>
    <row r="134">
      <c r="A134" s="5" t="inlineStr">
        <is>
          <t>Riverside Apartments (strata)</t>
        </is>
      </c>
    </row>
    <row r="135">
      <c r="A135" s="12" t="inlineStr">
        <is>
          <t>Job gross margin ÷ revenue for this job (before overheads)</t>
        </is>
      </c>
    </row>
    <row r="136">
      <c r="A136" s="6" t="inlineStr"/>
      <c r="B136" s="7" t="inlineStr">
        <is>
          <t>This job</t>
        </is>
      </c>
    </row>
    <row r="137">
      <c r="A137" t="inlineStr">
        <is>
          <t>Revenue</t>
        </is>
      </c>
      <c r="B137" s="13" t="n">
        <v>3200</v>
      </c>
    </row>
    <row r="138">
      <c r="A138" t="inlineStr">
        <is>
          <t>Materials</t>
        </is>
      </c>
      <c r="B138" s="13" t="n">
        <v>-60</v>
      </c>
    </row>
    <row r="139">
      <c r="A139" t="inlineStr">
        <is>
          <t>Subcontractors</t>
        </is>
      </c>
      <c r="B139" s="13" t="n">
        <v>0</v>
      </c>
    </row>
    <row r="140">
      <c r="A140" t="inlineStr">
        <is>
          <t>Technician hours</t>
        </is>
      </c>
      <c r="B140" s="17" t="n">
        <v>18</v>
      </c>
    </row>
    <row r="141">
      <c r="A141" t="inlineStr">
        <is>
          <t>Technician cost rate ($/hour, wages and all on-costs)</t>
        </is>
      </c>
      <c r="B141" s="13" t="n">
        <v>68</v>
      </c>
    </row>
    <row r="142">
      <c r="A142" t="inlineStr">
        <is>
          <t>Technician time</t>
        </is>
      </c>
      <c r="B142" s="13">
        <f>-B140*B141</f>
        <v/>
      </c>
    </row>
    <row r="143">
      <c r="A143" t="inlineStr">
        <is>
          <t>Job gross margin</t>
        </is>
      </c>
      <c r="B143" s="13">
        <f>B137+B138+B139+B142</f>
        <v/>
      </c>
    </row>
    <row r="144">
      <c r="A144" s="15" t="inlineStr">
        <is>
          <t>Job gross margin %</t>
        </is>
      </c>
      <c r="B144" s="16">
        <f>B143/B137</f>
        <v/>
      </c>
    </row>
    <row r="145"/>
    <row r="146"/>
    <row r="147">
      <c r="A147" s="5" t="inlineStr">
        <is>
          <t>Newstead gym</t>
        </is>
      </c>
    </row>
    <row r="148">
      <c r="A148" s="12" t="inlineStr">
        <is>
          <t>Job gross margin ÷ revenue for this job (before overheads)</t>
        </is>
      </c>
    </row>
    <row r="149">
      <c r="A149" s="6" t="inlineStr"/>
      <c r="B149" s="7" t="inlineStr">
        <is>
          <t>This job</t>
        </is>
      </c>
    </row>
    <row r="150">
      <c r="A150" t="inlineStr">
        <is>
          <t>Revenue</t>
        </is>
      </c>
      <c r="B150" s="13" t="n">
        <v>1600</v>
      </c>
    </row>
    <row r="151">
      <c r="A151" t="inlineStr">
        <is>
          <t>Materials</t>
        </is>
      </c>
      <c r="B151" s="13" t="n">
        <v>-30</v>
      </c>
    </row>
    <row r="152">
      <c r="A152" t="inlineStr">
        <is>
          <t>Subcontractors</t>
        </is>
      </c>
      <c r="B152" s="13" t="n">
        <v>0</v>
      </c>
    </row>
    <row r="153">
      <c r="A153" t="inlineStr">
        <is>
          <t>Technician hours</t>
        </is>
      </c>
      <c r="B153" s="17" t="n">
        <v>9</v>
      </c>
    </row>
    <row r="154">
      <c r="A154" t="inlineStr">
        <is>
          <t>Technician cost rate ($/hour, wages and all on-costs)</t>
        </is>
      </c>
      <c r="B154" s="13" t="n">
        <v>68</v>
      </c>
    </row>
    <row r="155">
      <c r="A155" t="inlineStr">
        <is>
          <t>Technician time</t>
        </is>
      </c>
      <c r="B155" s="13">
        <f>-B153*B154</f>
        <v/>
      </c>
    </row>
    <row r="156">
      <c r="A156" t="inlineStr">
        <is>
          <t>Job gross margin</t>
        </is>
      </c>
      <c r="B156" s="13">
        <f>B150+B151+B152+B155</f>
        <v/>
      </c>
    </row>
    <row r="157">
      <c r="A157" s="15" t="inlineStr">
        <is>
          <t>Job gross margin %</t>
        </is>
      </c>
      <c r="B157" s="16">
        <f>B156/B150</f>
        <v/>
      </c>
    </row>
    <row r="158"/>
    <row r="159"/>
    <row r="160">
      <c r="A160" s="5" t="inlineStr">
        <is>
          <t>Chermside retail centre</t>
        </is>
      </c>
    </row>
    <row r="161">
      <c r="A161" s="12" t="inlineStr">
        <is>
          <t>Job gross margin ÷ revenue for this job (before overheads)</t>
        </is>
      </c>
    </row>
    <row r="162">
      <c r="A162" s="6" t="inlineStr"/>
      <c r="B162" s="7" t="inlineStr">
        <is>
          <t>This job</t>
        </is>
      </c>
    </row>
    <row r="163">
      <c r="A163" t="inlineStr">
        <is>
          <t>Revenue</t>
        </is>
      </c>
      <c r="B163" s="13" t="n">
        <v>4100</v>
      </c>
    </row>
    <row r="164">
      <c r="A164" t="inlineStr">
        <is>
          <t>Materials</t>
        </is>
      </c>
      <c r="B164" s="13" t="n">
        <v>-100</v>
      </c>
    </row>
    <row r="165">
      <c r="A165" t="inlineStr">
        <is>
          <t>Subcontractors</t>
        </is>
      </c>
      <c r="B165" s="13" t="n">
        <v>0</v>
      </c>
    </row>
    <row r="166">
      <c r="A166" t="inlineStr">
        <is>
          <t>Technician hours</t>
        </is>
      </c>
      <c r="B166" s="17" t="n">
        <v>23</v>
      </c>
    </row>
    <row r="167">
      <c r="A167" t="inlineStr">
        <is>
          <t>Technician cost rate ($/hour, wages and all on-costs)</t>
        </is>
      </c>
      <c r="B167" s="13" t="n">
        <v>68</v>
      </c>
    </row>
    <row r="168">
      <c r="A168" t="inlineStr">
        <is>
          <t>Technician time</t>
        </is>
      </c>
      <c r="B168" s="13">
        <f>-B166*B167</f>
        <v/>
      </c>
    </row>
    <row r="169">
      <c r="A169" t="inlineStr">
        <is>
          <t>Job gross margin</t>
        </is>
      </c>
      <c r="B169" s="13">
        <f>B163+B164+B165+B168</f>
        <v/>
      </c>
    </row>
    <row r="170">
      <c r="A170" s="15" t="inlineStr">
        <is>
          <t>Job gross margin %</t>
        </is>
      </c>
      <c r="B170" s="16">
        <f>B169/B163</f>
        <v/>
      </c>
    </row>
    <row r="171"/>
    <row r="172"/>
    <row r="173">
      <c r="A173" s="5" t="inlineStr">
        <is>
          <t>Wacol logistics depot</t>
        </is>
      </c>
    </row>
    <row r="174">
      <c r="A174" s="12" t="inlineStr">
        <is>
          <t>Job gross margin ÷ revenue for this job (before overheads)</t>
        </is>
      </c>
    </row>
    <row r="175">
      <c r="A175" s="6" t="inlineStr"/>
      <c r="B175" s="7" t="inlineStr">
        <is>
          <t>This job</t>
        </is>
      </c>
    </row>
    <row r="176">
      <c r="A176" t="inlineStr">
        <is>
          <t>Revenue</t>
        </is>
      </c>
      <c r="B176" s="13" t="n">
        <v>3000</v>
      </c>
    </row>
    <row r="177">
      <c r="A177" t="inlineStr">
        <is>
          <t>Materials</t>
        </is>
      </c>
      <c r="B177" s="13" t="n">
        <v>-70</v>
      </c>
    </row>
    <row r="178">
      <c r="A178" t="inlineStr">
        <is>
          <t>Subcontractors</t>
        </is>
      </c>
      <c r="B178" s="13" t="n">
        <v>0</v>
      </c>
    </row>
    <row r="179">
      <c r="A179" t="inlineStr">
        <is>
          <t>Technician hours</t>
        </is>
      </c>
      <c r="B179" s="17" t="n">
        <v>17</v>
      </c>
    </row>
    <row r="180">
      <c r="A180" t="inlineStr">
        <is>
          <t>Technician cost rate ($/hour, wages and all on-costs)</t>
        </is>
      </c>
      <c r="B180" s="13" t="n">
        <v>68</v>
      </c>
    </row>
    <row r="181">
      <c r="A181" t="inlineStr">
        <is>
          <t>Technician time</t>
        </is>
      </c>
      <c r="B181" s="13">
        <f>-B179*B180</f>
        <v/>
      </c>
    </row>
    <row r="182">
      <c r="A182" t="inlineStr">
        <is>
          <t>Job gross margin</t>
        </is>
      </c>
      <c r="B182" s="13">
        <f>B176+B177+B178+B181</f>
        <v/>
      </c>
    </row>
    <row r="183">
      <c r="A183" s="15" t="inlineStr">
        <is>
          <t>Job gross margin %</t>
        </is>
      </c>
      <c r="B183" s="16">
        <f>B182/B176</f>
        <v/>
      </c>
    </row>
    <row r="184"/>
    <row r="185"/>
    <row r="186">
      <c r="A186" s="5" t="inlineStr">
        <is>
          <t>Milton office tower</t>
        </is>
      </c>
    </row>
    <row r="187">
      <c r="A187" s="12" t="inlineStr">
        <is>
          <t>Job gross margin ÷ revenue for this job (before overheads)</t>
        </is>
      </c>
    </row>
    <row r="188">
      <c r="A188" s="6" t="inlineStr"/>
      <c r="B188" s="7" t="inlineStr">
        <is>
          <t>This job</t>
        </is>
      </c>
    </row>
    <row r="189">
      <c r="A189" t="inlineStr">
        <is>
          <t>Revenue</t>
        </is>
      </c>
      <c r="B189" s="13" t="n">
        <v>4200</v>
      </c>
    </row>
    <row r="190">
      <c r="A190" t="inlineStr">
        <is>
          <t>Materials</t>
        </is>
      </c>
      <c r="B190" s="13" t="n">
        <v>-90</v>
      </c>
    </row>
    <row r="191">
      <c r="A191" t="inlineStr">
        <is>
          <t>Subcontractors</t>
        </is>
      </c>
      <c r="B191" s="13" t="n">
        <v>0</v>
      </c>
    </row>
    <row r="192">
      <c r="A192" t="inlineStr">
        <is>
          <t>Technician hours</t>
        </is>
      </c>
      <c r="B192" s="17" t="n">
        <v>24</v>
      </c>
    </row>
    <row r="193">
      <c r="A193" t="inlineStr">
        <is>
          <t>Technician cost rate ($/hour, wages and all on-costs)</t>
        </is>
      </c>
      <c r="B193" s="13" t="n">
        <v>68</v>
      </c>
    </row>
    <row r="194">
      <c r="A194" t="inlineStr">
        <is>
          <t>Technician time</t>
        </is>
      </c>
      <c r="B194" s="13">
        <f>-B192*B193</f>
        <v/>
      </c>
    </row>
    <row r="195">
      <c r="A195" t="inlineStr">
        <is>
          <t>Job gross margin</t>
        </is>
      </c>
      <c r="B195" s="13">
        <f>B189+B190+B191+B194</f>
        <v/>
      </c>
    </row>
    <row r="196">
      <c r="A196" s="15" t="inlineStr">
        <is>
          <t>Job gross margin %</t>
        </is>
      </c>
      <c r="B196" s="16">
        <f>B195/B189</f>
        <v/>
      </c>
    </row>
    <row r="197"/>
    <row r="198"/>
    <row r="199">
      <c r="A199" s="5" t="inlineStr">
        <is>
          <t>Bulimba school</t>
        </is>
      </c>
    </row>
    <row r="200">
      <c r="A200" s="12" t="inlineStr">
        <is>
          <t>Job gross margin ÷ revenue for this job (before overheads)</t>
        </is>
      </c>
    </row>
    <row r="201">
      <c r="A201" s="6" t="inlineStr"/>
      <c r="B201" s="7" t="inlineStr">
        <is>
          <t>This job</t>
        </is>
      </c>
    </row>
    <row r="202">
      <c r="A202" t="inlineStr">
        <is>
          <t>Revenue</t>
        </is>
      </c>
      <c r="B202" s="13" t="n">
        <v>2800</v>
      </c>
    </row>
    <row r="203">
      <c r="A203" t="inlineStr">
        <is>
          <t>Materials</t>
        </is>
      </c>
      <c r="B203" s="13" t="n">
        <v>-60</v>
      </c>
    </row>
    <row r="204">
      <c r="A204" t="inlineStr">
        <is>
          <t>Subcontractors</t>
        </is>
      </c>
      <c r="B204" s="13" t="n">
        <v>0</v>
      </c>
    </row>
    <row r="205">
      <c r="A205" t="inlineStr">
        <is>
          <t>Technician hours</t>
        </is>
      </c>
      <c r="B205" s="17" t="n">
        <v>16</v>
      </c>
    </row>
    <row r="206">
      <c r="A206" t="inlineStr">
        <is>
          <t>Technician cost rate ($/hour, wages and all on-costs)</t>
        </is>
      </c>
      <c r="B206" s="13" t="n">
        <v>68</v>
      </c>
    </row>
    <row r="207">
      <c r="A207" t="inlineStr">
        <is>
          <t>Technician time</t>
        </is>
      </c>
      <c r="B207" s="13">
        <f>-B205*B206</f>
        <v/>
      </c>
    </row>
    <row r="208">
      <c r="A208" t="inlineStr">
        <is>
          <t>Job gross margin</t>
        </is>
      </c>
      <c r="B208" s="13">
        <f>B202+B203+B204+B207</f>
        <v/>
      </c>
    </row>
    <row r="209">
      <c r="A209" s="15" t="inlineStr">
        <is>
          <t>Job gross margin %</t>
        </is>
      </c>
      <c r="B209" s="16">
        <f>B208/B202</f>
        <v/>
      </c>
    </row>
    <row r="210"/>
    <row r="211"/>
    <row r="212">
      <c r="A212" s="5" t="inlineStr">
        <is>
          <t>West End brewery</t>
        </is>
      </c>
    </row>
    <row r="213">
      <c r="A213" s="12" t="inlineStr">
        <is>
          <t>Job gross margin ÷ revenue for this job (before overheads)</t>
        </is>
      </c>
    </row>
    <row r="214">
      <c r="A214" s="6" t="inlineStr"/>
      <c r="B214" s="7" t="inlineStr">
        <is>
          <t>This job</t>
        </is>
      </c>
    </row>
    <row r="215">
      <c r="A215" t="inlineStr">
        <is>
          <t>Revenue</t>
        </is>
      </c>
      <c r="B215" s="13" t="n">
        <v>2600</v>
      </c>
    </row>
    <row r="216">
      <c r="A216" t="inlineStr">
        <is>
          <t>Materials</t>
        </is>
      </c>
      <c r="B216" s="13" t="n">
        <v>-50</v>
      </c>
    </row>
    <row r="217">
      <c r="A217" t="inlineStr">
        <is>
          <t>Subcontractors</t>
        </is>
      </c>
      <c r="B217" s="13" t="n">
        <v>0</v>
      </c>
    </row>
    <row r="218">
      <c r="A218" t="inlineStr">
        <is>
          <t>Technician hours</t>
        </is>
      </c>
      <c r="B218" s="17" t="n">
        <v>15</v>
      </c>
    </row>
    <row r="219">
      <c r="A219" t="inlineStr">
        <is>
          <t>Technician cost rate ($/hour, wages and all on-costs)</t>
        </is>
      </c>
      <c r="B219" s="13" t="n">
        <v>68</v>
      </c>
    </row>
    <row r="220">
      <c r="A220" t="inlineStr">
        <is>
          <t>Technician time</t>
        </is>
      </c>
      <c r="B220" s="13">
        <f>-B218*B219</f>
        <v/>
      </c>
    </row>
    <row r="221">
      <c r="A221" t="inlineStr">
        <is>
          <t>Job gross margin</t>
        </is>
      </c>
      <c r="B221" s="13">
        <f>B215+B216+B217+B220</f>
        <v/>
      </c>
    </row>
    <row r="222">
      <c r="A222" s="15" t="inlineStr">
        <is>
          <t>Job gross margin %</t>
        </is>
      </c>
      <c r="B222" s="16">
        <f>B221/B215</f>
        <v/>
      </c>
    </row>
    <row r="223"/>
    <row r="224"/>
    <row r="225">
      <c r="A225" s="5" t="inlineStr">
        <is>
          <t>Rocklea factory</t>
        </is>
      </c>
    </row>
    <row r="226">
      <c r="A226" s="12" t="inlineStr">
        <is>
          <t>Job gross margin ÷ revenue for this job (before overheads)</t>
        </is>
      </c>
    </row>
    <row r="227">
      <c r="A227" s="6" t="inlineStr"/>
      <c r="B227" s="7" t="inlineStr">
        <is>
          <t>This job</t>
        </is>
      </c>
    </row>
    <row r="228">
      <c r="A228" t="inlineStr">
        <is>
          <t>Revenue</t>
        </is>
      </c>
      <c r="B228" s="13" t="n">
        <v>3900</v>
      </c>
    </row>
    <row r="229">
      <c r="A229" t="inlineStr">
        <is>
          <t>Materials</t>
        </is>
      </c>
      <c r="B229" s="13" t="n">
        <v>-110</v>
      </c>
    </row>
    <row r="230">
      <c r="A230" t="inlineStr">
        <is>
          <t>Subcontractors</t>
        </is>
      </c>
      <c r="B230" s="13" t="n">
        <v>0</v>
      </c>
    </row>
    <row r="231">
      <c r="A231" t="inlineStr">
        <is>
          <t>Technician hours</t>
        </is>
      </c>
      <c r="B231" s="17" t="n">
        <v>22</v>
      </c>
    </row>
    <row r="232">
      <c r="A232" t="inlineStr">
        <is>
          <t>Technician cost rate ($/hour, wages and all on-costs)</t>
        </is>
      </c>
      <c r="B232" s="13" t="n">
        <v>68</v>
      </c>
    </row>
    <row r="233">
      <c r="A233" t="inlineStr">
        <is>
          <t>Technician time</t>
        </is>
      </c>
      <c r="B233" s="13">
        <f>-B231*B232</f>
        <v/>
      </c>
    </row>
    <row r="234">
      <c r="A234" t="inlineStr">
        <is>
          <t>Job gross margin</t>
        </is>
      </c>
      <c r="B234" s="13">
        <f>B228+B229+B230+B233</f>
        <v/>
      </c>
    </row>
    <row r="235">
      <c r="A235" s="15" t="inlineStr">
        <is>
          <t>Job gross margin %</t>
        </is>
      </c>
      <c r="B235" s="16">
        <f>B234/B228</f>
        <v/>
      </c>
    </row>
    <row r="236"/>
    <row r="237"/>
    <row r="238">
      <c r="A238" s="5" t="inlineStr">
        <is>
          <t>Kangaroo Point townhouses</t>
        </is>
      </c>
    </row>
    <row r="239">
      <c r="A239" s="12" t="inlineStr">
        <is>
          <t>Job gross margin ÷ revenue for this job (before overheads)</t>
        </is>
      </c>
    </row>
    <row r="240">
      <c r="A240" s="6" t="inlineStr"/>
      <c r="B240" s="7" t="inlineStr">
        <is>
          <t>This job</t>
        </is>
      </c>
    </row>
    <row r="241">
      <c r="A241" t="inlineStr">
        <is>
          <t>Revenue</t>
        </is>
      </c>
      <c r="B241" s="13" t="n">
        <v>2400</v>
      </c>
    </row>
    <row r="242">
      <c r="A242" t="inlineStr">
        <is>
          <t>Materials</t>
        </is>
      </c>
      <c r="B242" s="13" t="n">
        <v>-50</v>
      </c>
    </row>
    <row r="243">
      <c r="A243" t="inlineStr">
        <is>
          <t>Subcontractors</t>
        </is>
      </c>
      <c r="B243" s="13" t="n">
        <v>0</v>
      </c>
    </row>
    <row r="244">
      <c r="A244" t="inlineStr">
        <is>
          <t>Technician hours</t>
        </is>
      </c>
      <c r="B244" s="17" t="n">
        <v>14</v>
      </c>
    </row>
    <row r="245">
      <c r="A245" t="inlineStr">
        <is>
          <t>Technician cost rate ($/hour, wages and all on-costs)</t>
        </is>
      </c>
      <c r="B245" s="13" t="n">
        <v>68</v>
      </c>
    </row>
    <row r="246">
      <c r="A246" t="inlineStr">
        <is>
          <t>Technician time</t>
        </is>
      </c>
      <c r="B246" s="13">
        <f>-B244*B245</f>
        <v/>
      </c>
    </row>
    <row r="247">
      <c r="A247" t="inlineStr">
        <is>
          <t>Job gross margin</t>
        </is>
      </c>
      <c r="B247" s="13">
        <f>B241+B242+B243+B246</f>
        <v/>
      </c>
    </row>
    <row r="248">
      <c r="A248" s="15" t="inlineStr">
        <is>
          <t>Job gross margin %</t>
        </is>
      </c>
      <c r="B248" s="16">
        <f>B247/B241</f>
        <v/>
      </c>
    </row>
    <row r="249"/>
    <row r="250"/>
    <row r="251">
      <c r="A251" s="5" t="inlineStr">
        <is>
          <t>Installations: gross margin, October and September</t>
        </is>
      </c>
    </row>
    <row r="252">
      <c r="A252" s="12" t="inlineStr">
        <is>
          <t>Revenue less direct cost, over revenue. Before overheads.</t>
        </is>
      </c>
    </row>
    <row r="253">
      <c r="A253" s="6" t="inlineStr"/>
      <c r="B253" s="7" t="inlineStr">
        <is>
          <t>Oct 26</t>
        </is>
      </c>
      <c r="C253" s="7" t="inlineStr">
        <is>
          <t>Sep 26</t>
        </is>
      </c>
    </row>
    <row r="254">
      <c r="A254" t="inlineStr">
        <is>
          <t>Revenue</t>
        </is>
      </c>
      <c r="B254" s="13" t="n">
        <v>33000</v>
      </c>
      <c r="C254" s="13" t="n">
        <v>130700</v>
      </c>
    </row>
    <row r="255">
      <c r="A255" t="inlineStr">
        <is>
          <t>Direct cost</t>
        </is>
      </c>
      <c r="B255" s="13" t="n">
        <v>25742</v>
      </c>
      <c r="C255" s="13" t="n">
        <v>95368</v>
      </c>
    </row>
    <row r="256">
      <c r="A256" t="inlineStr">
        <is>
          <t>Gross margin</t>
        </is>
      </c>
      <c r="B256" s="13">
        <f>B254-B255</f>
        <v/>
      </c>
      <c r="C256" s="13">
        <f>C254-C255</f>
        <v/>
      </c>
    </row>
    <row r="257">
      <c r="A257" s="15" t="inlineStr">
        <is>
          <t>Gross margin %</t>
        </is>
      </c>
      <c r="B257" s="16">
        <f>B256/B254</f>
        <v/>
      </c>
      <c r="C257" s="16">
        <f>C256/C254</f>
        <v/>
      </c>
    </row>
    <row r="258">
      <c r="A258" s="2" t="inlineStr">
        <is>
          <t>October is still in progress (data to 6 October), so it is a part month against full months.</t>
        </is>
      </c>
    </row>
    <row r="259"/>
    <row r="260"/>
    <row r="261">
      <c r="A261" s="5" t="inlineStr">
        <is>
          <t>Morningside house air-con install</t>
        </is>
      </c>
    </row>
    <row r="262">
      <c r="A262" s="12" t="inlineStr">
        <is>
          <t>Job gross margin ÷ revenue for this job (before overheads)</t>
        </is>
      </c>
    </row>
    <row r="263">
      <c r="A263" s="6" t="inlineStr"/>
      <c r="B263" s="7" t="inlineStr">
        <is>
          <t>This job</t>
        </is>
      </c>
    </row>
    <row r="264">
      <c r="A264" t="inlineStr">
        <is>
          <t>Revenue</t>
        </is>
      </c>
      <c r="B264" s="13" t="n">
        <v>33000</v>
      </c>
    </row>
    <row r="265">
      <c r="A265" t="inlineStr">
        <is>
          <t>Materials</t>
        </is>
      </c>
      <c r="B265" s="13" t="n">
        <v>-14500</v>
      </c>
    </row>
    <row r="266">
      <c r="A266" t="inlineStr">
        <is>
          <t>Subcontractors</t>
        </is>
      </c>
      <c r="B266" s="13" t="n">
        <v>-2300</v>
      </c>
    </row>
    <row r="267">
      <c r="A267" t="inlineStr">
        <is>
          <t>Technician hours</t>
        </is>
      </c>
      <c r="B267" s="17" t="n">
        <v>131.5</v>
      </c>
    </row>
    <row r="268">
      <c r="A268" t="inlineStr">
        <is>
          <t>Technician cost rate ($/hour, wages and all on-costs)</t>
        </is>
      </c>
      <c r="B268" s="13" t="n">
        <v>68</v>
      </c>
    </row>
    <row r="269">
      <c r="A269" t="inlineStr">
        <is>
          <t>Technician time</t>
        </is>
      </c>
      <c r="B269" s="13">
        <f>-B267*B268</f>
        <v/>
      </c>
    </row>
    <row r="270">
      <c r="A270" t="inlineStr">
        <is>
          <t>Job gross margin</t>
        </is>
      </c>
      <c r="B270" s="13">
        <f>B264+B265+B266+B269</f>
        <v/>
      </c>
    </row>
    <row r="271">
      <c r="A271" s="15" t="inlineStr">
        <is>
          <t>Job gross margin %</t>
        </is>
      </c>
      <c r="B271" s="16">
        <f>B270/B264</f>
        <v/>
      </c>
    </row>
    <row r="272"/>
    <row r="273"/>
    <row r="274">
      <c r="A274" s="5" t="inlineStr">
        <is>
          <t>Call-outs and repairs: gross margin, October and September</t>
        </is>
      </c>
    </row>
    <row r="275">
      <c r="A275" s="12" t="inlineStr">
        <is>
          <t>Revenue less direct cost, over revenue. Before overheads.</t>
        </is>
      </c>
    </row>
    <row r="276">
      <c r="A276" s="6" t="inlineStr"/>
      <c r="B276" s="7" t="inlineStr">
        <is>
          <t>Oct 26</t>
        </is>
      </c>
      <c r="C276" s="7" t="inlineStr">
        <is>
          <t>Sep 26</t>
        </is>
      </c>
    </row>
    <row r="277">
      <c r="A277" t="inlineStr">
        <is>
          <t>Revenue</t>
        </is>
      </c>
      <c r="B277" s="13" t="n">
        <v>3375</v>
      </c>
      <c r="C277" s="13" t="n">
        <v>31137</v>
      </c>
    </row>
    <row r="278">
      <c r="A278" t="inlineStr">
        <is>
          <t>Direct cost</t>
        </is>
      </c>
      <c r="B278" s="13" t="n">
        <v>1856</v>
      </c>
      <c r="C278" s="13" t="n">
        <v>17478</v>
      </c>
    </row>
    <row r="279">
      <c r="A279" t="inlineStr">
        <is>
          <t>Gross margin</t>
        </is>
      </c>
      <c r="B279" s="13">
        <f>B277-B278</f>
        <v/>
      </c>
      <c r="C279" s="13">
        <f>C277-C278</f>
        <v/>
      </c>
    </row>
    <row r="280">
      <c r="A280" s="15" t="inlineStr">
        <is>
          <t>Gross margin %</t>
        </is>
      </c>
      <c r="B280" s="16">
        <f>B279/B277</f>
        <v/>
      </c>
      <c r="C280" s="16">
        <f>C279/C277</f>
        <v/>
      </c>
    </row>
    <row r="281">
      <c r="A281" s="2" t="inlineStr">
        <is>
          <t>October is still in progress (data to 6 October), so it is a part month against full months.</t>
        </is>
      </c>
    </row>
    <row r="282"/>
    <row r="283"/>
    <row r="284">
      <c r="A284" s="5" t="inlineStr">
        <is>
          <t>1-hour call-outs (2)</t>
        </is>
      </c>
    </row>
    <row r="285">
      <c r="A285" s="12" t="inlineStr">
        <is>
          <t>Call-outs of this length in October so far, added together</t>
        </is>
      </c>
    </row>
    <row r="286">
      <c r="A286" s="6" t="inlineStr"/>
      <c r="B286" s="7" t="inlineStr">
        <is>
          <t>Oct 2026</t>
        </is>
      </c>
    </row>
    <row r="287">
      <c r="A287" t="inlineStr">
        <is>
          <t>Call-outs</t>
        </is>
      </c>
      <c r="B287" s="13" t="n">
        <v>2</v>
      </c>
    </row>
    <row r="288">
      <c r="A288" t="inlineStr">
        <is>
          <t>Revenue</t>
        </is>
      </c>
      <c r="B288" s="13" t="n">
        <v>459</v>
      </c>
    </row>
    <row r="289">
      <c r="A289" t="inlineStr">
        <is>
          <t>Materials</t>
        </is>
      </c>
      <c r="B289" s="13" t="n">
        <v>-130</v>
      </c>
    </row>
    <row r="290">
      <c r="A290" t="inlineStr">
        <is>
          <t>Technician time at cost</t>
        </is>
      </c>
      <c r="B290" s="13" t="n">
        <v>-136</v>
      </c>
    </row>
    <row r="291">
      <c r="A291" t="inlineStr">
        <is>
          <t>Job gross margin</t>
        </is>
      </c>
      <c r="B291" s="13">
        <f>B288+B289+B290</f>
        <v/>
      </c>
    </row>
    <row r="292">
      <c r="A292" s="15" t="inlineStr">
        <is>
          <t>Job gross margin %</t>
        </is>
      </c>
      <c r="B292" s="16">
        <f>B291/B288</f>
        <v/>
      </c>
    </row>
    <row r="293"/>
    <row r="294"/>
    <row r="295">
      <c r="A295" s="5" t="inlineStr">
        <is>
          <t>1.5-hour call-outs (1)</t>
        </is>
      </c>
    </row>
    <row r="296">
      <c r="A296" s="12" t="inlineStr">
        <is>
          <t>Call-outs of this length in October so far, added together</t>
        </is>
      </c>
    </row>
    <row r="297">
      <c r="A297" s="6" t="inlineStr"/>
      <c r="B297" s="7" t="inlineStr">
        <is>
          <t>Oct 2026</t>
        </is>
      </c>
    </row>
    <row r="298">
      <c r="A298" t="inlineStr">
        <is>
          <t>Call-outs</t>
        </is>
      </c>
      <c r="B298" s="13" t="n">
        <v>1</v>
      </c>
    </row>
    <row r="299">
      <c r="A299" t="inlineStr">
        <is>
          <t>Revenue</t>
        </is>
      </c>
      <c r="B299" s="13" t="n">
        <v>308</v>
      </c>
    </row>
    <row r="300">
      <c r="A300" t="inlineStr">
        <is>
          <t>Materials</t>
        </is>
      </c>
      <c r="B300" s="13" t="n">
        <v>-70</v>
      </c>
    </row>
    <row r="301">
      <c r="A301" t="inlineStr">
        <is>
          <t>Technician time at cost</t>
        </is>
      </c>
      <c r="B301" s="13" t="n">
        <v>-102</v>
      </c>
    </row>
    <row r="302">
      <c r="A302" t="inlineStr">
        <is>
          <t>Job gross margin</t>
        </is>
      </c>
      <c r="B302" s="13">
        <f>B299+B300+B301</f>
        <v/>
      </c>
    </row>
    <row r="303">
      <c r="A303" s="15" t="inlineStr">
        <is>
          <t>Job gross margin %</t>
        </is>
      </c>
      <c r="B303" s="16">
        <f>B302/B299</f>
        <v/>
      </c>
    </row>
    <row r="304"/>
    <row r="305"/>
    <row r="306">
      <c r="A306" s="5" t="inlineStr">
        <is>
          <t>2.5-hour call-outs (1)</t>
        </is>
      </c>
    </row>
    <row r="307">
      <c r="A307" s="12" t="inlineStr">
        <is>
          <t>Call-outs of this length in October so far, added together</t>
        </is>
      </c>
    </row>
    <row r="308">
      <c r="A308" s="6" t="inlineStr"/>
      <c r="B308" s="7" t="inlineStr">
        <is>
          <t>Oct 2026</t>
        </is>
      </c>
    </row>
    <row r="309">
      <c r="A309" t="inlineStr">
        <is>
          <t>Call-outs</t>
        </is>
      </c>
      <c r="B309" s="13" t="n">
        <v>1</v>
      </c>
    </row>
    <row r="310">
      <c r="A310" t="inlineStr">
        <is>
          <t>Revenue</t>
        </is>
      </c>
      <c r="B310" s="13" t="n">
        <v>610</v>
      </c>
    </row>
    <row r="311">
      <c r="A311" t="inlineStr">
        <is>
          <t>Materials</t>
        </is>
      </c>
      <c r="B311" s="13" t="n">
        <v>-190</v>
      </c>
    </row>
    <row r="312">
      <c r="A312" t="inlineStr">
        <is>
          <t>Technician time at cost</t>
        </is>
      </c>
      <c r="B312" s="13" t="n">
        <v>-170</v>
      </c>
    </row>
    <row r="313">
      <c r="A313" t="inlineStr">
        <is>
          <t>Job gross margin</t>
        </is>
      </c>
      <c r="B313" s="13">
        <f>B310+B311+B312</f>
        <v/>
      </c>
    </row>
    <row r="314">
      <c r="A314" s="15" t="inlineStr">
        <is>
          <t>Job gross margin %</t>
        </is>
      </c>
      <c r="B314" s="16">
        <f>B313/B310</f>
        <v/>
      </c>
    </row>
    <row r="315"/>
    <row r="316"/>
    <row r="317">
      <c r="A317" s="5" t="inlineStr">
        <is>
          <t>3-hour call-outs (1)</t>
        </is>
      </c>
    </row>
    <row r="318">
      <c r="A318" s="12" t="inlineStr">
        <is>
          <t>Call-outs of this length in October so far, added together</t>
        </is>
      </c>
    </row>
    <row r="319">
      <c r="A319" s="6" t="inlineStr"/>
      <c r="B319" s="7" t="inlineStr">
        <is>
          <t>Oct 2026</t>
        </is>
      </c>
    </row>
    <row r="320">
      <c r="A320" t="inlineStr">
        <is>
          <t>Call-outs</t>
        </is>
      </c>
      <c r="B320" s="13" t="n">
        <v>1</v>
      </c>
    </row>
    <row r="321">
      <c r="A321" t="inlineStr">
        <is>
          <t>Revenue</t>
        </is>
      </c>
      <c r="B321" s="13" t="n">
        <v>604</v>
      </c>
    </row>
    <row r="322">
      <c r="A322" t="inlineStr">
        <is>
          <t>Materials</t>
        </is>
      </c>
      <c r="B322" s="13" t="n">
        <v>-130</v>
      </c>
    </row>
    <row r="323">
      <c r="A323" t="inlineStr">
        <is>
          <t>Technician time at cost</t>
        </is>
      </c>
      <c r="B323" s="13" t="n">
        <v>-204</v>
      </c>
    </row>
    <row r="324">
      <c r="A324" t="inlineStr">
        <is>
          <t>Job gross margin</t>
        </is>
      </c>
      <c r="B324" s="13">
        <f>B321+B322+B323</f>
        <v/>
      </c>
    </row>
    <row r="325">
      <c r="A325" s="15" t="inlineStr">
        <is>
          <t>Job gross margin %</t>
        </is>
      </c>
      <c r="B325" s="16">
        <f>B324/B321</f>
        <v/>
      </c>
    </row>
    <row r="326"/>
    <row r="327"/>
    <row r="328">
      <c r="A328" s="5" t="inlineStr">
        <is>
          <t>4-hour call-outs (2)</t>
        </is>
      </c>
    </row>
    <row r="329">
      <c r="A329" s="12" t="inlineStr">
        <is>
          <t>Call-outs of this length in October so far, added together</t>
        </is>
      </c>
    </row>
    <row r="330">
      <c r="A330" s="6" t="inlineStr"/>
      <c r="B330" s="7" t="inlineStr">
        <is>
          <t>Oct 2026</t>
        </is>
      </c>
    </row>
    <row r="331">
      <c r="A331" t="inlineStr">
        <is>
          <t>Call-outs</t>
        </is>
      </c>
      <c r="B331" s="13" t="n">
        <v>2</v>
      </c>
    </row>
    <row r="332">
      <c r="A332" t="inlineStr">
        <is>
          <t>Revenue</t>
        </is>
      </c>
      <c r="B332" s="13" t="n">
        <v>1394</v>
      </c>
    </row>
    <row r="333">
      <c r="A333" t="inlineStr">
        <is>
          <t>Materials</t>
        </is>
      </c>
      <c r="B333" s="13" t="n">
        <v>-180</v>
      </c>
    </row>
    <row r="334">
      <c r="A334" t="inlineStr">
        <is>
          <t>Technician time at cost</t>
        </is>
      </c>
      <c r="B334" s="13" t="n">
        <v>-544</v>
      </c>
    </row>
    <row r="335">
      <c r="A335" t="inlineStr">
        <is>
          <t>Job gross margin</t>
        </is>
      </c>
      <c r="B335" s="13">
        <f>B332+B333+B334</f>
        <v/>
      </c>
    </row>
    <row r="336">
      <c r="A336" s="15" t="inlineStr">
        <is>
          <t>Job gross margin %</t>
        </is>
      </c>
      <c r="B336" s="16">
        <f>B335/B332</f>
        <v/>
      </c>
    </row>
    <row r="337"/>
    <row r="338"/>
    <row r="339"/>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3" manualBreakCount="13">
    <brk id="31" min="0" max="16383" man="1"/>
    <brk id="58" min="0" max="16383" man="1"/>
    <brk id="81" min="0" max="16383" man="1"/>
    <brk id="107" min="0" max="16383" man="1"/>
    <brk id="133" min="0" max="16383" man="1"/>
    <brk id="159" min="0" max="16383" man="1"/>
    <brk id="185" min="0" max="16383" man="1"/>
    <brk id="211" min="0" max="16383" man="1"/>
    <brk id="237" min="0" max="16383" man="1"/>
    <brk id="260" min="0" max="16383" man="1"/>
    <brk id="283" min="0" max="16383" man="1"/>
    <brk id="305" min="0" max="16383" man="1"/>
    <brk id="327"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179474</v>
      </c>
      <c r="E6" s="13" t="n">
        <v>113016</v>
      </c>
      <c r="F6" s="13">
        <f>D6-E6</f>
        <v/>
      </c>
      <c r="G6" s="14">
        <f>IF(D6=0,"",F6/D6)</f>
        <v/>
      </c>
    </row>
    <row r="7">
      <c r="A7" s="18" t="inlineStr">
        <is>
          <t>All</t>
        </is>
      </c>
      <c r="B7" s="18" t="inlineStr">
        <is>
          <t>Dec 24</t>
        </is>
      </c>
      <c r="C7" s="18" t="inlineStr">
        <is>
          <t>Locked</t>
        </is>
      </c>
      <c r="D7" s="13" t="n">
        <v>143156</v>
      </c>
      <c r="E7" s="13" t="n">
        <v>85316</v>
      </c>
      <c r="F7" s="13">
        <f>D7-E7</f>
        <v/>
      </c>
      <c r="G7" s="14">
        <f>IF(D7=0,"",F7/D7)</f>
        <v/>
      </c>
    </row>
    <row r="8">
      <c r="A8" s="18" t="inlineStr">
        <is>
          <t>All</t>
        </is>
      </c>
      <c r="B8" s="18" t="inlineStr">
        <is>
          <t>Jan 25</t>
        </is>
      </c>
      <c r="C8" s="18" t="inlineStr">
        <is>
          <t>Locked</t>
        </is>
      </c>
      <c r="D8" s="13" t="n">
        <v>140909</v>
      </c>
      <c r="E8" s="13" t="n">
        <v>80742</v>
      </c>
      <c r="F8" s="13">
        <f>D8-E8</f>
        <v/>
      </c>
      <c r="G8" s="14">
        <f>IF(D8=0,"",F8/D8)</f>
        <v/>
      </c>
    </row>
    <row r="9">
      <c r="A9" s="18" t="inlineStr">
        <is>
          <t>All</t>
        </is>
      </c>
      <c r="B9" s="18" t="inlineStr">
        <is>
          <t>Feb 25</t>
        </is>
      </c>
      <c r="C9" s="18" t="inlineStr">
        <is>
          <t>Locked</t>
        </is>
      </c>
      <c r="D9" s="13" t="n">
        <v>160943</v>
      </c>
      <c r="E9" s="13" t="n">
        <v>102348</v>
      </c>
      <c r="F9" s="13">
        <f>D9-E9</f>
        <v/>
      </c>
      <c r="G9" s="14">
        <f>IF(D9=0,"",F9/D9)</f>
        <v/>
      </c>
    </row>
    <row r="10">
      <c r="A10" s="18" t="inlineStr">
        <is>
          <t>All</t>
        </is>
      </c>
      <c r="B10" s="18" t="inlineStr">
        <is>
          <t>Mar 25</t>
        </is>
      </c>
      <c r="C10" s="18" t="inlineStr">
        <is>
          <t>Locked</t>
        </is>
      </c>
      <c r="D10" s="13" t="n">
        <v>135082</v>
      </c>
      <c r="E10" s="13" t="n">
        <v>85752</v>
      </c>
      <c r="F10" s="13">
        <f>D10-E10</f>
        <v/>
      </c>
      <c r="G10" s="14">
        <f>IF(D10=0,"",F10/D10)</f>
        <v/>
      </c>
    </row>
    <row r="11">
      <c r="A11" s="18" t="inlineStr">
        <is>
          <t>All</t>
        </is>
      </c>
      <c r="B11" s="18" t="inlineStr">
        <is>
          <t>Apr 25</t>
        </is>
      </c>
      <c r="C11" s="18" t="inlineStr">
        <is>
          <t>Locked</t>
        </is>
      </c>
      <c r="D11" s="13" t="n">
        <v>124705</v>
      </c>
      <c r="E11" s="13" t="n">
        <v>76808</v>
      </c>
      <c r="F11" s="13">
        <f>D11-E11</f>
        <v/>
      </c>
      <c r="G11" s="14">
        <f>IF(D11=0,"",F11/D11)</f>
        <v/>
      </c>
    </row>
    <row r="12">
      <c r="A12" s="18" t="inlineStr">
        <is>
          <t>All</t>
        </is>
      </c>
      <c r="B12" s="18" t="inlineStr">
        <is>
          <t>May 25</t>
        </is>
      </c>
      <c r="C12" s="18" t="inlineStr">
        <is>
          <t>Locked</t>
        </is>
      </c>
      <c r="D12" s="13" t="n">
        <v>129816</v>
      </c>
      <c r="E12" s="13" t="n">
        <v>83700</v>
      </c>
      <c r="F12" s="13">
        <f>D12-E12</f>
        <v/>
      </c>
      <c r="G12" s="14">
        <f>IF(D12=0,"",F12/D12)</f>
        <v/>
      </c>
    </row>
    <row r="13">
      <c r="A13" s="18" t="inlineStr">
        <is>
          <t>All</t>
        </is>
      </c>
      <c r="B13" s="18" t="inlineStr">
        <is>
          <t>Jun 25</t>
        </is>
      </c>
      <c r="C13" s="18" t="inlineStr">
        <is>
          <t>Locked</t>
        </is>
      </c>
      <c r="D13" s="13" t="n">
        <v>164113</v>
      </c>
      <c r="E13" s="13" t="n">
        <v>97584</v>
      </c>
      <c r="F13" s="13">
        <f>D13-E13</f>
        <v/>
      </c>
      <c r="G13" s="14">
        <f>IF(D13=0,"",F13/D13)</f>
        <v/>
      </c>
    </row>
    <row r="14">
      <c r="A14" s="18" t="inlineStr">
        <is>
          <t>All</t>
        </is>
      </c>
      <c r="B14" s="18" t="inlineStr">
        <is>
          <t>Jul 25</t>
        </is>
      </c>
      <c r="C14" s="18" t="inlineStr">
        <is>
          <t>Locked</t>
        </is>
      </c>
      <c r="D14" s="13" t="n">
        <v>186760</v>
      </c>
      <c r="E14" s="13" t="n">
        <v>120326</v>
      </c>
      <c r="F14" s="13">
        <f>D14-E14</f>
        <v/>
      </c>
      <c r="G14" s="14">
        <f>IF(D14=0,"",F14/D14)</f>
        <v/>
      </c>
    </row>
    <row r="15">
      <c r="A15" s="18" t="inlineStr">
        <is>
          <t>All</t>
        </is>
      </c>
      <c r="B15" s="18" t="inlineStr">
        <is>
          <t>Aug 25</t>
        </is>
      </c>
      <c r="C15" s="18" t="inlineStr">
        <is>
          <t>Locked</t>
        </is>
      </c>
      <c r="D15" s="13" t="n">
        <v>139164</v>
      </c>
      <c r="E15" s="13" t="n">
        <v>78258</v>
      </c>
      <c r="F15" s="13">
        <f>D15-E15</f>
        <v/>
      </c>
      <c r="G15" s="14">
        <f>IF(D15=0,"",F15/D15)</f>
        <v/>
      </c>
    </row>
    <row r="16">
      <c r="A16" s="18" t="inlineStr">
        <is>
          <t>All</t>
        </is>
      </c>
      <c r="B16" s="18" t="inlineStr">
        <is>
          <t>Sep 25</t>
        </is>
      </c>
      <c r="C16" s="18" t="inlineStr">
        <is>
          <t>Locked</t>
        </is>
      </c>
      <c r="D16" s="13" t="n">
        <v>128255</v>
      </c>
      <c r="E16" s="13" t="n">
        <v>80054</v>
      </c>
      <c r="F16" s="13">
        <f>D16-E16</f>
        <v/>
      </c>
      <c r="G16" s="14">
        <f>IF(D16=0,"",F16/D16)</f>
        <v/>
      </c>
    </row>
    <row r="17">
      <c r="A17" s="18" t="inlineStr">
        <is>
          <t>All</t>
        </is>
      </c>
      <c r="B17" s="18" t="inlineStr">
        <is>
          <t>Oct 25</t>
        </is>
      </c>
      <c r="C17" s="18" t="inlineStr">
        <is>
          <t>Locked</t>
        </is>
      </c>
      <c r="D17" s="13" t="n">
        <v>128898</v>
      </c>
      <c r="E17" s="13" t="n">
        <v>79452</v>
      </c>
      <c r="F17" s="13">
        <f>D17-E17</f>
        <v/>
      </c>
      <c r="G17" s="14">
        <f>IF(D17=0,"",F17/D17)</f>
        <v/>
      </c>
    </row>
    <row r="18">
      <c r="A18" s="18" t="inlineStr">
        <is>
          <t>All</t>
        </is>
      </c>
      <c r="B18" s="18" t="inlineStr">
        <is>
          <t>Nov 25</t>
        </is>
      </c>
      <c r="C18" s="18" t="inlineStr">
        <is>
          <t>Locked</t>
        </is>
      </c>
      <c r="D18" s="13" t="n">
        <v>174786</v>
      </c>
      <c r="E18" s="13" t="n">
        <v>115942</v>
      </c>
      <c r="F18" s="13">
        <f>D18-E18</f>
        <v/>
      </c>
      <c r="G18" s="14">
        <f>IF(D18=0,"",F18/D18)</f>
        <v/>
      </c>
    </row>
    <row r="19">
      <c r="A19" s="18" t="inlineStr">
        <is>
          <t>All</t>
        </is>
      </c>
      <c r="B19" s="18" t="inlineStr">
        <is>
          <t>Dec 25</t>
        </is>
      </c>
      <c r="C19" s="18" t="inlineStr">
        <is>
          <t>Locked</t>
        </is>
      </c>
      <c r="D19" s="13" t="n">
        <v>135079</v>
      </c>
      <c r="E19" s="13" t="n">
        <v>84626</v>
      </c>
      <c r="F19" s="13">
        <f>D19-E19</f>
        <v/>
      </c>
      <c r="G19" s="14">
        <f>IF(D19=0,"",F19/D19)</f>
        <v/>
      </c>
    </row>
    <row r="20">
      <c r="A20" s="18" t="inlineStr">
        <is>
          <t>All</t>
        </is>
      </c>
      <c r="B20" s="18" t="inlineStr">
        <is>
          <t>Jan 26</t>
        </is>
      </c>
      <c r="C20" s="18" t="inlineStr">
        <is>
          <t>Locked</t>
        </is>
      </c>
      <c r="D20" s="13" t="n">
        <v>164780</v>
      </c>
      <c r="E20" s="13" t="n">
        <v>106590</v>
      </c>
      <c r="F20" s="13">
        <f>D20-E20</f>
        <v/>
      </c>
      <c r="G20" s="14">
        <f>IF(D20=0,"",F20/D20)</f>
        <v/>
      </c>
    </row>
    <row r="21">
      <c r="A21" s="18" t="inlineStr">
        <is>
          <t>All</t>
        </is>
      </c>
      <c r="B21" s="18" t="inlineStr">
        <is>
          <t>Feb 26</t>
        </is>
      </c>
      <c r="C21" s="18" t="inlineStr">
        <is>
          <t>Locked</t>
        </is>
      </c>
      <c r="D21" s="13" t="n">
        <v>196372</v>
      </c>
      <c r="E21" s="13" t="n">
        <v>120662</v>
      </c>
      <c r="F21" s="13">
        <f>D21-E21</f>
        <v/>
      </c>
      <c r="G21" s="14">
        <f>IF(D21=0,"",F21/D21)</f>
        <v/>
      </c>
    </row>
    <row r="22">
      <c r="A22" s="18" t="inlineStr">
        <is>
          <t>All</t>
        </is>
      </c>
      <c r="B22" s="18" t="inlineStr">
        <is>
          <t>Mar 26</t>
        </is>
      </c>
      <c r="C22" s="18" t="inlineStr">
        <is>
          <t>Locked</t>
        </is>
      </c>
      <c r="D22" s="13" t="n">
        <v>191500</v>
      </c>
      <c r="E22" s="13" t="n">
        <v>123342</v>
      </c>
      <c r="F22" s="13">
        <f>D22-E22</f>
        <v/>
      </c>
      <c r="G22" s="14">
        <f>IF(D22=0,"",F22/D22)</f>
        <v/>
      </c>
    </row>
    <row r="23">
      <c r="A23" s="18" t="inlineStr">
        <is>
          <t>All</t>
        </is>
      </c>
      <c r="B23" s="18" t="inlineStr">
        <is>
          <t>Apr 26</t>
        </is>
      </c>
      <c r="C23" s="18" t="inlineStr">
        <is>
          <t>Locked</t>
        </is>
      </c>
      <c r="D23" s="13" t="n">
        <v>164987</v>
      </c>
      <c r="E23" s="13" t="n">
        <v>96144</v>
      </c>
      <c r="F23" s="13">
        <f>D23-E23</f>
        <v/>
      </c>
      <c r="G23" s="14">
        <f>IF(D23=0,"",F23/D23)</f>
        <v/>
      </c>
    </row>
    <row r="24">
      <c r="A24" s="18" t="inlineStr">
        <is>
          <t>All</t>
        </is>
      </c>
      <c r="B24" s="18" t="inlineStr">
        <is>
          <t>May 26</t>
        </is>
      </c>
      <c r="C24" s="18" t="inlineStr">
        <is>
          <t>Locked</t>
        </is>
      </c>
      <c r="D24" s="13" t="n">
        <v>161963</v>
      </c>
      <c r="E24" s="13" t="n">
        <v>98858</v>
      </c>
      <c r="F24" s="13">
        <f>D24-E24</f>
        <v/>
      </c>
      <c r="G24" s="14">
        <f>IF(D24=0,"",F24/D24)</f>
        <v/>
      </c>
    </row>
    <row r="25">
      <c r="A25" s="18" t="inlineStr">
        <is>
          <t>All</t>
        </is>
      </c>
      <c r="B25" s="18" t="inlineStr">
        <is>
          <t>Jun 26</t>
        </is>
      </c>
      <c r="C25" s="18" t="inlineStr">
        <is>
          <t>Locked</t>
        </is>
      </c>
      <c r="D25" s="13" t="n">
        <v>173163</v>
      </c>
      <c r="E25" s="13" t="n">
        <v>106500</v>
      </c>
      <c r="F25" s="13">
        <f>D25-E25</f>
        <v/>
      </c>
      <c r="G25" s="14">
        <f>IF(D25=0,"",F25/D25)</f>
        <v/>
      </c>
    </row>
    <row r="26">
      <c r="A26" s="18" t="inlineStr">
        <is>
          <t>All</t>
        </is>
      </c>
      <c r="B26" s="18" t="inlineStr">
        <is>
          <t>Jul 26</t>
        </is>
      </c>
      <c r="C26" s="18" t="inlineStr">
        <is>
          <t>Locked</t>
        </is>
      </c>
      <c r="D26" s="13" t="n">
        <v>193245</v>
      </c>
      <c r="E26" s="13" t="n">
        <v>122124</v>
      </c>
      <c r="F26" s="13">
        <f>D26-E26</f>
        <v/>
      </c>
      <c r="G26" s="14">
        <f>IF(D26=0,"",F26/D26)</f>
        <v/>
      </c>
    </row>
    <row r="27">
      <c r="A27" s="18" t="inlineStr">
        <is>
          <t>All</t>
        </is>
      </c>
      <c r="B27" s="18" t="inlineStr">
        <is>
          <t>Aug 26</t>
        </is>
      </c>
      <c r="C27" s="18" t="inlineStr">
        <is>
          <t>Locked</t>
        </is>
      </c>
      <c r="D27" s="13" t="n">
        <v>179007</v>
      </c>
      <c r="E27" s="13" t="n">
        <v>105370</v>
      </c>
      <c r="F27" s="13">
        <f>D27-E27</f>
        <v/>
      </c>
      <c r="G27" s="14">
        <f>IF(D27=0,"",F27/D27)</f>
        <v/>
      </c>
    </row>
    <row r="28">
      <c r="A28" s="18" t="inlineStr">
        <is>
          <t>All</t>
        </is>
      </c>
      <c r="B28" s="18" t="inlineStr">
        <is>
          <t>Sep 26</t>
        </is>
      </c>
      <c r="C28" s="18" t="inlineStr">
        <is>
          <t>Locked</t>
        </is>
      </c>
      <c r="D28" s="13" t="n">
        <v>202337</v>
      </c>
      <c r="E28" s="13" t="n">
        <v>129230</v>
      </c>
      <c r="F28" s="13">
        <f>D28-E28</f>
        <v/>
      </c>
      <c r="G28" s="14">
        <f>IF(D28=0,"",F28/D28)</f>
        <v/>
      </c>
    </row>
    <row r="29">
      <c r="A29" s="18" t="inlineStr">
        <is>
          <t>All</t>
        </is>
      </c>
      <c r="B29" s="18" t="inlineStr">
        <is>
          <t>Oct 26</t>
        </is>
      </c>
      <c r="C29" s="18" t="inlineStr">
        <is>
          <t>Incomplete</t>
        </is>
      </c>
      <c r="D29" s="13" t="n">
        <v>76875</v>
      </c>
      <c r="E29" s="13" t="n">
        <v>43982</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Maintenance contracts</t>
        </is>
      </c>
      <c r="B52" s="18" t="inlineStr">
        <is>
          <t>Sep 26</t>
        </is>
      </c>
      <c r="C52" s="18" t="inlineStr">
        <is>
          <t>Locked</t>
        </is>
      </c>
      <c r="D52" s="13" t="n">
        <v>40500</v>
      </c>
      <c r="E52" s="13" t="n">
        <v>16384</v>
      </c>
      <c r="F52" s="13">
        <f>D52-E52</f>
        <v/>
      </c>
      <c r="G52" s="14">
        <f>IF(D52=0,"",F52/D52)</f>
        <v/>
      </c>
    </row>
    <row r="53">
      <c r="A53" s="18" t="inlineStr">
        <is>
          <t>Maintenance contracts</t>
        </is>
      </c>
      <c r="B53" s="18" t="inlineStr">
        <is>
          <t>Oct 26</t>
        </is>
      </c>
      <c r="C53" s="18" t="inlineStr">
        <is>
          <t>Incomplete</t>
        </is>
      </c>
      <c r="D53" s="13" t="n">
        <v>40500</v>
      </c>
      <c r="E53" s="13" t="n">
        <v>16384</v>
      </c>
      <c r="F53" s="13">
        <f>D53-E53</f>
        <v/>
      </c>
      <c r="G53" s="14">
        <f>IF(D53=0,"",F53/D53)</f>
        <v/>
      </c>
    </row>
    <row r="54">
      <c r="A54" s="18" t="inlineStr">
        <is>
          <t>Installations</t>
        </is>
      </c>
      <c r="B54" s="18" t="inlineStr">
        <is>
          <t>Nov 24</t>
        </is>
      </c>
      <c r="C54" s="18" t="inlineStr">
        <is>
          <t>Locked</t>
        </is>
      </c>
      <c r="D54" s="13" t="n">
        <v>131400</v>
      </c>
      <c r="E54" s="13" t="n">
        <v>89070</v>
      </c>
      <c r="F54" s="13">
        <f>D54-E54</f>
        <v/>
      </c>
      <c r="G54" s="14">
        <f>IF(D54=0,"",F54/D54)</f>
        <v/>
      </c>
    </row>
    <row r="55">
      <c r="A55" s="18" t="inlineStr">
        <is>
          <t>Installations</t>
        </is>
      </c>
      <c r="B55" s="18" t="inlineStr">
        <is>
          <t>Dec 24</t>
        </is>
      </c>
      <c r="C55" s="18" t="inlineStr">
        <is>
          <t>Locked</t>
        </is>
      </c>
      <c r="D55" s="13" t="n">
        <v>92600</v>
      </c>
      <c r="E55" s="13" t="n">
        <v>59908</v>
      </c>
      <c r="F55" s="13">
        <f>D55-E55</f>
        <v/>
      </c>
      <c r="G55" s="14">
        <f>IF(D55=0,"",F55/D55)</f>
        <v/>
      </c>
    </row>
    <row r="56">
      <c r="A56" s="18" t="inlineStr">
        <is>
          <t>Installations</t>
        </is>
      </c>
      <c r="B56" s="18" t="inlineStr">
        <is>
          <t>Jan 25</t>
        </is>
      </c>
      <c r="C56" s="18" t="inlineStr">
        <is>
          <t>Locked</t>
        </is>
      </c>
      <c r="D56" s="13" t="n">
        <v>89400</v>
      </c>
      <c r="E56" s="13" t="n">
        <v>54678</v>
      </c>
      <c r="F56" s="13">
        <f>D56-E56</f>
        <v/>
      </c>
      <c r="G56" s="14">
        <f>IF(D56=0,"",F56/D56)</f>
        <v/>
      </c>
    </row>
    <row r="57">
      <c r="A57" s="18" t="inlineStr">
        <is>
          <t>Installations</t>
        </is>
      </c>
      <c r="B57" s="18" t="inlineStr">
        <is>
          <t>Feb 25</t>
        </is>
      </c>
      <c r="C57" s="18" t="inlineStr">
        <is>
          <t>Locked</t>
        </is>
      </c>
      <c r="D57" s="13" t="n">
        <v>106000</v>
      </c>
      <c r="E57" s="13" t="n">
        <v>74966</v>
      </c>
      <c r="F57" s="13">
        <f>D57-E57</f>
        <v/>
      </c>
      <c r="G57" s="14">
        <f>IF(D57=0,"",F57/D57)</f>
        <v/>
      </c>
    </row>
    <row r="58">
      <c r="A58" s="18" t="inlineStr">
        <is>
          <t>Installations</t>
        </is>
      </c>
      <c r="B58" s="18" t="inlineStr">
        <is>
          <t>Mar 25</t>
        </is>
      </c>
      <c r="C58" s="18" t="inlineStr">
        <is>
          <t>Locked</t>
        </is>
      </c>
      <c r="D58" s="13" t="n">
        <v>86100</v>
      </c>
      <c r="E58" s="13" t="n">
        <v>61664</v>
      </c>
      <c r="F58" s="13">
        <f>D58-E58</f>
        <v/>
      </c>
      <c r="G58" s="14">
        <f>IF(D58=0,"",F58/D58)</f>
        <v/>
      </c>
    </row>
    <row r="59">
      <c r="A59" s="18" t="inlineStr">
        <is>
          <t>Installations</t>
        </is>
      </c>
      <c r="B59" s="18" t="inlineStr">
        <is>
          <t>Apr 25</t>
        </is>
      </c>
      <c r="C59" s="18" t="inlineStr">
        <is>
          <t>Locked</t>
        </is>
      </c>
      <c r="D59" s="13" t="n">
        <v>74900</v>
      </c>
      <c r="E59" s="13" t="n">
        <v>52264</v>
      </c>
      <c r="F59" s="13">
        <f>D59-E59</f>
        <v/>
      </c>
      <c r="G59" s="14">
        <f>IF(D59=0,"",F59/D59)</f>
        <v/>
      </c>
    </row>
    <row r="60">
      <c r="A60" s="18" t="inlineStr">
        <is>
          <t>Installations</t>
        </is>
      </c>
      <c r="B60" s="18" t="inlineStr">
        <is>
          <t>May 25</t>
        </is>
      </c>
      <c r="C60" s="18" t="inlineStr">
        <is>
          <t>Locked</t>
        </is>
      </c>
      <c r="D60" s="13" t="n">
        <v>80300</v>
      </c>
      <c r="E60" s="13" t="n">
        <v>59534</v>
      </c>
      <c r="F60" s="13">
        <f>D60-E60</f>
        <v/>
      </c>
      <c r="G60" s="14">
        <f>IF(D60=0,"",F60/D60)</f>
        <v/>
      </c>
    </row>
    <row r="61">
      <c r="A61" s="18" t="inlineStr">
        <is>
          <t>Installations</t>
        </is>
      </c>
      <c r="B61" s="18" t="inlineStr">
        <is>
          <t>Jun 25</t>
        </is>
      </c>
      <c r="C61" s="18" t="inlineStr">
        <is>
          <t>Locked</t>
        </is>
      </c>
      <c r="D61" s="13" t="n">
        <v>112700</v>
      </c>
      <c r="E61" s="13" t="n">
        <v>72976</v>
      </c>
      <c r="F61" s="13">
        <f>D61-E61</f>
        <v/>
      </c>
      <c r="G61" s="14">
        <f>IF(D61=0,"",F61/D61)</f>
        <v/>
      </c>
    </row>
    <row r="62">
      <c r="A62" s="18" t="inlineStr">
        <is>
          <t>Installations</t>
        </is>
      </c>
      <c r="B62" s="18" t="inlineStr">
        <is>
          <t>Jul 25</t>
        </is>
      </c>
      <c r="C62" s="18" t="inlineStr">
        <is>
          <t>Locked</t>
        </is>
      </c>
      <c r="D62" s="13" t="n">
        <v>135800</v>
      </c>
      <c r="E62" s="13" t="n">
        <v>96920</v>
      </c>
      <c r="F62" s="13">
        <f>D62-E62</f>
        <v/>
      </c>
      <c r="G62" s="14">
        <f>IF(D62=0,"",F62/D62)</f>
        <v/>
      </c>
    </row>
    <row r="63">
      <c r="A63" s="18" t="inlineStr">
        <is>
          <t>Installations</t>
        </is>
      </c>
      <c r="B63" s="18" t="inlineStr">
        <is>
          <t>Aug 25</t>
        </is>
      </c>
      <c r="C63" s="18" t="inlineStr">
        <is>
          <t>Locked</t>
        </is>
      </c>
      <c r="D63" s="13" t="n">
        <v>86200</v>
      </c>
      <c r="E63" s="13" t="n">
        <v>53590</v>
      </c>
      <c r="F63" s="13">
        <f>D63-E63</f>
        <v/>
      </c>
      <c r="G63" s="14">
        <f>IF(D63=0,"",F63/D63)</f>
        <v/>
      </c>
    </row>
    <row r="64">
      <c r="A64" s="18" t="inlineStr">
        <is>
          <t>Installations</t>
        </is>
      </c>
      <c r="B64" s="18" t="inlineStr">
        <is>
          <t>Sep 25</t>
        </is>
      </c>
      <c r="C64" s="18" t="inlineStr">
        <is>
          <t>Locked</t>
        </is>
      </c>
      <c r="D64" s="13" t="n">
        <v>75100</v>
      </c>
      <c r="E64" s="13" t="n">
        <v>55440</v>
      </c>
      <c r="F64" s="13">
        <f>D64-E64</f>
        <v/>
      </c>
      <c r="G64" s="14">
        <f>IF(D64=0,"",F64/D64)</f>
        <v/>
      </c>
    </row>
    <row r="65">
      <c r="A65" s="18" t="inlineStr">
        <is>
          <t>Installations</t>
        </is>
      </c>
      <c r="B65" s="18" t="inlineStr">
        <is>
          <t>Oct 25</t>
        </is>
      </c>
      <c r="C65" s="18" t="inlineStr">
        <is>
          <t>Locked</t>
        </is>
      </c>
      <c r="D65" s="13" t="n">
        <v>70800</v>
      </c>
      <c r="E65" s="13" t="n">
        <v>52288</v>
      </c>
      <c r="F65" s="13">
        <f>D65-E65</f>
        <v/>
      </c>
      <c r="G65" s="14">
        <f>IF(D65=0,"",F65/D65)</f>
        <v/>
      </c>
    </row>
    <row r="66">
      <c r="A66" s="18" t="inlineStr">
        <is>
          <t>Installations</t>
        </is>
      </c>
      <c r="B66" s="18" t="inlineStr">
        <is>
          <t>Nov 25</t>
        </is>
      </c>
      <c r="C66" s="18" t="inlineStr">
        <is>
          <t>Locked</t>
        </is>
      </c>
      <c r="D66" s="13" t="n">
        <v>113300</v>
      </c>
      <c r="E66" s="13" t="n">
        <v>87174</v>
      </c>
      <c r="F66" s="13">
        <f>D66-E66</f>
        <v/>
      </c>
      <c r="G66" s="14">
        <f>IF(D66=0,"",F66/D66)</f>
        <v/>
      </c>
    </row>
    <row r="67">
      <c r="A67" s="18" t="inlineStr">
        <is>
          <t>Installations</t>
        </is>
      </c>
      <c r="B67" s="18" t="inlineStr">
        <is>
          <t>Dec 25</t>
        </is>
      </c>
      <c r="C67" s="18" t="inlineStr">
        <is>
          <t>Locked</t>
        </is>
      </c>
      <c r="D67" s="13" t="n">
        <v>69700</v>
      </c>
      <c r="E67" s="13" t="n">
        <v>53408</v>
      </c>
      <c r="F67" s="13">
        <f>D67-E67</f>
        <v/>
      </c>
      <c r="G67" s="14">
        <f>IF(D67=0,"",F67/D67)</f>
        <v/>
      </c>
    </row>
    <row r="68">
      <c r="A68" s="18" t="inlineStr">
        <is>
          <t>Installations</t>
        </is>
      </c>
      <c r="B68" s="18" t="inlineStr">
        <is>
          <t>Jan 26</t>
        </is>
      </c>
      <c r="C68" s="18" t="inlineStr">
        <is>
          <t>Locked</t>
        </is>
      </c>
      <c r="D68" s="13" t="n">
        <v>97500</v>
      </c>
      <c r="E68" s="13" t="n">
        <v>74216</v>
      </c>
      <c r="F68" s="13">
        <f>D68-E68</f>
        <v/>
      </c>
      <c r="G68" s="14">
        <f>IF(D68=0,"",F68/D68)</f>
        <v/>
      </c>
    </row>
    <row r="69">
      <c r="A69" s="18" t="inlineStr">
        <is>
          <t>Installations</t>
        </is>
      </c>
      <c r="B69" s="18" t="inlineStr">
        <is>
          <t>Feb 26</t>
        </is>
      </c>
      <c r="C69" s="18" t="inlineStr">
        <is>
          <t>Locked</t>
        </is>
      </c>
      <c r="D69" s="13" t="n">
        <v>129300</v>
      </c>
      <c r="E69" s="13" t="n">
        <v>88896</v>
      </c>
      <c r="F69" s="13">
        <f>D69-E69</f>
        <v/>
      </c>
      <c r="G69" s="14">
        <f>IF(D69=0,"",F69/D69)</f>
        <v/>
      </c>
    </row>
    <row r="70">
      <c r="A70" s="18" t="inlineStr">
        <is>
          <t>Installations</t>
        </is>
      </c>
      <c r="B70" s="18" t="inlineStr">
        <is>
          <t>Mar 26</t>
        </is>
      </c>
      <c r="C70" s="18" t="inlineStr">
        <is>
          <t>Locked</t>
        </is>
      </c>
      <c r="D70" s="13" t="n">
        <v>129400</v>
      </c>
      <c r="E70" s="13" t="n">
        <v>94290</v>
      </c>
      <c r="F70" s="13">
        <f>D70-E70</f>
        <v/>
      </c>
      <c r="G70" s="14">
        <f>IF(D70=0,"",F70/D70)</f>
        <v/>
      </c>
    </row>
    <row r="71">
      <c r="A71" s="18" t="inlineStr">
        <is>
          <t>Installations</t>
        </is>
      </c>
      <c r="B71" s="18" t="inlineStr">
        <is>
          <t>Apr 26</t>
        </is>
      </c>
      <c r="C71" s="18" t="inlineStr">
        <is>
          <t>Locked</t>
        </is>
      </c>
      <c r="D71" s="13" t="n">
        <v>104400</v>
      </c>
      <c r="E71" s="13" t="n">
        <v>68016</v>
      </c>
      <c r="F71" s="13">
        <f>D71-E71</f>
        <v/>
      </c>
      <c r="G71" s="14">
        <f>IF(D71=0,"",F71/D71)</f>
        <v/>
      </c>
    </row>
    <row r="72">
      <c r="A72" s="18" t="inlineStr">
        <is>
          <t>Installations</t>
        </is>
      </c>
      <c r="B72" s="18" t="inlineStr">
        <is>
          <t>May 26</t>
        </is>
      </c>
      <c r="C72" s="18" t="inlineStr">
        <is>
          <t>Locked</t>
        </is>
      </c>
      <c r="D72" s="13" t="n">
        <v>92400</v>
      </c>
      <c r="E72" s="13" t="n">
        <v>66240</v>
      </c>
      <c r="F72" s="13">
        <f>D72-E72</f>
        <v/>
      </c>
      <c r="G72" s="14">
        <f>IF(D72=0,"",F72/D72)</f>
        <v/>
      </c>
    </row>
    <row r="73">
      <c r="A73" s="18" t="inlineStr">
        <is>
          <t>Installations</t>
        </is>
      </c>
      <c r="B73" s="18" t="inlineStr">
        <is>
          <t>Jun 26</t>
        </is>
      </c>
      <c r="C73" s="18" t="inlineStr">
        <is>
          <t>Locked</t>
        </is>
      </c>
      <c r="D73" s="13" t="n">
        <v>103200</v>
      </c>
      <c r="E73" s="13" t="n">
        <v>73792</v>
      </c>
      <c r="F73" s="13">
        <f>D73-E73</f>
        <v/>
      </c>
      <c r="G73" s="14">
        <f>IF(D73=0,"",F73/D73)</f>
        <v/>
      </c>
    </row>
    <row r="74">
      <c r="A74" s="18" t="inlineStr">
        <is>
          <t>Installations</t>
        </is>
      </c>
      <c r="B74" s="18" t="inlineStr">
        <is>
          <t>Jul 26</t>
        </is>
      </c>
      <c r="C74" s="18" t="inlineStr">
        <is>
          <t>Locked</t>
        </is>
      </c>
      <c r="D74" s="13" t="n">
        <v>127600</v>
      </c>
      <c r="E74" s="13" t="n">
        <v>91520</v>
      </c>
      <c r="F74" s="13">
        <f>D74-E74</f>
        <v/>
      </c>
      <c r="G74" s="14">
        <f>IF(D74=0,"",F74/D74)</f>
        <v/>
      </c>
    </row>
    <row r="75">
      <c r="A75" s="18" t="inlineStr">
        <is>
          <t>Installations</t>
        </is>
      </c>
      <c r="B75" s="18" t="inlineStr">
        <is>
          <t>Aug 26</t>
        </is>
      </c>
      <c r="C75" s="18" t="inlineStr">
        <is>
          <t>Locked</t>
        </is>
      </c>
      <c r="D75" s="13" t="n">
        <v>109600</v>
      </c>
      <c r="E75" s="13" t="n">
        <v>72720</v>
      </c>
      <c r="F75" s="13">
        <f>D75-E75</f>
        <v/>
      </c>
      <c r="G75" s="14">
        <f>IF(D75=0,"",F75/D75)</f>
        <v/>
      </c>
    </row>
    <row r="76">
      <c r="A76" s="18" t="inlineStr">
        <is>
          <t>Installations</t>
        </is>
      </c>
      <c r="B76" s="18" t="inlineStr">
        <is>
          <t>Sep 26</t>
        </is>
      </c>
      <c r="C76" s="18" t="inlineStr">
        <is>
          <t>Locked</t>
        </is>
      </c>
      <c r="D76" s="13" t="n">
        <v>130700</v>
      </c>
      <c r="E76" s="13" t="n">
        <v>95368</v>
      </c>
      <c r="F76" s="13">
        <f>D76-E76</f>
        <v/>
      </c>
      <c r="G76" s="14">
        <f>IF(D76=0,"",F76/D76)</f>
        <v/>
      </c>
    </row>
    <row r="77">
      <c r="A77" s="18" t="inlineStr">
        <is>
          <t>Installations</t>
        </is>
      </c>
      <c r="B77" s="18" t="inlineStr">
        <is>
          <t>Oct 26</t>
        </is>
      </c>
      <c r="C77" s="18" t="inlineStr">
        <is>
          <t>Incomplete</t>
        </is>
      </c>
      <c r="D77" s="13" t="n">
        <v>33000</v>
      </c>
      <c r="E77" s="13" t="n">
        <v>25742</v>
      </c>
      <c r="F77" s="13">
        <f>D77-E77</f>
        <v/>
      </c>
      <c r="G77" s="14">
        <f>IF(D77=0,"",F77/D77)</f>
        <v/>
      </c>
    </row>
    <row r="78">
      <c r="A78" s="18" t="inlineStr">
        <is>
          <t>Call-outs and repairs</t>
        </is>
      </c>
      <c r="B78" s="18" t="inlineStr">
        <is>
          <t>Nov 24</t>
        </is>
      </c>
      <c r="C78" s="18" t="inlineStr">
        <is>
          <t>Locked</t>
        </is>
      </c>
      <c r="D78" s="13" t="n">
        <v>23404</v>
      </c>
      <c r="E78" s="13" t="n">
        <v>13526</v>
      </c>
      <c r="F78" s="13">
        <f>D78-E78</f>
        <v/>
      </c>
      <c r="G78" s="14">
        <f>IF(D78=0,"",F78/D78)</f>
        <v/>
      </c>
    </row>
    <row r="79">
      <c r="A79" s="18" t="inlineStr">
        <is>
          <t>Call-outs and repairs</t>
        </is>
      </c>
      <c r="B79" s="18" t="inlineStr">
        <is>
          <t>Dec 24</t>
        </is>
      </c>
      <c r="C79" s="18" t="inlineStr">
        <is>
          <t>Locked</t>
        </is>
      </c>
      <c r="D79" s="13" t="n">
        <v>25886</v>
      </c>
      <c r="E79" s="13" t="n">
        <v>14988</v>
      </c>
      <c r="F79" s="13">
        <f>D79-E79</f>
        <v/>
      </c>
      <c r="G79" s="14">
        <f>IF(D79=0,"",F79/D79)</f>
        <v/>
      </c>
    </row>
    <row r="80">
      <c r="A80" s="18" t="inlineStr">
        <is>
          <t>Call-outs and repairs</t>
        </is>
      </c>
      <c r="B80" s="18" t="inlineStr">
        <is>
          <t>Jan 25</t>
        </is>
      </c>
      <c r="C80" s="18" t="inlineStr">
        <is>
          <t>Locked</t>
        </is>
      </c>
      <c r="D80" s="13" t="n">
        <v>26839</v>
      </c>
      <c r="E80" s="13" t="n">
        <v>15644</v>
      </c>
      <c r="F80" s="13">
        <f>D80-E80</f>
        <v/>
      </c>
      <c r="G80" s="14">
        <f>IF(D80=0,"",F80/D80)</f>
        <v/>
      </c>
    </row>
    <row r="81">
      <c r="A81" s="18" t="inlineStr">
        <is>
          <t>Call-outs and repairs</t>
        </is>
      </c>
      <c r="B81" s="18" t="inlineStr">
        <is>
          <t>Feb 25</t>
        </is>
      </c>
      <c r="C81" s="18" t="inlineStr">
        <is>
          <t>Locked</t>
        </is>
      </c>
      <c r="D81" s="13" t="n">
        <v>27013</v>
      </c>
      <c r="E81" s="13" t="n">
        <v>15600</v>
      </c>
      <c r="F81" s="13">
        <f>D81-E81</f>
        <v/>
      </c>
      <c r="G81" s="14">
        <f>IF(D81=0,"",F81/D81)</f>
        <v/>
      </c>
    </row>
    <row r="82">
      <c r="A82" s="18" t="inlineStr">
        <is>
          <t>Call-outs and repairs</t>
        </is>
      </c>
      <c r="B82" s="18" t="inlineStr">
        <is>
          <t>Mar 25</t>
        </is>
      </c>
      <c r="C82" s="18" t="inlineStr">
        <is>
          <t>Locked</t>
        </is>
      </c>
      <c r="D82" s="13" t="n">
        <v>21052</v>
      </c>
      <c r="E82" s="13" t="n">
        <v>12306</v>
      </c>
      <c r="F82" s="13">
        <f>D82-E82</f>
        <v/>
      </c>
      <c r="G82" s="14">
        <f>IF(D82=0,"",F82/D82)</f>
        <v/>
      </c>
    </row>
    <row r="83">
      <c r="A83" s="18" t="inlineStr">
        <is>
          <t>Call-outs and repairs</t>
        </is>
      </c>
      <c r="B83" s="18" t="inlineStr">
        <is>
          <t>Apr 25</t>
        </is>
      </c>
      <c r="C83" s="18" t="inlineStr">
        <is>
          <t>Locked</t>
        </is>
      </c>
      <c r="D83" s="13" t="n">
        <v>21875</v>
      </c>
      <c r="E83" s="13" t="n">
        <v>12762</v>
      </c>
      <c r="F83" s="13">
        <f>D83-E83</f>
        <v/>
      </c>
      <c r="G83" s="14">
        <f>IF(D83=0,"",F83/D83)</f>
        <v/>
      </c>
    </row>
    <row r="84">
      <c r="A84" s="18" t="inlineStr">
        <is>
          <t>Call-outs and repairs</t>
        </is>
      </c>
      <c r="B84" s="18" t="inlineStr">
        <is>
          <t>May 25</t>
        </is>
      </c>
      <c r="C84" s="18" t="inlineStr">
        <is>
          <t>Locked</t>
        </is>
      </c>
      <c r="D84" s="13" t="n">
        <v>21586</v>
      </c>
      <c r="E84" s="13" t="n">
        <v>12384</v>
      </c>
      <c r="F84" s="13">
        <f>D84-E84</f>
        <v/>
      </c>
      <c r="G84" s="14">
        <f>IF(D84=0,"",F84/D84)</f>
        <v/>
      </c>
    </row>
    <row r="85">
      <c r="A85" s="18" t="inlineStr">
        <is>
          <t>Call-outs and repairs</t>
        </is>
      </c>
      <c r="B85" s="18" t="inlineStr">
        <is>
          <t>Jun 25</t>
        </is>
      </c>
      <c r="C85" s="18" t="inlineStr">
        <is>
          <t>Locked</t>
        </is>
      </c>
      <c r="D85" s="13" t="n">
        <v>19543</v>
      </c>
      <c r="E85" s="13" t="n">
        <v>11162</v>
      </c>
      <c r="F85" s="13">
        <f>D85-E85</f>
        <v/>
      </c>
      <c r="G85" s="14">
        <f>IF(D85=0,"",F85/D85)</f>
        <v/>
      </c>
    </row>
    <row r="86">
      <c r="A86" s="18" t="inlineStr">
        <is>
          <t>Call-outs and repairs</t>
        </is>
      </c>
      <c r="B86" s="18" t="inlineStr">
        <is>
          <t>Jul 25</t>
        </is>
      </c>
      <c r="C86" s="18" t="inlineStr">
        <is>
          <t>Locked</t>
        </is>
      </c>
      <c r="D86" s="13" t="n">
        <v>17760</v>
      </c>
      <c r="E86" s="13" t="n">
        <v>9960</v>
      </c>
      <c r="F86" s="13">
        <f>D86-E86</f>
        <v/>
      </c>
      <c r="G86" s="14">
        <f>IF(D86=0,"",F86/D86)</f>
        <v/>
      </c>
    </row>
    <row r="87">
      <c r="A87" s="18" t="inlineStr">
        <is>
          <t>Call-outs and repairs</t>
        </is>
      </c>
      <c r="B87" s="18" t="inlineStr">
        <is>
          <t>Aug 25</t>
        </is>
      </c>
      <c r="C87" s="18" t="inlineStr">
        <is>
          <t>Locked</t>
        </is>
      </c>
      <c r="D87" s="13" t="n">
        <v>19764</v>
      </c>
      <c r="E87" s="13" t="n">
        <v>11222</v>
      </c>
      <c r="F87" s="13">
        <f>D87-E87</f>
        <v/>
      </c>
      <c r="G87" s="14">
        <f>IF(D87=0,"",F87/D87)</f>
        <v/>
      </c>
    </row>
    <row r="88">
      <c r="A88" s="18" t="inlineStr">
        <is>
          <t>Call-outs and repairs</t>
        </is>
      </c>
      <c r="B88" s="18" t="inlineStr">
        <is>
          <t>Sep 25</t>
        </is>
      </c>
      <c r="C88" s="18" t="inlineStr">
        <is>
          <t>Locked</t>
        </is>
      </c>
      <c r="D88" s="13" t="n">
        <v>19955</v>
      </c>
      <c r="E88" s="13" t="n">
        <v>11168</v>
      </c>
      <c r="F88" s="13">
        <f>D88-E88</f>
        <v/>
      </c>
      <c r="G88" s="14">
        <f>IF(D88=0,"",F88/D88)</f>
        <v/>
      </c>
    </row>
    <row r="89">
      <c r="A89" s="18" t="inlineStr">
        <is>
          <t>Call-outs and repairs</t>
        </is>
      </c>
      <c r="B89" s="18" t="inlineStr">
        <is>
          <t>Oct 25</t>
        </is>
      </c>
      <c r="C89" s="18" t="inlineStr">
        <is>
          <t>Locked</t>
        </is>
      </c>
      <c r="D89" s="13" t="n">
        <v>22298</v>
      </c>
      <c r="E89" s="13" t="n">
        <v>12648</v>
      </c>
      <c r="F89" s="13">
        <f>D89-E89</f>
        <v/>
      </c>
      <c r="G89" s="14">
        <f>IF(D89=0,"",F89/D89)</f>
        <v/>
      </c>
    </row>
    <row r="90">
      <c r="A90" s="18" t="inlineStr">
        <is>
          <t>Call-outs and repairs</t>
        </is>
      </c>
      <c r="B90" s="18" t="inlineStr">
        <is>
          <t>Nov 25</t>
        </is>
      </c>
      <c r="C90" s="18" t="inlineStr">
        <is>
          <t>Locked</t>
        </is>
      </c>
      <c r="D90" s="13" t="n">
        <v>25686</v>
      </c>
      <c r="E90" s="13" t="n">
        <v>14252</v>
      </c>
      <c r="F90" s="13">
        <f>D90-E90</f>
        <v/>
      </c>
      <c r="G90" s="14">
        <f>IF(D90=0,"",F90/D90)</f>
        <v/>
      </c>
    </row>
    <row r="91">
      <c r="A91" s="18" t="inlineStr">
        <is>
          <t>Call-outs and repairs</t>
        </is>
      </c>
      <c r="B91" s="18" t="inlineStr">
        <is>
          <t>Dec 25</t>
        </is>
      </c>
      <c r="C91" s="18" t="inlineStr">
        <is>
          <t>Locked</t>
        </is>
      </c>
      <c r="D91" s="13" t="n">
        <v>29579</v>
      </c>
      <c r="E91" s="13" t="n">
        <v>16702</v>
      </c>
      <c r="F91" s="13">
        <f>D91-E91</f>
        <v/>
      </c>
      <c r="G91" s="14">
        <f>IF(D91=0,"",F91/D91)</f>
        <v/>
      </c>
    </row>
    <row r="92">
      <c r="A92" s="18" t="inlineStr">
        <is>
          <t>Call-outs and repairs</t>
        </is>
      </c>
      <c r="B92" s="18" t="inlineStr">
        <is>
          <t>Jan 26</t>
        </is>
      </c>
      <c r="C92" s="18" t="inlineStr">
        <is>
          <t>Locked</t>
        </is>
      </c>
      <c r="D92" s="13" t="n">
        <v>31480</v>
      </c>
      <c r="E92" s="13" t="n">
        <v>17858</v>
      </c>
      <c r="F92" s="13">
        <f>D92-E92</f>
        <v/>
      </c>
      <c r="G92" s="14">
        <f>IF(D92=0,"",F92/D92)</f>
        <v/>
      </c>
    </row>
    <row r="93">
      <c r="A93" s="18" t="inlineStr">
        <is>
          <t>Call-outs and repairs</t>
        </is>
      </c>
      <c r="B93" s="18" t="inlineStr">
        <is>
          <t>Feb 26</t>
        </is>
      </c>
      <c r="C93" s="18" t="inlineStr">
        <is>
          <t>Locked</t>
        </is>
      </c>
      <c r="D93" s="13" t="n">
        <v>29572</v>
      </c>
      <c r="E93" s="13" t="n">
        <v>16608</v>
      </c>
      <c r="F93" s="13">
        <f>D93-E93</f>
        <v/>
      </c>
      <c r="G93" s="14">
        <f>IF(D93=0,"",F93/D93)</f>
        <v/>
      </c>
    </row>
    <row r="94">
      <c r="A94" s="18" t="inlineStr">
        <is>
          <t>Call-outs and repairs</t>
        </is>
      </c>
      <c r="B94" s="18" t="inlineStr">
        <is>
          <t>Mar 26</t>
        </is>
      </c>
      <c r="C94" s="18" t="inlineStr">
        <is>
          <t>Locked</t>
        </is>
      </c>
      <c r="D94" s="13" t="n">
        <v>24600</v>
      </c>
      <c r="E94" s="13" t="n">
        <v>13894</v>
      </c>
      <c r="F94" s="13">
        <f>D94-E94</f>
        <v/>
      </c>
      <c r="G94" s="14">
        <f>IF(D94=0,"",F94/D94)</f>
        <v/>
      </c>
    </row>
    <row r="95">
      <c r="A95" s="18" t="inlineStr">
        <is>
          <t>Call-outs and repairs</t>
        </is>
      </c>
      <c r="B95" s="18" t="inlineStr">
        <is>
          <t>Apr 26</t>
        </is>
      </c>
      <c r="C95" s="18" t="inlineStr">
        <is>
          <t>Locked</t>
        </is>
      </c>
      <c r="D95" s="13" t="n">
        <v>23087</v>
      </c>
      <c r="E95" s="13" t="n">
        <v>12970</v>
      </c>
      <c r="F95" s="13">
        <f>D95-E95</f>
        <v/>
      </c>
      <c r="G95" s="14">
        <f>IF(D95=0,"",F95/D95)</f>
        <v/>
      </c>
    </row>
    <row r="96">
      <c r="A96" s="18" t="inlineStr">
        <is>
          <t>Call-outs and repairs</t>
        </is>
      </c>
      <c r="B96" s="18" t="inlineStr">
        <is>
          <t>May 26</t>
        </is>
      </c>
      <c r="C96" s="18" t="inlineStr">
        <is>
          <t>Locked</t>
        </is>
      </c>
      <c r="D96" s="13" t="n">
        <v>29063</v>
      </c>
      <c r="E96" s="13" t="n">
        <v>16234</v>
      </c>
      <c r="F96" s="13">
        <f>D96-E96</f>
        <v/>
      </c>
      <c r="G96" s="14">
        <f>IF(D96=0,"",F96/D96)</f>
        <v/>
      </c>
    </row>
    <row r="97">
      <c r="A97" s="18" t="inlineStr">
        <is>
          <t>Call-outs and repairs</t>
        </is>
      </c>
      <c r="B97" s="18" t="inlineStr">
        <is>
          <t>Jun 26</t>
        </is>
      </c>
      <c r="C97" s="18" t="inlineStr">
        <is>
          <t>Locked</t>
        </is>
      </c>
      <c r="D97" s="13" t="n">
        <v>29463</v>
      </c>
      <c r="E97" s="13" t="n">
        <v>16324</v>
      </c>
      <c r="F97" s="13">
        <f>D97-E97</f>
        <v/>
      </c>
      <c r="G97" s="14">
        <f>IF(D97=0,"",F97/D97)</f>
        <v/>
      </c>
    </row>
    <row r="98">
      <c r="A98" s="18" t="inlineStr">
        <is>
          <t>Call-outs and repairs</t>
        </is>
      </c>
      <c r="B98" s="18" t="inlineStr">
        <is>
          <t>Jul 26</t>
        </is>
      </c>
      <c r="C98" s="18" t="inlineStr">
        <is>
          <t>Locked</t>
        </is>
      </c>
      <c r="D98" s="13" t="n">
        <v>25145</v>
      </c>
      <c r="E98" s="13" t="n">
        <v>14220</v>
      </c>
      <c r="F98" s="13">
        <f>D98-E98</f>
        <v/>
      </c>
      <c r="G98" s="14">
        <f>IF(D98=0,"",F98/D98)</f>
        <v/>
      </c>
    </row>
    <row r="99">
      <c r="A99" s="18" t="inlineStr">
        <is>
          <t>Call-outs and repairs</t>
        </is>
      </c>
      <c r="B99" s="18" t="inlineStr">
        <is>
          <t>Aug 26</t>
        </is>
      </c>
      <c r="C99" s="18" t="inlineStr">
        <is>
          <t>Locked</t>
        </is>
      </c>
      <c r="D99" s="13" t="n">
        <v>28907</v>
      </c>
      <c r="E99" s="13" t="n">
        <v>16266</v>
      </c>
      <c r="F99" s="13">
        <f>D99-E99</f>
        <v/>
      </c>
      <c r="G99" s="14">
        <f>IF(D99=0,"",F99/D99)</f>
        <v/>
      </c>
    </row>
    <row r="100">
      <c r="A100" s="18" t="inlineStr">
        <is>
          <t>Call-outs and repairs</t>
        </is>
      </c>
      <c r="B100" s="18" t="inlineStr">
        <is>
          <t>Sep 26</t>
        </is>
      </c>
      <c r="C100" s="18" t="inlineStr">
        <is>
          <t>Locked</t>
        </is>
      </c>
      <c r="D100" s="13" t="n">
        <v>31137</v>
      </c>
      <c r="E100" s="13" t="n">
        <v>17478</v>
      </c>
      <c r="F100" s="13">
        <f>D100-E100</f>
        <v/>
      </c>
      <c r="G100" s="14">
        <f>IF(D100=0,"",F100/D100)</f>
        <v/>
      </c>
    </row>
    <row r="101">
      <c r="A101" s="18" t="inlineStr">
        <is>
          <t>Call-outs and repairs</t>
        </is>
      </c>
      <c r="B101" s="18" t="inlineStr">
        <is>
          <t>Oct 26</t>
        </is>
      </c>
      <c r="C101" s="18" t="inlineStr">
        <is>
          <t>Incomplete</t>
        </is>
      </c>
      <c r="D101" s="13" t="n">
        <v>3375</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2026-10-06T07:09:28Z</dcterms:created>
  <dcterms:modified xmlns:dcterms="http://purl.org/dc/terms/" xmlns:xsi="http://www.w3.org/2001/XMLSchema-instance" xsi:type="dcterms:W3CDTF">2026-10-06T07:09:28Z</dcterms:modified>
</cp:coreProperties>
</file>