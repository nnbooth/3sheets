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sheetId="3" state="visible" r:id="rId3"/>
  </sheets>
  <definedNames>
    <definedName name="_xlnm.Print_Titles" localSheetId="2">'Data'!$5:$5</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F7A5D"/>
    </font>
    <font>
      <name val="Roboto"/>
      <b val="1"/>
      <color rgb="002F7A5D"/>
      <sz val="12"/>
    </font>
    <font>
      <name val="Roboto"/>
      <i val="1"/>
      <color rgb="005F6F63"/>
    </font>
    <font>
      <name val="Roboto"/>
      <b val="1"/>
      <color rgb="00FFFFFF"/>
    </font>
    <font>
      <name val="Roboto"/>
      <b val="1"/>
    </font>
    <font>
      <name val="Roboto"/>
      <color rgb="005F6F63"/>
    </font>
    <font>
      <name val="Roboto"/>
      <b val="1"/>
      <color rgb="0025342A"/>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9">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9" fillId="0" borderId="0" pivotButton="0" quotePrefix="0" xfId="0"/>
    <xf numFmtId="0" fontId="10"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01"/>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t>
        </is>
      </c>
    </row>
    <row r="3">
      <c r="A3" s="2" t="inlineStr">
        <is>
          <t>Period: October 2026 to date · Data status: Sep 2026 locked · Oct 2026 incomplete (data retrieved 2pm, Tue 6 Oct 2026)</t>
        </is>
      </c>
    </row>
    <row r="4"/>
    <row r="5" ht="32" customHeight="1">
      <c r="A5" s="3" t="inlineStr">
        <is>
          <t>Every job's gross margin: revenue less materials, subcontractors and technician time at $68 an hour (fully loaded: wages and all on-costs). Pick a type of job and every number, chart and note on the page follows it.</t>
        </is>
      </c>
    </row>
    <row r="6"/>
    <row r="7">
      <c r="A7" s="4" t="inlineStr">
        <is>
          <t>Gross margin, not profit</t>
        </is>
      </c>
    </row>
    <row r="8" ht="90" customHeight="1">
      <c r="A8"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9"/>
    <row r="10">
      <c r="A10" s="4" t="inlineStr">
        <is>
          <t>From gross margin to profit · latest closed month: September</t>
        </is>
      </c>
    </row>
    <row r="11" ht="75" customHeight="1">
      <c r="A11" s="3" t="inlineStr">
        <is>
          <t>October is still in progress and wages are paid fortnightly, so a part month can't be bridged: this is September, the latest closed month. September's jobs made $73,107 gross margin (36.1%). Technician time not charged to jobs took $3,430 and overheads $59,580, leaving $10,097 profit before tax (5.0% of revenue). To cover overheads, jobs need a 31.1% gross margin on average. (Workings sheet: "From gross margin to profit".)</t>
        </is>
      </c>
    </row>
    <row r="12"/>
    <row r="13">
      <c r="A13" s="5" t="inlineStr">
        <is>
          <t>Type of job: All jobs</t>
        </is>
      </c>
    </row>
    <row r="14">
      <c r="A14" s="6" t="inlineStr">
        <is>
          <t>Headline number</t>
        </is>
      </c>
      <c r="B14" s="7" t="inlineStr">
        <is>
          <t>Value</t>
        </is>
      </c>
      <c r="C14" s="7" t="inlineStr">
        <is>
          <t>Compared with</t>
        </is>
      </c>
    </row>
    <row r="15">
      <c r="A15" t="inlineStr">
        <is>
          <t>Job gross margin, October so far · All jobs</t>
        </is>
      </c>
      <c r="B15" s="8">
        <f>Workings!B28</f>
        <v/>
      </c>
      <c r="C15" s="9" t="inlineStr">
        <is>
          <t>target 35.0%</t>
        </is>
      </c>
    </row>
    <row r="16">
      <c r="A16" t="inlineStr">
        <is>
          <t>Job gross margin, September · All jobs</t>
        </is>
      </c>
      <c r="B16" s="8">
        <f>Workings!B38</f>
        <v/>
      </c>
      <c r="C16" s="9" t="inlineStr">
        <is>
          <t>target 35.0%</t>
        </is>
      </c>
    </row>
    <row r="17">
      <c r="A17" t="inlineStr">
        <is>
          <t>Gross margin jobs need to break even</t>
        </is>
      </c>
      <c r="B17" s="8">
        <f>Workings!B55</f>
        <v/>
      </c>
      <c r="C17" s="9" t="inlineStr">
        <is>
          <t>covers overheads and time not charged (September)</t>
        </is>
      </c>
    </row>
    <row r="18"/>
    <row r="19">
      <c r="A19" s="10" t="inlineStr">
        <is>
          <t>Job gross margin by type of job, October 2026 to date</t>
        </is>
      </c>
    </row>
    <row r="20">
      <c r="A20" s="6" t="inlineStr"/>
      <c r="B20" s="7" t="inlineStr">
        <is>
          <t>Gross margin %</t>
        </is>
      </c>
      <c r="C20" s="7" t="inlineStr">
        <is>
          <t>Gross margin $</t>
        </is>
      </c>
    </row>
    <row r="21">
      <c r="A21" t="inlineStr">
        <is>
          <t>Maintenance contracts</t>
        </is>
      </c>
      <c r="B21" s="8">
        <f>Workings!B65</f>
        <v/>
      </c>
      <c r="C21" s="11">
        <f>Workings!B64</f>
        <v/>
      </c>
    </row>
    <row r="22">
      <c r="A22" t="inlineStr">
        <is>
          <t>Installations</t>
        </is>
      </c>
      <c r="B22" s="8">
        <f>Workings!B74</f>
        <v/>
      </c>
      <c r="C22" s="11">
        <f>Workings!B73</f>
        <v/>
      </c>
    </row>
    <row r="23">
      <c r="A23" t="inlineStr">
        <is>
          <t>Call-outs and repairs</t>
        </is>
      </c>
      <c r="B23" s="8">
        <f>Workings!B83</f>
        <v/>
      </c>
      <c r="C23" s="11">
        <f>Workings!B82</f>
        <v/>
      </c>
    </row>
    <row r="24"/>
    <row r="25">
      <c r="A25" s="4" t="inlineStr">
        <is>
          <t>What it shows</t>
        </is>
      </c>
    </row>
    <row r="26" ht="45" customHeight="1">
      <c r="A26" s="3" t="inlineStr">
        <is>
          <t>In October so far maintenance contracts made a 59.5% job gross margin, installations made a 22.0% job gross margin, call-outs and repairs made a 45.0% job gross margin (technician time at $68 an hour, wages and all on-costs). Jobs need 31.1% just to cover overheads.</t>
        </is>
      </c>
    </row>
    <row r="27"/>
    <row r="28">
      <c r="A28" s="4" t="inlineStr">
        <is>
          <t>What you'd do about it</t>
        </is>
      </c>
    </row>
    <row r="29" ht="60" customHeight="1">
      <c r="A29" s="3" t="inlineStr">
        <is>
          <t>Installations: 22.0% gross margin, 13.0 points under the 35.0% target: about $4,292 on $33,000 of revenue in October so far. It's below the 31.1% needed to cover overheads, too. Maintenance contracts: 59.5% gross margin, 24.5 points over the 35.0% target ($9,941 ahead on $40,500 in October so far).</t>
        </is>
      </c>
    </row>
    <row r="30"/>
    <row r="31">
      <c r="A31" s="5" t="inlineStr">
        <is>
          <t>Type of job: Maintenance contracts</t>
        </is>
      </c>
    </row>
    <row r="32">
      <c r="A32" s="6" t="inlineStr">
        <is>
          <t>Headline number</t>
        </is>
      </c>
      <c r="B32" s="7" t="inlineStr">
        <is>
          <t>Value</t>
        </is>
      </c>
      <c r="C32" s="7" t="inlineStr">
        <is>
          <t>Compared with</t>
        </is>
      </c>
    </row>
    <row r="33">
      <c r="A33" t="inlineStr">
        <is>
          <t>Job gross margin, October so far · Maintenance contracts</t>
        </is>
      </c>
      <c r="B33" s="8">
        <f>Workings!B92</f>
        <v/>
      </c>
      <c r="C33" s="9" t="inlineStr">
        <is>
          <t>target 35.0%</t>
        </is>
      </c>
    </row>
    <row r="34">
      <c r="A34" t="inlineStr">
        <is>
          <t>Job gross margin, September · Maintenance contracts</t>
        </is>
      </c>
      <c r="B34" s="8">
        <f>Workings!B102</f>
        <v/>
      </c>
      <c r="C34" s="9" t="inlineStr">
        <is>
          <t>target 35.0%</t>
        </is>
      </c>
    </row>
    <row r="35">
      <c r="A35" t="inlineStr">
        <is>
          <t>Gross margin jobs need to break even</t>
        </is>
      </c>
      <c r="B35" s="8">
        <f>Workings!B119</f>
        <v/>
      </c>
      <c r="C35" s="9" t="inlineStr">
        <is>
          <t>covers overheads and time not charged (September)</t>
        </is>
      </c>
    </row>
    <row r="36"/>
    <row r="37">
      <c r="A37" s="10" t="inlineStr">
        <is>
          <t>Job gross margin on each maintenance contract, October 2026 to date</t>
        </is>
      </c>
    </row>
    <row r="38">
      <c r="A38" s="6" t="inlineStr"/>
      <c r="B38" s="7" t="inlineStr">
        <is>
          <t>Gross margin %</t>
        </is>
      </c>
      <c r="C38" s="7" t="inlineStr">
        <is>
          <t>Gross margin $</t>
        </is>
      </c>
    </row>
    <row r="39">
      <c r="A39" t="inlineStr">
        <is>
          <t>Carindale vet clinic</t>
        </is>
      </c>
      <c r="B39" s="8">
        <f>Workings!B133</f>
        <v/>
      </c>
      <c r="C39" s="11">
        <f>Workings!B132</f>
        <v/>
      </c>
    </row>
    <row r="40">
      <c r="A40" t="inlineStr">
        <is>
          <t>Wynnum medical centre</t>
        </is>
      </c>
      <c r="B40" s="8">
        <f>Workings!B146</f>
        <v/>
      </c>
      <c r="C40" s="11">
        <f>Workings!B145</f>
        <v/>
      </c>
    </row>
    <row r="41">
      <c r="A41" t="inlineStr">
        <is>
          <t>Southbank cafe group</t>
        </is>
      </c>
      <c r="B41" s="8">
        <f>Workings!B159</f>
        <v/>
      </c>
      <c r="C41" s="11">
        <f>Workings!B158</f>
        <v/>
      </c>
    </row>
    <row r="42">
      <c r="A42" t="inlineStr">
        <is>
          <t>Ashgrove aged care</t>
        </is>
      </c>
      <c r="B42" s="8">
        <f>Workings!B172</f>
        <v/>
      </c>
      <c r="C42" s="11">
        <f>Workings!B171</f>
        <v/>
      </c>
    </row>
    <row r="43">
      <c r="A43" t="inlineStr">
        <is>
          <t>Fortitude Valley hotel</t>
        </is>
      </c>
      <c r="B43" s="8">
        <f>Workings!B185</f>
        <v/>
      </c>
      <c r="C43" s="11">
        <f>Workings!B184</f>
        <v/>
      </c>
    </row>
    <row r="44">
      <c r="A44" t="inlineStr">
        <is>
          <t>Riverside Apartments (strata)</t>
        </is>
      </c>
      <c r="B44" s="8">
        <f>Workings!B198</f>
        <v/>
      </c>
      <c r="C44" s="11">
        <f>Workings!B197</f>
        <v/>
      </c>
    </row>
    <row r="45">
      <c r="A45" t="inlineStr">
        <is>
          <t>Newstead gym</t>
        </is>
      </c>
      <c r="B45" s="8">
        <f>Workings!B211</f>
        <v/>
      </c>
      <c r="C45" s="11">
        <f>Workings!B210</f>
        <v/>
      </c>
    </row>
    <row r="46">
      <c r="A46" t="inlineStr">
        <is>
          <t>Chermside retail centre</t>
        </is>
      </c>
      <c r="B46" s="8">
        <f>Workings!B224</f>
        <v/>
      </c>
      <c r="C46" s="11">
        <f>Workings!B223</f>
        <v/>
      </c>
    </row>
    <row r="47">
      <c r="A47" t="inlineStr">
        <is>
          <t>Wacol logistics depot</t>
        </is>
      </c>
      <c r="B47" s="8">
        <f>Workings!B237</f>
        <v/>
      </c>
      <c r="C47" s="11">
        <f>Workings!B236</f>
        <v/>
      </c>
    </row>
    <row r="48">
      <c r="A48" t="inlineStr">
        <is>
          <t>Milton office tower</t>
        </is>
      </c>
      <c r="B48" s="8">
        <f>Workings!B250</f>
        <v/>
      </c>
      <c r="C48" s="11">
        <f>Workings!B249</f>
        <v/>
      </c>
    </row>
    <row r="49">
      <c r="A49" t="inlineStr">
        <is>
          <t>Bulimba school</t>
        </is>
      </c>
      <c r="B49" s="8">
        <f>Workings!B263</f>
        <v/>
      </c>
      <c r="C49" s="11">
        <f>Workings!B262</f>
        <v/>
      </c>
    </row>
    <row r="50">
      <c r="A50" t="inlineStr">
        <is>
          <t>West End brewery</t>
        </is>
      </c>
      <c r="B50" s="8">
        <f>Workings!B276</f>
        <v/>
      </c>
      <c r="C50" s="11">
        <f>Workings!B275</f>
        <v/>
      </c>
    </row>
    <row r="51">
      <c r="A51" t="inlineStr">
        <is>
          <t>Rocklea factory</t>
        </is>
      </c>
      <c r="B51" s="8">
        <f>Workings!B289</f>
        <v/>
      </c>
      <c r="C51" s="11">
        <f>Workings!B288</f>
        <v/>
      </c>
    </row>
    <row r="52">
      <c r="A52" t="inlineStr">
        <is>
          <t>Kangaroo Point townhouses</t>
        </is>
      </c>
      <c r="B52" s="8">
        <f>Workings!B302</f>
        <v/>
      </c>
      <c r="C52" s="11">
        <f>Workings!B301</f>
        <v/>
      </c>
    </row>
    <row r="53"/>
    <row r="54">
      <c r="A54" s="4" t="inlineStr">
        <is>
          <t>What it shows</t>
        </is>
      </c>
    </row>
    <row r="55" ht="30" customHeight="1">
      <c r="A55" s="3" t="inlineStr">
        <is>
          <t>All 14 contracts made more than the 35.0% job gross margin target. The thinnest was Kangaroo Point townhouses at 58.2% job gross margin: 14.0 h of technician time on a $2,400 monthly fee.</t>
        </is>
      </c>
    </row>
    <row r="56"/>
    <row r="57">
      <c r="A57" s="4" t="inlineStr">
        <is>
          <t>What you'd do about it</t>
        </is>
      </c>
    </row>
    <row r="58" ht="45" customHeight="1">
      <c r="A58" s="3" t="inlineStr">
        <is>
          <t>The thinnest, Kangaroo Point townhouses: 58.2% gross margin, 23.3 points over the 35.0% target ($558 ahead on $2,400 in October so far). All maintenance contracts: 59.5% gross margin, 24.5 points over the 35.0% target ($9,941 ahead on $40,500 in October so far).</t>
        </is>
      </c>
    </row>
    <row r="59"/>
    <row r="60">
      <c r="A60" s="5" t="inlineStr">
        <is>
          <t>Type of job: Installations</t>
        </is>
      </c>
    </row>
    <row r="61">
      <c r="A61" s="6" t="inlineStr">
        <is>
          <t>Headline number</t>
        </is>
      </c>
      <c r="B61" s="7" t="inlineStr">
        <is>
          <t>Value</t>
        </is>
      </c>
      <c r="C61" s="7" t="inlineStr">
        <is>
          <t>Compared with</t>
        </is>
      </c>
    </row>
    <row r="62">
      <c r="A62" t="inlineStr">
        <is>
          <t>Job gross margin, October so far · Installations</t>
        </is>
      </c>
      <c r="B62" s="8">
        <f>Workings!B311</f>
        <v/>
      </c>
      <c r="C62" s="9" t="inlineStr">
        <is>
          <t>target 35.0%</t>
        </is>
      </c>
    </row>
    <row r="63">
      <c r="A63" t="inlineStr">
        <is>
          <t>Job gross margin, September · Installations</t>
        </is>
      </c>
      <c r="B63" s="8">
        <f>Workings!B321</f>
        <v/>
      </c>
      <c r="C63" s="9" t="inlineStr">
        <is>
          <t>target 35.0%</t>
        </is>
      </c>
    </row>
    <row r="64">
      <c r="A64" t="inlineStr">
        <is>
          <t>Gross margin jobs need to break even</t>
        </is>
      </c>
      <c r="B64" s="8">
        <f>Workings!B338</f>
        <v/>
      </c>
      <c r="C64" s="9" t="inlineStr">
        <is>
          <t>covers overheads and time not charged (September)</t>
        </is>
      </c>
    </row>
    <row r="65"/>
    <row r="66">
      <c r="A66" s="10" t="inlineStr">
        <is>
          <t>Job gross margin on each installation invoiced in October 2026 to date</t>
        </is>
      </c>
    </row>
    <row r="67">
      <c r="A67" s="6" t="inlineStr"/>
      <c r="B67" s="7" t="inlineStr">
        <is>
          <t>Gross margin %</t>
        </is>
      </c>
      <c r="C67" s="7" t="inlineStr">
        <is>
          <t>Gross margin $</t>
        </is>
      </c>
    </row>
    <row r="68">
      <c r="A68" t="inlineStr">
        <is>
          <t>Morningside house air-con install</t>
        </is>
      </c>
      <c r="B68" s="8">
        <f>Workings!B352</f>
        <v/>
      </c>
      <c r="C68" s="11">
        <f>Workings!B351</f>
        <v/>
      </c>
    </row>
    <row r="69"/>
    <row r="70">
      <c r="A70" s="4" t="inlineStr">
        <is>
          <t>What it shows</t>
        </is>
      </c>
    </row>
    <row r="71" ht="60" customHeight="1">
      <c r="A71" s="3" t="inlineStr">
        <is>
          <t>1 of the 1 installation jobs invoiced in October so far made less than the 35.0% job gross margin target. The Morningside house air-con install made a 22.0% job gross margin: 131.5 h of technician time ($8,942) and $2,300 of subcontractors on a $33,000 job. Jobs need 31.1% gross margin just to cover overheads.</t>
        </is>
      </c>
    </row>
    <row r="72"/>
    <row r="73">
      <c r="A73" s="4" t="inlineStr">
        <is>
          <t>What you'd do about it</t>
        </is>
      </c>
    </row>
    <row r="74" ht="60" customHeight="1">
      <c r="A74" s="3" t="inlineStr">
        <is>
          <t>1 installation under the 35.0% target, worth about $4,292 between them on $33,000 of revenue. The biggest gap, Morningside house air-con install: 22.0% gross margin, 13.0 points under the 35.0% target: about $4,292 on $33,000 of revenue in October so far. It's below the 31.1% needed to cover overheads, too.</t>
        </is>
      </c>
    </row>
    <row r="75"/>
    <row r="76">
      <c r="A76" s="5" t="inlineStr">
        <is>
          <t>Type of job: Call-outs and repairs</t>
        </is>
      </c>
    </row>
    <row r="77">
      <c r="A77" s="6" t="inlineStr">
        <is>
          <t>Headline number</t>
        </is>
      </c>
      <c r="B77" s="7" t="inlineStr">
        <is>
          <t>Value</t>
        </is>
      </c>
      <c r="C77" s="7" t="inlineStr">
        <is>
          <t>Compared with</t>
        </is>
      </c>
    </row>
    <row r="78">
      <c r="A78" t="inlineStr">
        <is>
          <t>Job gross margin, October so far · Call-outs and repairs</t>
        </is>
      </c>
      <c r="B78" s="8">
        <f>Workings!B361</f>
        <v/>
      </c>
      <c r="C78" s="9" t="inlineStr">
        <is>
          <t>target 35.0%</t>
        </is>
      </c>
    </row>
    <row r="79">
      <c r="A79" t="inlineStr">
        <is>
          <t>Job gross margin, September · Call-outs and repairs</t>
        </is>
      </c>
      <c r="B79" s="8">
        <f>Workings!B371</f>
        <v/>
      </c>
      <c r="C79" s="9" t="inlineStr">
        <is>
          <t>target 35.0%</t>
        </is>
      </c>
    </row>
    <row r="80">
      <c r="A80" t="inlineStr">
        <is>
          <t>Gross margin jobs need to break even</t>
        </is>
      </c>
      <c r="B80" s="8">
        <f>Workings!B388</f>
        <v/>
      </c>
      <c r="C80" s="9" t="inlineStr">
        <is>
          <t>covers overheads and time not charged (September)</t>
        </is>
      </c>
    </row>
    <row r="81">
      <c r="A81" t="inlineStr">
        <is>
          <t>Technician time charged, October so far</t>
        </is>
      </c>
      <c r="B81" s="8">
        <f>Workings!B401</f>
        <v/>
      </c>
      <c r="C81" s="9" t="inlineStr">
        <is>
          <t>73.0% of call-out revenue</t>
        </is>
      </c>
    </row>
    <row r="82">
      <c r="A82" t="inlineStr">
        <is>
          <t>Materials charged, October so far</t>
        </is>
      </c>
      <c r="B82" s="8">
        <f>Workings!B413</f>
        <v/>
      </c>
      <c r="C82" s="9" t="inlineStr">
        <is>
          <t>$700 at cost, plus 30%</t>
        </is>
      </c>
    </row>
    <row r="83"/>
    <row r="84">
      <c r="A84" s="10" t="inlineStr">
        <is>
          <t>Job gross margin on call-outs by length, October 2026 to date</t>
        </is>
      </c>
    </row>
    <row r="85">
      <c r="A85" s="6" t="inlineStr"/>
      <c r="B85" s="7" t="inlineStr">
        <is>
          <t>Gross margin %</t>
        </is>
      </c>
      <c r="C85" s="7" t="inlineStr">
        <is>
          <t>Gross margin $</t>
        </is>
      </c>
    </row>
    <row r="86">
      <c r="A86" t="inlineStr">
        <is>
          <t>1-hour call-outs (2)</t>
        </is>
      </c>
      <c r="B86" s="8">
        <f>Workings!B426</f>
        <v/>
      </c>
      <c r="C86" s="11">
        <f>Workings!B425</f>
        <v/>
      </c>
    </row>
    <row r="87">
      <c r="A87" t="inlineStr">
        <is>
          <t>1.5-hour call-outs (1)</t>
        </is>
      </c>
      <c r="B87" s="8">
        <f>Workings!B439</f>
        <v/>
      </c>
      <c r="C87" s="11">
        <f>Workings!B438</f>
        <v/>
      </c>
    </row>
    <row r="88">
      <c r="A88" t="inlineStr">
        <is>
          <t>2.5-hour call-outs (1)</t>
        </is>
      </c>
      <c r="B88" s="8">
        <f>Workings!B452</f>
        <v/>
      </c>
      <c r="C88" s="11">
        <f>Workings!B451</f>
        <v/>
      </c>
    </row>
    <row r="89">
      <c r="A89" t="inlineStr">
        <is>
          <t>3-hour call-outs (1)</t>
        </is>
      </c>
      <c r="B89" s="8">
        <f>Workings!B465</f>
        <v/>
      </c>
      <c r="C89" s="11">
        <f>Workings!B464</f>
        <v/>
      </c>
    </row>
    <row r="90">
      <c r="A90" t="inlineStr">
        <is>
          <t>4-hour call-outs (2)</t>
        </is>
      </c>
      <c r="B90" s="8">
        <f>Workings!B478</f>
        <v/>
      </c>
      <c r="C90" s="11">
        <f>Workings!B477</f>
        <v/>
      </c>
    </row>
    <row r="91"/>
    <row r="92">
      <c r="A92" s="4" t="inlineStr">
        <is>
          <t>What it shows</t>
        </is>
      </c>
    </row>
    <row r="93" ht="60" customHeight="1">
      <c r="A93" s="3" t="inlineStr">
        <is>
          <t>7 call-outs in October so far billed $2,465 of technician time and $910 of materials ($700 at cost plus 30%), and made a 45.0% job gross margin between them. Gross margins run from 41.0% to 48.1% by length: the hourly rate covers technician time comfortably, so the gross margin mostly moves with how much material goes on the van.</t>
        </is>
      </c>
    </row>
    <row r="94"/>
    <row r="95">
      <c r="A95" s="4" t="inlineStr">
        <is>
          <t>What you'd do about it</t>
        </is>
      </c>
    </row>
    <row r="96" ht="30" customHeight="1">
      <c r="A96" s="3" t="inlineStr">
        <is>
          <t>All call-outs: 45.0% gross margin, 10.0 points over the 35.0% target ($338 ahead on $3,375 in October so far).</t>
        </is>
      </c>
    </row>
    <row r="97"/>
    <row r="98">
      <c r="A98" s="5" t="inlineStr">
        <is>
          <t>Every type of job at once</t>
        </is>
      </c>
    </row>
    <row r="99">
      <c r="A99" s="12" t="inlineStr">
        <is>
          <t>Job gross margin by month: every month is on the Data sheet.</t>
        </is>
      </c>
    </row>
    <row r="100"/>
    <row r="101"/>
  </sheetData>
  <mergeCells count="11">
    <mergeCell ref="A5:D5"/>
    <mergeCell ref="A8:D8"/>
    <mergeCell ref="A58:D58"/>
    <mergeCell ref="A74:D74"/>
    <mergeCell ref="A26:D26"/>
    <mergeCell ref="A96:D96"/>
    <mergeCell ref="A55:D55"/>
    <mergeCell ref="A29:D29"/>
    <mergeCell ref="A71:D71"/>
    <mergeCell ref="A11:D11"/>
    <mergeCell ref="A93:D93"/>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2026&amp;R&amp;"Roboto,Regular"&amp;8 Page &amp;P of &amp;N</oddFooter>
    <evenHeader/>
    <evenFooter/>
    <firstHeader/>
    <firstFooter/>
  </headerFooter>
  <rowBreaks count="4" manualBreakCount="4">
    <brk id="18" min="0" max="16383" man="1"/>
    <brk id="36" min="0" max="16383" man="1"/>
    <brk id="65" min="0" max="16383" man="1"/>
    <brk id="91" min="0" max="16383" man="1"/>
  </rowBreaks>
</worksheet>
</file>

<file path=xl/worksheets/sheet2.xml><?xml version="1.0" encoding="utf-8"?>
<worksheet xmlns="http://schemas.openxmlformats.org/spreadsheetml/2006/main">
  <sheetPr>
    <outlinePr summaryBelow="1" summaryRight="1"/>
    <pageSetUpPr fitToPage="1"/>
  </sheetPr>
  <dimension ref="A1:C481"/>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t>
        </is>
      </c>
    </row>
    <row r="3">
      <c r="A3" s="2" t="inlineStr">
        <is>
          <t>Period: October 2026 to date · Data status: Sep 2026 locked · Oct 2026 incomplete (data retrieved 2pm, Tue 6 Oct 2026)</t>
        </is>
      </c>
    </row>
    <row r="4"/>
    <row r="5">
      <c r="A5" s="5" t="inlineStr">
        <is>
          <t>From gross margin to profit, September 2026</t>
        </is>
      </c>
    </row>
    <row r="6">
      <c r="A6" s="12" t="inlineStr">
        <is>
          <t>Gross margin on the work − time not charged − overheads = profit before tax</t>
        </is>
      </c>
    </row>
    <row r="7">
      <c r="A7" s="6" t="inlineStr"/>
      <c r="B7" s="7" t="inlineStr">
        <is>
          <t>Sep 2026</t>
        </is>
      </c>
    </row>
    <row r="8">
      <c r="A8" t="inlineStr">
        <is>
          <t>Gross margin on jobs</t>
        </is>
      </c>
      <c r="B8" s="13" t="n">
        <v>73107</v>
      </c>
    </row>
    <row r="9">
      <c r="A9" t="inlineStr">
        <is>
          <t>Technician wages and on-costs</t>
        </is>
      </c>
      <c r="B9" s="13" t="n">
        <v>54600</v>
      </c>
    </row>
    <row r="10">
      <c r="A10" t="inlineStr">
        <is>
          <t>Technician time charged to jobs (at cost)</t>
        </is>
      </c>
      <c r="B10" s="13" t="n">
        <v>51170</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59580</v>
      </c>
    </row>
    <row r="14">
      <c r="A14" t="inlineStr">
        <is>
          <t>Profit before tax (the P&amp;L)</t>
        </is>
      </c>
      <c r="B14" s="13">
        <f>B12-B13</f>
        <v/>
      </c>
    </row>
    <row r="15">
      <c r="A15" t="inlineStr">
        <is>
          <t>Revenue</t>
        </is>
      </c>
      <c r="B15" s="13" t="n">
        <v>202337</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September 2026 P&amp;L (locked). Wages always include all on-costs: super, payroll tax, workers' compensation insurance and leave. October is still in progress, so this uses September.</t>
        </is>
      </c>
    </row>
    <row r="20"/>
    <row r="21"/>
    <row r="22">
      <c r="A22" s="5" t="inlineStr">
        <is>
          <t>All lines: gross margin, October and September</t>
        </is>
      </c>
    </row>
    <row r="23">
      <c r="A23" s="12" t="inlineStr">
        <is>
          <t>Revenue less direct cost, over revenue. Before overheads.</t>
        </is>
      </c>
    </row>
    <row r="24">
      <c r="A24" s="6" t="inlineStr"/>
      <c r="B24" s="7" t="inlineStr">
        <is>
          <t>Oct 26</t>
        </is>
      </c>
      <c r="C24" s="7" t="inlineStr">
        <is>
          <t>Sep 26</t>
        </is>
      </c>
    </row>
    <row r="25">
      <c r="A25" t="inlineStr">
        <is>
          <t>Revenue</t>
        </is>
      </c>
      <c r="B25" s="13" t="n">
        <v>76875</v>
      </c>
      <c r="C25" s="13" t="n">
        <v>202337</v>
      </c>
    </row>
    <row r="26">
      <c r="A26" t="inlineStr">
        <is>
          <t>Direct cost</t>
        </is>
      </c>
      <c r="B26" s="13" t="n">
        <v>43982</v>
      </c>
      <c r="C26" s="13" t="n">
        <v>129230</v>
      </c>
    </row>
    <row r="27">
      <c r="A27" t="inlineStr">
        <is>
          <t>Gross margin</t>
        </is>
      </c>
      <c r="B27" s="13">
        <f>B25-B26</f>
        <v/>
      </c>
      <c r="C27" s="13">
        <f>C25-C26</f>
        <v/>
      </c>
    </row>
    <row r="28">
      <c r="A28" s="15" t="inlineStr">
        <is>
          <t>Gross margin %</t>
        </is>
      </c>
      <c r="B28" s="16">
        <f>B27/B25</f>
        <v/>
      </c>
      <c r="C28" s="16">
        <f>C27/C25</f>
        <v/>
      </c>
    </row>
    <row r="29">
      <c r="A29" s="2" t="inlineStr">
        <is>
          <t>October is still in progress (data to 6 October), so it is a part month against full months.</t>
        </is>
      </c>
    </row>
    <row r="30"/>
    <row r="31"/>
    <row r="32">
      <c r="A32" s="5" t="inlineStr">
        <is>
          <t>All lines: gross margin, October and September</t>
        </is>
      </c>
    </row>
    <row r="33">
      <c r="A33" s="12" t="inlineStr">
        <is>
          <t>Revenue less direct cost, over revenue. Before overheads.</t>
        </is>
      </c>
    </row>
    <row r="34">
      <c r="A34" s="6" t="inlineStr"/>
      <c r="B34" s="7" t="inlineStr">
        <is>
          <t>Oct 26</t>
        </is>
      </c>
      <c r="C34" s="7" t="inlineStr">
        <is>
          <t>Sep 26</t>
        </is>
      </c>
    </row>
    <row r="35">
      <c r="A35" t="inlineStr">
        <is>
          <t>Revenue</t>
        </is>
      </c>
      <c r="B35" s="13" t="n">
        <v>76875</v>
      </c>
      <c r="C35" s="13" t="n">
        <v>202337</v>
      </c>
    </row>
    <row r="36">
      <c r="A36" t="inlineStr">
        <is>
          <t>Direct cost</t>
        </is>
      </c>
      <c r="B36" s="13" t="n">
        <v>43982</v>
      </c>
      <c r="C36" s="13" t="n">
        <v>129230</v>
      </c>
    </row>
    <row r="37">
      <c r="A37" t="inlineStr">
        <is>
          <t>Gross margin</t>
        </is>
      </c>
      <c r="B37" s="13">
        <f>B35-B36</f>
        <v/>
      </c>
      <c r="C37" s="13">
        <f>C35-C36</f>
        <v/>
      </c>
    </row>
    <row r="38">
      <c r="A38" s="15" t="inlineStr">
        <is>
          <t>Gross margin %</t>
        </is>
      </c>
      <c r="B38" s="16">
        <f>B37/B35</f>
        <v/>
      </c>
      <c r="C38" s="16">
        <f>C37/C35</f>
        <v/>
      </c>
    </row>
    <row r="39">
      <c r="A39" s="2" t="inlineStr">
        <is>
          <t>October is still in progress (data to 6 October), so it is a part month against full months.</t>
        </is>
      </c>
    </row>
    <row r="40"/>
    <row r="41"/>
    <row r="42">
      <c r="A42" s="5" t="inlineStr">
        <is>
          <t>From gross margin to profit, September 2026</t>
        </is>
      </c>
    </row>
    <row r="43">
      <c r="A43" s="12" t="inlineStr">
        <is>
          <t>Gross margin on the work − time not charged − overheads = profit before tax</t>
        </is>
      </c>
    </row>
    <row r="44">
      <c r="A44" s="6" t="inlineStr"/>
      <c r="B44" s="7" t="inlineStr">
        <is>
          <t>Sep 2026</t>
        </is>
      </c>
    </row>
    <row r="45">
      <c r="A45" t="inlineStr">
        <is>
          <t>Gross margin on jobs</t>
        </is>
      </c>
      <c r="B45" s="13" t="n">
        <v>73107</v>
      </c>
    </row>
    <row r="46">
      <c r="A46" t="inlineStr">
        <is>
          <t>Technician wages and on-costs</t>
        </is>
      </c>
      <c r="B46" s="13" t="n">
        <v>54600</v>
      </c>
    </row>
    <row r="47">
      <c r="A47" t="inlineStr">
        <is>
          <t>Technician time charged to jobs (at cost)</t>
        </is>
      </c>
      <c r="B47" s="13" t="n">
        <v>51170</v>
      </c>
    </row>
    <row r="48">
      <c r="A48" t="inlineStr">
        <is>
          <t>Technician time not charged to jobs</t>
        </is>
      </c>
      <c r="B48" s="13">
        <f>B46-B47</f>
        <v/>
      </c>
    </row>
    <row r="49">
      <c r="A49" t="inlineStr">
        <is>
          <t>Gross profit (the P&amp;L)</t>
        </is>
      </c>
      <c r="B49" s="13">
        <f>B45-B48</f>
        <v/>
      </c>
    </row>
    <row r="50">
      <c r="A50" t="inlineStr">
        <is>
          <t>Overheads (operating expenses, depreciation, interest)</t>
        </is>
      </c>
      <c r="B50" s="13" t="n">
        <v>59580</v>
      </c>
    </row>
    <row r="51">
      <c r="A51" t="inlineStr">
        <is>
          <t>Profit before tax (the P&amp;L)</t>
        </is>
      </c>
      <c r="B51" s="13">
        <f>B49-B50</f>
        <v/>
      </c>
    </row>
    <row r="52">
      <c r="A52" t="inlineStr">
        <is>
          <t>Revenue</t>
        </is>
      </c>
      <c r="B52" s="13" t="n">
        <v>202337</v>
      </c>
    </row>
    <row r="53">
      <c r="A53" t="inlineStr">
        <is>
          <t>Gross margin on jobs, %</t>
        </is>
      </c>
      <c r="B53" s="14">
        <f>B45/B52</f>
        <v/>
      </c>
    </row>
    <row r="54">
      <c r="A54" t="inlineStr">
        <is>
          <t>Profit before tax, % of revenue</t>
        </is>
      </c>
      <c r="B54" s="14">
        <f>B51/B52</f>
        <v/>
      </c>
    </row>
    <row r="55">
      <c r="A55" s="15" t="inlineStr">
        <is>
          <t>Gross margin jobs need just to cover overheads and time not charged</t>
        </is>
      </c>
      <c r="B55" s="16">
        <f>(B48+B50)/B52</f>
        <v/>
      </c>
    </row>
    <row r="56">
      <c r="A56" s="2" t="inlineStr">
        <is>
          <t>Ties to the September 2026 P&amp;L (locked). Wages always include all on-costs: super, payroll tax, workers' compensation insurance and leave. October is still in progress, so this uses September.</t>
        </is>
      </c>
    </row>
    <row r="57"/>
    <row r="58"/>
    <row r="59">
      <c r="A59" s="5" t="inlineStr">
        <is>
          <t>Maintenance contracts, October so far</t>
        </is>
      </c>
    </row>
    <row r="60">
      <c r="A60" s="12" t="inlineStr">
        <is>
          <t>Revenue less direct cost (materials, subcontractors, technician time at cost)</t>
        </is>
      </c>
    </row>
    <row r="61">
      <c r="A61" s="6" t="inlineStr"/>
      <c r="B61" s="7" t="inlineStr">
        <is>
          <t>Oct 2026</t>
        </is>
      </c>
    </row>
    <row r="62">
      <c r="A62" t="inlineStr">
        <is>
          <t>Revenue</t>
        </is>
      </c>
      <c r="B62" s="13" t="n">
        <v>40500</v>
      </c>
    </row>
    <row r="63">
      <c r="A63" t="inlineStr">
        <is>
          <t>Direct cost</t>
        </is>
      </c>
      <c r="B63" s="13" t="n">
        <v>16384</v>
      </c>
    </row>
    <row r="64">
      <c r="A64" t="inlineStr">
        <is>
          <t>Gross margin</t>
        </is>
      </c>
      <c r="B64" s="13">
        <f>B62-B63</f>
        <v/>
      </c>
    </row>
    <row r="65">
      <c r="A65" s="15" t="inlineStr">
        <is>
          <t>Gross margin %</t>
        </is>
      </c>
      <c r="B65" s="16">
        <f>B64/B62</f>
        <v/>
      </c>
    </row>
    <row r="66"/>
    <row r="67"/>
    <row r="68">
      <c r="A68" s="5" t="inlineStr">
        <is>
          <t>Installations, October so far</t>
        </is>
      </c>
    </row>
    <row r="69">
      <c r="A69" s="12" t="inlineStr">
        <is>
          <t>Revenue less direct cost (materials, subcontractors, technician time at cost)</t>
        </is>
      </c>
    </row>
    <row r="70">
      <c r="A70" s="6" t="inlineStr"/>
      <c r="B70" s="7" t="inlineStr">
        <is>
          <t>Oct 2026</t>
        </is>
      </c>
    </row>
    <row r="71">
      <c r="A71" t="inlineStr">
        <is>
          <t>Revenue</t>
        </is>
      </c>
      <c r="B71" s="13" t="n">
        <v>33000</v>
      </c>
    </row>
    <row r="72">
      <c r="A72" t="inlineStr">
        <is>
          <t>Direct cost</t>
        </is>
      </c>
      <c r="B72" s="13" t="n">
        <v>25742</v>
      </c>
    </row>
    <row r="73">
      <c r="A73" t="inlineStr">
        <is>
          <t>Gross margin</t>
        </is>
      </c>
      <c r="B73" s="13">
        <f>B71-B72</f>
        <v/>
      </c>
    </row>
    <row r="74">
      <c r="A74" s="15" t="inlineStr">
        <is>
          <t>Gross margin %</t>
        </is>
      </c>
      <c r="B74" s="16">
        <f>B73/B71</f>
        <v/>
      </c>
    </row>
    <row r="75"/>
    <row r="76"/>
    <row r="77">
      <c r="A77" s="5" t="inlineStr">
        <is>
          <t>Call-outs and repairs, October so far</t>
        </is>
      </c>
    </row>
    <row r="78">
      <c r="A78" s="12" t="inlineStr">
        <is>
          <t>Revenue less direct cost (materials, subcontractors, technician time at cost)</t>
        </is>
      </c>
    </row>
    <row r="79">
      <c r="A79" s="6" t="inlineStr"/>
      <c r="B79" s="7" t="inlineStr">
        <is>
          <t>Oct 2026</t>
        </is>
      </c>
    </row>
    <row r="80">
      <c r="A80" t="inlineStr">
        <is>
          <t>Revenue</t>
        </is>
      </c>
      <c r="B80" s="13" t="n">
        <v>3375</v>
      </c>
    </row>
    <row r="81">
      <c r="A81" t="inlineStr">
        <is>
          <t>Direct cost</t>
        </is>
      </c>
      <c r="B81" s="13" t="n">
        <v>1856</v>
      </c>
    </row>
    <row r="82">
      <c r="A82" t="inlineStr">
        <is>
          <t>Gross margin</t>
        </is>
      </c>
      <c r="B82" s="13">
        <f>B80-B81</f>
        <v/>
      </c>
    </row>
    <row r="83">
      <c r="A83" s="15" t="inlineStr">
        <is>
          <t>Gross margin %</t>
        </is>
      </c>
      <c r="B83" s="16">
        <f>B82/B80</f>
        <v/>
      </c>
    </row>
    <row r="84"/>
    <row r="85"/>
    <row r="86">
      <c r="A86" s="5" t="inlineStr">
        <is>
          <t>Maintenance contracts: gross margin, October and September</t>
        </is>
      </c>
    </row>
    <row r="87">
      <c r="A87" s="12" t="inlineStr">
        <is>
          <t>Revenue less direct cost, over revenue. Before overheads.</t>
        </is>
      </c>
    </row>
    <row r="88">
      <c r="A88" s="6" t="inlineStr"/>
      <c r="B88" s="7" t="inlineStr">
        <is>
          <t>Oct 26</t>
        </is>
      </c>
      <c r="C88" s="7" t="inlineStr">
        <is>
          <t>Sep 26</t>
        </is>
      </c>
    </row>
    <row r="89">
      <c r="A89" t="inlineStr">
        <is>
          <t>Revenue</t>
        </is>
      </c>
      <c r="B89" s="13" t="n">
        <v>40500</v>
      </c>
      <c r="C89" s="13" t="n">
        <v>40500</v>
      </c>
    </row>
    <row r="90">
      <c r="A90" t="inlineStr">
        <is>
          <t>Direct cost</t>
        </is>
      </c>
      <c r="B90" s="13" t="n">
        <v>16384</v>
      </c>
      <c r="C90" s="13" t="n">
        <v>16384</v>
      </c>
    </row>
    <row r="91">
      <c r="A91" t="inlineStr">
        <is>
          <t>Gross margin</t>
        </is>
      </c>
      <c r="B91" s="13">
        <f>B89-B90</f>
        <v/>
      </c>
      <c r="C91" s="13">
        <f>C89-C90</f>
        <v/>
      </c>
    </row>
    <row r="92">
      <c r="A92" s="15" t="inlineStr">
        <is>
          <t>Gross margin %</t>
        </is>
      </c>
      <c r="B92" s="16">
        <f>B91/B89</f>
        <v/>
      </c>
      <c r="C92" s="16">
        <f>C91/C89</f>
        <v/>
      </c>
    </row>
    <row r="93">
      <c r="A93" s="2" t="inlineStr">
        <is>
          <t>October is still in progress (data to 6 October), so it is a part month against full months.</t>
        </is>
      </c>
    </row>
    <row r="94"/>
    <row r="95"/>
    <row r="96">
      <c r="A96" s="5" t="inlineStr">
        <is>
          <t>Maintenance contracts: gross margin, October and September</t>
        </is>
      </c>
    </row>
    <row r="97">
      <c r="A97" s="12" t="inlineStr">
        <is>
          <t>Revenue less direct cost, over revenue. Before overheads.</t>
        </is>
      </c>
    </row>
    <row r="98">
      <c r="A98" s="6" t="inlineStr"/>
      <c r="B98" s="7" t="inlineStr">
        <is>
          <t>Oct 26</t>
        </is>
      </c>
      <c r="C98" s="7" t="inlineStr">
        <is>
          <t>Sep 26</t>
        </is>
      </c>
    </row>
    <row r="99">
      <c r="A99" t="inlineStr">
        <is>
          <t>Revenue</t>
        </is>
      </c>
      <c r="B99" s="13" t="n">
        <v>40500</v>
      </c>
      <c r="C99" s="13" t="n">
        <v>40500</v>
      </c>
    </row>
    <row r="100">
      <c r="A100" t="inlineStr">
        <is>
          <t>Direct cost</t>
        </is>
      </c>
      <c r="B100" s="13" t="n">
        <v>16384</v>
      </c>
      <c r="C100" s="13" t="n">
        <v>16384</v>
      </c>
    </row>
    <row r="101">
      <c r="A101" t="inlineStr">
        <is>
          <t>Gross margin</t>
        </is>
      </c>
      <c r="B101" s="13">
        <f>B99-B100</f>
        <v/>
      </c>
      <c r="C101" s="13">
        <f>C99-C100</f>
        <v/>
      </c>
    </row>
    <row r="102">
      <c r="A102" s="15" t="inlineStr">
        <is>
          <t>Gross margin %</t>
        </is>
      </c>
      <c r="B102" s="16">
        <f>B101/B99</f>
        <v/>
      </c>
      <c r="C102" s="16">
        <f>C101/C99</f>
        <v/>
      </c>
    </row>
    <row r="103">
      <c r="A103" s="2" t="inlineStr">
        <is>
          <t>October is still in progress (data to 6 October), so it is a part month against full months.</t>
        </is>
      </c>
    </row>
    <row r="104"/>
    <row r="105"/>
    <row r="106">
      <c r="A106" s="5" t="inlineStr">
        <is>
          <t>From gross margin to profit, September 2026</t>
        </is>
      </c>
    </row>
    <row r="107">
      <c r="A107" s="12" t="inlineStr">
        <is>
          <t>Gross margin on the work − time not charged − overheads = profit before tax</t>
        </is>
      </c>
    </row>
    <row r="108">
      <c r="A108" s="6" t="inlineStr"/>
      <c r="B108" s="7" t="inlineStr">
        <is>
          <t>Sep 2026</t>
        </is>
      </c>
    </row>
    <row r="109">
      <c r="A109" t="inlineStr">
        <is>
          <t>Gross margin on jobs</t>
        </is>
      </c>
      <c r="B109" s="13" t="n">
        <v>73107</v>
      </c>
    </row>
    <row r="110">
      <c r="A110" t="inlineStr">
        <is>
          <t>Technician wages and on-costs</t>
        </is>
      </c>
      <c r="B110" s="13" t="n">
        <v>54600</v>
      </c>
    </row>
    <row r="111">
      <c r="A111" t="inlineStr">
        <is>
          <t>Technician time charged to jobs (at cost)</t>
        </is>
      </c>
      <c r="B111" s="13" t="n">
        <v>51170</v>
      </c>
    </row>
    <row r="112">
      <c r="A112" t="inlineStr">
        <is>
          <t>Technician time not charged to jobs</t>
        </is>
      </c>
      <c r="B112" s="13">
        <f>B110-B111</f>
        <v/>
      </c>
    </row>
    <row r="113">
      <c r="A113" t="inlineStr">
        <is>
          <t>Gross profit (the P&amp;L)</t>
        </is>
      </c>
      <c r="B113" s="13">
        <f>B109-B112</f>
        <v/>
      </c>
    </row>
    <row r="114">
      <c r="A114" t="inlineStr">
        <is>
          <t>Overheads (operating expenses, depreciation, interest)</t>
        </is>
      </c>
      <c r="B114" s="13" t="n">
        <v>59580</v>
      </c>
    </row>
    <row r="115">
      <c r="A115" t="inlineStr">
        <is>
          <t>Profit before tax (the P&amp;L)</t>
        </is>
      </c>
      <c r="B115" s="13">
        <f>B113-B114</f>
        <v/>
      </c>
    </row>
    <row r="116">
      <c r="A116" t="inlineStr">
        <is>
          <t>Revenue</t>
        </is>
      </c>
      <c r="B116" s="13" t="n">
        <v>202337</v>
      </c>
    </row>
    <row r="117">
      <c r="A117" t="inlineStr">
        <is>
          <t>Gross margin on jobs, %</t>
        </is>
      </c>
      <c r="B117" s="14">
        <f>B109/B116</f>
        <v/>
      </c>
    </row>
    <row r="118">
      <c r="A118" t="inlineStr">
        <is>
          <t>Profit before tax, % of revenue</t>
        </is>
      </c>
      <c r="B118" s="14">
        <f>B115/B116</f>
        <v/>
      </c>
    </row>
    <row r="119">
      <c r="A119" s="15" t="inlineStr">
        <is>
          <t>Gross margin jobs need just to cover overheads and time not charged</t>
        </is>
      </c>
      <c r="B119" s="16">
        <f>(B112+B114)/B116</f>
        <v/>
      </c>
    </row>
    <row r="120">
      <c r="A120" s="2" t="inlineStr">
        <is>
          <t>Ties to the September 2026 P&amp;L (locked). Wages always include all on-costs: super, payroll tax, workers' compensation insurance and leave. October is still in progress, so this uses September.</t>
        </is>
      </c>
    </row>
    <row r="121"/>
    <row r="122"/>
    <row r="123">
      <c r="A123" s="5" t="inlineStr">
        <is>
          <t>Carindale vet clinic</t>
        </is>
      </c>
    </row>
    <row r="124">
      <c r="A124" s="12" t="inlineStr">
        <is>
          <t>Job gross margin ÷ revenue for this job (before overheads)</t>
        </is>
      </c>
    </row>
    <row r="125">
      <c r="A125" s="6" t="inlineStr"/>
      <c r="B125" s="7" t="inlineStr">
        <is>
          <t>This job</t>
        </is>
      </c>
    </row>
    <row r="126">
      <c r="A126" t="inlineStr">
        <is>
          <t>Revenue</t>
        </is>
      </c>
      <c r="B126" s="13" t="n">
        <v>1700</v>
      </c>
    </row>
    <row r="127">
      <c r="A127" t="inlineStr">
        <is>
          <t>Materials</t>
        </is>
      </c>
      <c r="B127" s="13" t="n">
        <v>-30</v>
      </c>
    </row>
    <row r="128">
      <c r="A128" t="inlineStr">
        <is>
          <t>Subcontractors</t>
        </is>
      </c>
      <c r="B128" s="13" t="n">
        <v>0</v>
      </c>
    </row>
    <row r="129">
      <c r="A129" t="inlineStr">
        <is>
          <t>Technician hours</t>
        </is>
      </c>
      <c r="B129" s="17" t="n">
        <v>9</v>
      </c>
    </row>
    <row r="130">
      <c r="A130" t="inlineStr">
        <is>
          <t>Technician cost rate ($/hour, wages and all on-costs)</t>
        </is>
      </c>
      <c r="B130" s="13" t="n">
        <v>68</v>
      </c>
    </row>
    <row r="131">
      <c r="A131" t="inlineStr">
        <is>
          <t>Technician time</t>
        </is>
      </c>
      <c r="B131" s="13">
        <f>-B129*B130</f>
        <v/>
      </c>
    </row>
    <row r="132">
      <c r="A132" t="inlineStr">
        <is>
          <t>Job gross margin</t>
        </is>
      </c>
      <c r="B132" s="13">
        <f>B126+B127+B128+B131</f>
        <v/>
      </c>
    </row>
    <row r="133">
      <c r="A133" s="15" t="inlineStr">
        <is>
          <t>Job gross margin %</t>
        </is>
      </c>
      <c r="B133" s="16">
        <f>B132/B126</f>
        <v/>
      </c>
    </row>
    <row r="134"/>
    <row r="135"/>
    <row r="136">
      <c r="A136" s="5" t="inlineStr">
        <is>
          <t>Wynnum medical centre</t>
        </is>
      </c>
    </row>
    <row r="137">
      <c r="A137" s="12" t="inlineStr">
        <is>
          <t>Job gross margin ÷ revenue for this job (before overheads)</t>
        </is>
      </c>
    </row>
    <row r="138">
      <c r="A138" s="6" t="inlineStr"/>
      <c r="B138" s="7" t="inlineStr">
        <is>
          <t>This job</t>
        </is>
      </c>
    </row>
    <row r="139">
      <c r="A139" t="inlineStr">
        <is>
          <t>Revenue</t>
        </is>
      </c>
      <c r="B139" s="13" t="n">
        <v>2200</v>
      </c>
    </row>
    <row r="140">
      <c r="A140" t="inlineStr">
        <is>
          <t>Materials</t>
        </is>
      </c>
      <c r="B140" s="13" t="n">
        <v>-40</v>
      </c>
    </row>
    <row r="141">
      <c r="A141" t="inlineStr">
        <is>
          <t>Subcontractors</t>
        </is>
      </c>
      <c r="B141" s="13" t="n">
        <v>0</v>
      </c>
    </row>
    <row r="142">
      <c r="A142" t="inlineStr">
        <is>
          <t>Technician hours</t>
        </is>
      </c>
      <c r="B142" s="17" t="n">
        <v>12</v>
      </c>
    </row>
    <row r="143">
      <c r="A143" t="inlineStr">
        <is>
          <t>Technician cost rate ($/hour, wages and all on-costs)</t>
        </is>
      </c>
      <c r="B143" s="13" t="n">
        <v>68</v>
      </c>
    </row>
    <row r="144">
      <c r="A144" t="inlineStr">
        <is>
          <t>Technician time</t>
        </is>
      </c>
      <c r="B144" s="13">
        <f>-B142*B143</f>
        <v/>
      </c>
    </row>
    <row r="145">
      <c r="A145" t="inlineStr">
        <is>
          <t>Job gross margin</t>
        </is>
      </c>
      <c r="B145" s="13">
        <f>B139+B140+B141+B144</f>
        <v/>
      </c>
    </row>
    <row r="146">
      <c r="A146" s="15" t="inlineStr">
        <is>
          <t>Job gross margin %</t>
        </is>
      </c>
      <c r="B146" s="16">
        <f>B145/B139</f>
        <v/>
      </c>
    </row>
    <row r="147"/>
    <row r="148"/>
    <row r="149">
      <c r="A149" s="5" t="inlineStr">
        <is>
          <t>Southbank cafe group</t>
        </is>
      </c>
    </row>
    <row r="150">
      <c r="A150" s="12" t="inlineStr">
        <is>
          <t>Job gross margin ÷ revenue for this job (before overheads)</t>
        </is>
      </c>
    </row>
    <row r="151">
      <c r="A151" s="6" t="inlineStr"/>
      <c r="B151" s="7" t="inlineStr">
        <is>
          <t>This job</t>
        </is>
      </c>
    </row>
    <row r="152">
      <c r="A152" t="inlineStr">
        <is>
          <t>Revenue</t>
        </is>
      </c>
      <c r="B152" s="13" t="n">
        <v>1800</v>
      </c>
    </row>
    <row r="153">
      <c r="A153" t="inlineStr">
        <is>
          <t>Materials</t>
        </is>
      </c>
      <c r="B153" s="13" t="n">
        <v>-40</v>
      </c>
    </row>
    <row r="154">
      <c r="A154" t="inlineStr">
        <is>
          <t>Subcontractors</t>
        </is>
      </c>
      <c r="B154" s="13" t="n">
        <v>0</v>
      </c>
    </row>
    <row r="155">
      <c r="A155" t="inlineStr">
        <is>
          <t>Technician hours</t>
        </is>
      </c>
      <c r="B155" s="17" t="n">
        <v>10</v>
      </c>
    </row>
    <row r="156">
      <c r="A156" t="inlineStr">
        <is>
          <t>Technician cost rate ($/hour, wages and all on-costs)</t>
        </is>
      </c>
      <c r="B156" s="13" t="n">
        <v>68</v>
      </c>
    </row>
    <row r="157">
      <c r="A157" t="inlineStr">
        <is>
          <t>Technician time</t>
        </is>
      </c>
      <c r="B157" s="13">
        <f>-B155*B156</f>
        <v/>
      </c>
    </row>
    <row r="158">
      <c r="A158" t="inlineStr">
        <is>
          <t>Job gross margin</t>
        </is>
      </c>
      <c r="B158" s="13">
        <f>B152+B153+B154+B157</f>
        <v/>
      </c>
    </row>
    <row r="159">
      <c r="A159" s="15" t="inlineStr">
        <is>
          <t>Job gross margin %</t>
        </is>
      </c>
      <c r="B159" s="16">
        <f>B158/B152</f>
        <v/>
      </c>
    </row>
    <row r="160"/>
    <row r="161"/>
    <row r="162">
      <c r="A162" s="5" t="inlineStr">
        <is>
          <t>Ashgrove aged care</t>
        </is>
      </c>
    </row>
    <row r="163">
      <c r="A163" s="12" t="inlineStr">
        <is>
          <t>Job gross margin ÷ revenue for this job (before overheads)</t>
        </is>
      </c>
    </row>
    <row r="164">
      <c r="A164" s="6" t="inlineStr"/>
      <c r="B164" s="7" t="inlineStr">
        <is>
          <t>This job</t>
        </is>
      </c>
    </row>
    <row r="165">
      <c r="A165" t="inlineStr">
        <is>
          <t>Revenue</t>
        </is>
      </c>
      <c r="B165" s="13" t="n">
        <v>3600</v>
      </c>
    </row>
    <row r="166">
      <c r="A166" t="inlineStr">
        <is>
          <t>Materials</t>
        </is>
      </c>
      <c r="B166" s="13" t="n">
        <v>-80</v>
      </c>
    </row>
    <row r="167">
      <c r="A167" t="inlineStr">
        <is>
          <t>Subcontractors</t>
        </is>
      </c>
      <c r="B167" s="13" t="n">
        <v>0</v>
      </c>
    </row>
    <row r="168">
      <c r="A168" t="inlineStr">
        <is>
          <t>Technician hours</t>
        </is>
      </c>
      <c r="B168" s="17" t="n">
        <v>20</v>
      </c>
    </row>
    <row r="169">
      <c r="A169" t="inlineStr">
        <is>
          <t>Technician cost rate ($/hour, wages and all on-costs)</t>
        </is>
      </c>
      <c r="B169" s="13" t="n">
        <v>68</v>
      </c>
    </row>
    <row r="170">
      <c r="A170" t="inlineStr">
        <is>
          <t>Technician time</t>
        </is>
      </c>
      <c r="B170" s="13">
        <f>-B168*B169</f>
        <v/>
      </c>
    </row>
    <row r="171">
      <c r="A171" t="inlineStr">
        <is>
          <t>Job gross margin</t>
        </is>
      </c>
      <c r="B171" s="13">
        <f>B165+B166+B167+B170</f>
        <v/>
      </c>
    </row>
    <row r="172">
      <c r="A172" s="15" t="inlineStr">
        <is>
          <t>Job gross margin %</t>
        </is>
      </c>
      <c r="B172" s="16">
        <f>B171/B165</f>
        <v/>
      </c>
    </row>
    <row r="173"/>
    <row r="174"/>
    <row r="175">
      <c r="A175" s="5" t="inlineStr">
        <is>
          <t>Fortitude Valley hotel</t>
        </is>
      </c>
    </row>
    <row r="176">
      <c r="A176" s="12" t="inlineStr">
        <is>
          <t>Job gross margin ÷ revenue for this job (before overheads)</t>
        </is>
      </c>
    </row>
    <row r="177">
      <c r="A177" s="6" t="inlineStr"/>
      <c r="B177" s="7" t="inlineStr">
        <is>
          <t>This job</t>
        </is>
      </c>
    </row>
    <row r="178">
      <c r="A178" t="inlineStr">
        <is>
          <t>Revenue</t>
        </is>
      </c>
      <c r="B178" s="13" t="n">
        <v>3400</v>
      </c>
    </row>
    <row r="179">
      <c r="A179" t="inlineStr">
        <is>
          <t>Materials</t>
        </is>
      </c>
      <c r="B179" s="13" t="n">
        <v>-70</v>
      </c>
    </row>
    <row r="180">
      <c r="A180" t="inlineStr">
        <is>
          <t>Subcontractors</t>
        </is>
      </c>
      <c r="B180" s="13" t="n">
        <v>0</v>
      </c>
    </row>
    <row r="181">
      <c r="A181" t="inlineStr">
        <is>
          <t>Technician hours</t>
        </is>
      </c>
      <c r="B181" s="17" t="n">
        <v>19</v>
      </c>
    </row>
    <row r="182">
      <c r="A182" t="inlineStr">
        <is>
          <t>Technician cost rate ($/hour, wages and all on-costs)</t>
        </is>
      </c>
      <c r="B182" s="13" t="n">
        <v>68</v>
      </c>
    </row>
    <row r="183">
      <c r="A183" t="inlineStr">
        <is>
          <t>Technician time</t>
        </is>
      </c>
      <c r="B183" s="13">
        <f>-B181*B182</f>
        <v/>
      </c>
    </row>
    <row r="184">
      <c r="A184" t="inlineStr">
        <is>
          <t>Job gross margin</t>
        </is>
      </c>
      <c r="B184" s="13">
        <f>B178+B179+B180+B183</f>
        <v/>
      </c>
    </row>
    <row r="185">
      <c r="A185" s="15" t="inlineStr">
        <is>
          <t>Job gross margin %</t>
        </is>
      </c>
      <c r="B185" s="16">
        <f>B184/B178</f>
        <v/>
      </c>
    </row>
    <row r="186"/>
    <row r="187"/>
    <row r="188">
      <c r="A188" s="5" t="inlineStr">
        <is>
          <t>Riverside Apartments (strata)</t>
        </is>
      </c>
    </row>
    <row r="189">
      <c r="A189" s="12" t="inlineStr">
        <is>
          <t>Job gross margin ÷ revenue for this job (before overheads)</t>
        </is>
      </c>
    </row>
    <row r="190">
      <c r="A190" s="6" t="inlineStr"/>
      <c r="B190" s="7" t="inlineStr">
        <is>
          <t>This job</t>
        </is>
      </c>
    </row>
    <row r="191">
      <c r="A191" t="inlineStr">
        <is>
          <t>Revenue</t>
        </is>
      </c>
      <c r="B191" s="13" t="n">
        <v>3200</v>
      </c>
    </row>
    <row r="192">
      <c r="A192" t="inlineStr">
        <is>
          <t>Materials</t>
        </is>
      </c>
      <c r="B192" s="13" t="n">
        <v>-60</v>
      </c>
    </row>
    <row r="193">
      <c r="A193" t="inlineStr">
        <is>
          <t>Subcontractors</t>
        </is>
      </c>
      <c r="B193" s="13" t="n">
        <v>0</v>
      </c>
    </row>
    <row r="194">
      <c r="A194" t="inlineStr">
        <is>
          <t>Technician hours</t>
        </is>
      </c>
      <c r="B194" s="17" t="n">
        <v>18</v>
      </c>
    </row>
    <row r="195">
      <c r="A195" t="inlineStr">
        <is>
          <t>Technician cost rate ($/hour, wages and all on-costs)</t>
        </is>
      </c>
      <c r="B195" s="13" t="n">
        <v>68</v>
      </c>
    </row>
    <row r="196">
      <c r="A196" t="inlineStr">
        <is>
          <t>Technician time</t>
        </is>
      </c>
      <c r="B196" s="13">
        <f>-B194*B195</f>
        <v/>
      </c>
    </row>
    <row r="197">
      <c r="A197" t="inlineStr">
        <is>
          <t>Job gross margin</t>
        </is>
      </c>
      <c r="B197" s="13">
        <f>B191+B192+B193+B196</f>
        <v/>
      </c>
    </row>
    <row r="198">
      <c r="A198" s="15" t="inlineStr">
        <is>
          <t>Job gross margin %</t>
        </is>
      </c>
      <c r="B198" s="16">
        <f>B197/B191</f>
        <v/>
      </c>
    </row>
    <row r="199"/>
    <row r="200"/>
    <row r="201">
      <c r="A201" s="5" t="inlineStr">
        <is>
          <t>Newstead gym</t>
        </is>
      </c>
    </row>
    <row r="202">
      <c r="A202" s="12" t="inlineStr">
        <is>
          <t>Job gross margin ÷ revenue for this job (before overheads)</t>
        </is>
      </c>
    </row>
    <row r="203">
      <c r="A203" s="6" t="inlineStr"/>
      <c r="B203" s="7" t="inlineStr">
        <is>
          <t>This job</t>
        </is>
      </c>
    </row>
    <row r="204">
      <c r="A204" t="inlineStr">
        <is>
          <t>Revenue</t>
        </is>
      </c>
      <c r="B204" s="13" t="n">
        <v>1600</v>
      </c>
    </row>
    <row r="205">
      <c r="A205" t="inlineStr">
        <is>
          <t>Materials</t>
        </is>
      </c>
      <c r="B205" s="13" t="n">
        <v>-30</v>
      </c>
    </row>
    <row r="206">
      <c r="A206" t="inlineStr">
        <is>
          <t>Subcontractors</t>
        </is>
      </c>
      <c r="B206" s="13" t="n">
        <v>0</v>
      </c>
    </row>
    <row r="207">
      <c r="A207" t="inlineStr">
        <is>
          <t>Technician hours</t>
        </is>
      </c>
      <c r="B207" s="17" t="n">
        <v>9</v>
      </c>
    </row>
    <row r="208">
      <c r="A208" t="inlineStr">
        <is>
          <t>Technician cost rate ($/hour, wages and all on-costs)</t>
        </is>
      </c>
      <c r="B208" s="13" t="n">
        <v>68</v>
      </c>
    </row>
    <row r="209">
      <c r="A209" t="inlineStr">
        <is>
          <t>Technician time</t>
        </is>
      </c>
      <c r="B209" s="13">
        <f>-B207*B208</f>
        <v/>
      </c>
    </row>
    <row r="210">
      <c r="A210" t="inlineStr">
        <is>
          <t>Job gross margin</t>
        </is>
      </c>
      <c r="B210" s="13">
        <f>B204+B205+B206+B209</f>
        <v/>
      </c>
    </row>
    <row r="211">
      <c r="A211" s="15" t="inlineStr">
        <is>
          <t>Job gross margin %</t>
        </is>
      </c>
      <c r="B211" s="16">
        <f>B210/B204</f>
        <v/>
      </c>
    </row>
    <row r="212"/>
    <row r="213"/>
    <row r="214">
      <c r="A214" s="5" t="inlineStr">
        <is>
          <t>Chermside retail centre</t>
        </is>
      </c>
    </row>
    <row r="215">
      <c r="A215" s="12" t="inlineStr">
        <is>
          <t>Job gross margin ÷ revenue for this job (before overheads)</t>
        </is>
      </c>
    </row>
    <row r="216">
      <c r="A216" s="6" t="inlineStr"/>
      <c r="B216" s="7" t="inlineStr">
        <is>
          <t>This job</t>
        </is>
      </c>
    </row>
    <row r="217">
      <c r="A217" t="inlineStr">
        <is>
          <t>Revenue</t>
        </is>
      </c>
      <c r="B217" s="13" t="n">
        <v>4100</v>
      </c>
    </row>
    <row r="218">
      <c r="A218" t="inlineStr">
        <is>
          <t>Materials</t>
        </is>
      </c>
      <c r="B218" s="13" t="n">
        <v>-100</v>
      </c>
    </row>
    <row r="219">
      <c r="A219" t="inlineStr">
        <is>
          <t>Subcontractors</t>
        </is>
      </c>
      <c r="B219" s="13" t="n">
        <v>0</v>
      </c>
    </row>
    <row r="220">
      <c r="A220" t="inlineStr">
        <is>
          <t>Technician hours</t>
        </is>
      </c>
      <c r="B220" s="17" t="n">
        <v>23</v>
      </c>
    </row>
    <row r="221">
      <c r="A221" t="inlineStr">
        <is>
          <t>Technician cost rate ($/hour, wages and all on-costs)</t>
        </is>
      </c>
      <c r="B221" s="13" t="n">
        <v>68</v>
      </c>
    </row>
    <row r="222">
      <c r="A222" t="inlineStr">
        <is>
          <t>Technician time</t>
        </is>
      </c>
      <c r="B222" s="13">
        <f>-B220*B221</f>
        <v/>
      </c>
    </row>
    <row r="223">
      <c r="A223" t="inlineStr">
        <is>
          <t>Job gross margin</t>
        </is>
      </c>
      <c r="B223" s="13">
        <f>B217+B218+B219+B222</f>
        <v/>
      </c>
    </row>
    <row r="224">
      <c r="A224" s="15" t="inlineStr">
        <is>
          <t>Job gross margin %</t>
        </is>
      </c>
      <c r="B224" s="16">
        <f>B223/B217</f>
        <v/>
      </c>
    </row>
    <row r="225"/>
    <row r="226"/>
    <row r="227">
      <c r="A227" s="5" t="inlineStr">
        <is>
          <t>Wacol logistics depot</t>
        </is>
      </c>
    </row>
    <row r="228">
      <c r="A228" s="12" t="inlineStr">
        <is>
          <t>Job gross margin ÷ revenue for this job (before overheads)</t>
        </is>
      </c>
    </row>
    <row r="229">
      <c r="A229" s="6" t="inlineStr"/>
      <c r="B229" s="7" t="inlineStr">
        <is>
          <t>This job</t>
        </is>
      </c>
    </row>
    <row r="230">
      <c r="A230" t="inlineStr">
        <is>
          <t>Revenue</t>
        </is>
      </c>
      <c r="B230" s="13" t="n">
        <v>3000</v>
      </c>
    </row>
    <row r="231">
      <c r="A231" t="inlineStr">
        <is>
          <t>Materials</t>
        </is>
      </c>
      <c r="B231" s="13" t="n">
        <v>-70</v>
      </c>
    </row>
    <row r="232">
      <c r="A232" t="inlineStr">
        <is>
          <t>Subcontractors</t>
        </is>
      </c>
      <c r="B232" s="13" t="n">
        <v>0</v>
      </c>
    </row>
    <row r="233">
      <c r="A233" t="inlineStr">
        <is>
          <t>Technician hours</t>
        </is>
      </c>
      <c r="B233" s="17" t="n">
        <v>17</v>
      </c>
    </row>
    <row r="234">
      <c r="A234" t="inlineStr">
        <is>
          <t>Technician cost rate ($/hour, wages and all on-costs)</t>
        </is>
      </c>
      <c r="B234" s="13" t="n">
        <v>68</v>
      </c>
    </row>
    <row r="235">
      <c r="A235" t="inlineStr">
        <is>
          <t>Technician time</t>
        </is>
      </c>
      <c r="B235" s="13">
        <f>-B233*B234</f>
        <v/>
      </c>
    </row>
    <row r="236">
      <c r="A236" t="inlineStr">
        <is>
          <t>Job gross margin</t>
        </is>
      </c>
      <c r="B236" s="13">
        <f>B230+B231+B232+B235</f>
        <v/>
      </c>
    </row>
    <row r="237">
      <c r="A237" s="15" t="inlineStr">
        <is>
          <t>Job gross margin %</t>
        </is>
      </c>
      <c r="B237" s="16">
        <f>B236/B230</f>
        <v/>
      </c>
    </row>
    <row r="238"/>
    <row r="239"/>
    <row r="240">
      <c r="A240" s="5" t="inlineStr">
        <is>
          <t>Milton office tower</t>
        </is>
      </c>
    </row>
    <row r="241">
      <c r="A241" s="12" t="inlineStr">
        <is>
          <t>Job gross margin ÷ revenue for this job (before overheads)</t>
        </is>
      </c>
    </row>
    <row r="242">
      <c r="A242" s="6" t="inlineStr"/>
      <c r="B242" s="7" t="inlineStr">
        <is>
          <t>This job</t>
        </is>
      </c>
    </row>
    <row r="243">
      <c r="A243" t="inlineStr">
        <is>
          <t>Revenue</t>
        </is>
      </c>
      <c r="B243" s="13" t="n">
        <v>4200</v>
      </c>
    </row>
    <row r="244">
      <c r="A244" t="inlineStr">
        <is>
          <t>Materials</t>
        </is>
      </c>
      <c r="B244" s="13" t="n">
        <v>-90</v>
      </c>
    </row>
    <row r="245">
      <c r="A245" t="inlineStr">
        <is>
          <t>Subcontractors</t>
        </is>
      </c>
      <c r="B245" s="13" t="n">
        <v>0</v>
      </c>
    </row>
    <row r="246">
      <c r="A246" t="inlineStr">
        <is>
          <t>Technician hours</t>
        </is>
      </c>
      <c r="B246" s="17" t="n">
        <v>24</v>
      </c>
    </row>
    <row r="247">
      <c r="A247" t="inlineStr">
        <is>
          <t>Technician cost rate ($/hour, wages and all on-costs)</t>
        </is>
      </c>
      <c r="B247" s="13" t="n">
        <v>68</v>
      </c>
    </row>
    <row r="248">
      <c r="A248" t="inlineStr">
        <is>
          <t>Technician time</t>
        </is>
      </c>
      <c r="B248" s="13">
        <f>-B246*B247</f>
        <v/>
      </c>
    </row>
    <row r="249">
      <c r="A249" t="inlineStr">
        <is>
          <t>Job gross margin</t>
        </is>
      </c>
      <c r="B249" s="13">
        <f>B243+B244+B245+B248</f>
        <v/>
      </c>
    </row>
    <row r="250">
      <c r="A250" s="15" t="inlineStr">
        <is>
          <t>Job gross margin %</t>
        </is>
      </c>
      <c r="B250" s="16">
        <f>B249/B243</f>
        <v/>
      </c>
    </row>
    <row r="251"/>
    <row r="252"/>
    <row r="253">
      <c r="A253" s="5" t="inlineStr">
        <is>
          <t>Bulimba school</t>
        </is>
      </c>
    </row>
    <row r="254">
      <c r="A254" s="12" t="inlineStr">
        <is>
          <t>Job gross margin ÷ revenue for this job (before overheads)</t>
        </is>
      </c>
    </row>
    <row r="255">
      <c r="A255" s="6" t="inlineStr"/>
      <c r="B255" s="7" t="inlineStr">
        <is>
          <t>This job</t>
        </is>
      </c>
    </row>
    <row r="256">
      <c r="A256" t="inlineStr">
        <is>
          <t>Revenue</t>
        </is>
      </c>
      <c r="B256" s="13" t="n">
        <v>2800</v>
      </c>
    </row>
    <row r="257">
      <c r="A257" t="inlineStr">
        <is>
          <t>Materials</t>
        </is>
      </c>
      <c r="B257" s="13" t="n">
        <v>-60</v>
      </c>
    </row>
    <row r="258">
      <c r="A258" t="inlineStr">
        <is>
          <t>Subcontractors</t>
        </is>
      </c>
      <c r="B258" s="13" t="n">
        <v>0</v>
      </c>
    </row>
    <row r="259">
      <c r="A259" t="inlineStr">
        <is>
          <t>Technician hours</t>
        </is>
      </c>
      <c r="B259" s="17" t="n">
        <v>16</v>
      </c>
    </row>
    <row r="260">
      <c r="A260" t="inlineStr">
        <is>
          <t>Technician cost rate ($/hour, wages and all on-costs)</t>
        </is>
      </c>
      <c r="B260" s="13" t="n">
        <v>68</v>
      </c>
    </row>
    <row r="261">
      <c r="A261" t="inlineStr">
        <is>
          <t>Technician time</t>
        </is>
      </c>
      <c r="B261" s="13">
        <f>-B259*B260</f>
        <v/>
      </c>
    </row>
    <row r="262">
      <c r="A262" t="inlineStr">
        <is>
          <t>Job gross margin</t>
        </is>
      </c>
      <c r="B262" s="13">
        <f>B256+B257+B258+B261</f>
        <v/>
      </c>
    </row>
    <row r="263">
      <c r="A263" s="15" t="inlineStr">
        <is>
          <t>Job gross margin %</t>
        </is>
      </c>
      <c r="B263" s="16">
        <f>B262/B256</f>
        <v/>
      </c>
    </row>
    <row r="264"/>
    <row r="265"/>
    <row r="266">
      <c r="A266" s="5" t="inlineStr">
        <is>
          <t>West End brewery</t>
        </is>
      </c>
    </row>
    <row r="267">
      <c r="A267" s="12" t="inlineStr">
        <is>
          <t>Job gross margin ÷ revenue for this job (before overheads)</t>
        </is>
      </c>
    </row>
    <row r="268">
      <c r="A268" s="6" t="inlineStr"/>
      <c r="B268" s="7" t="inlineStr">
        <is>
          <t>This job</t>
        </is>
      </c>
    </row>
    <row r="269">
      <c r="A269" t="inlineStr">
        <is>
          <t>Revenue</t>
        </is>
      </c>
      <c r="B269" s="13" t="n">
        <v>2600</v>
      </c>
    </row>
    <row r="270">
      <c r="A270" t="inlineStr">
        <is>
          <t>Materials</t>
        </is>
      </c>
      <c r="B270" s="13" t="n">
        <v>-50</v>
      </c>
    </row>
    <row r="271">
      <c r="A271" t="inlineStr">
        <is>
          <t>Subcontractors</t>
        </is>
      </c>
      <c r="B271" s="13" t="n">
        <v>0</v>
      </c>
    </row>
    <row r="272">
      <c r="A272" t="inlineStr">
        <is>
          <t>Technician hours</t>
        </is>
      </c>
      <c r="B272" s="17" t="n">
        <v>15</v>
      </c>
    </row>
    <row r="273">
      <c r="A273" t="inlineStr">
        <is>
          <t>Technician cost rate ($/hour, wages and all on-costs)</t>
        </is>
      </c>
      <c r="B273" s="13" t="n">
        <v>68</v>
      </c>
    </row>
    <row r="274">
      <c r="A274" t="inlineStr">
        <is>
          <t>Technician time</t>
        </is>
      </c>
      <c r="B274" s="13">
        <f>-B272*B273</f>
        <v/>
      </c>
    </row>
    <row r="275">
      <c r="A275" t="inlineStr">
        <is>
          <t>Job gross margin</t>
        </is>
      </c>
      <c r="B275" s="13">
        <f>B269+B270+B271+B274</f>
        <v/>
      </c>
    </row>
    <row r="276">
      <c r="A276" s="15" t="inlineStr">
        <is>
          <t>Job gross margin %</t>
        </is>
      </c>
      <c r="B276" s="16">
        <f>B275/B269</f>
        <v/>
      </c>
    </row>
    <row r="277"/>
    <row r="278"/>
    <row r="279">
      <c r="A279" s="5" t="inlineStr">
        <is>
          <t>Rocklea factory</t>
        </is>
      </c>
    </row>
    <row r="280">
      <c r="A280" s="12" t="inlineStr">
        <is>
          <t>Job gross margin ÷ revenue for this job (before overheads)</t>
        </is>
      </c>
    </row>
    <row r="281">
      <c r="A281" s="6" t="inlineStr"/>
      <c r="B281" s="7" t="inlineStr">
        <is>
          <t>This job</t>
        </is>
      </c>
    </row>
    <row r="282">
      <c r="A282" t="inlineStr">
        <is>
          <t>Revenue</t>
        </is>
      </c>
      <c r="B282" s="13" t="n">
        <v>3900</v>
      </c>
    </row>
    <row r="283">
      <c r="A283" t="inlineStr">
        <is>
          <t>Materials</t>
        </is>
      </c>
      <c r="B283" s="13" t="n">
        <v>-110</v>
      </c>
    </row>
    <row r="284">
      <c r="A284" t="inlineStr">
        <is>
          <t>Subcontractors</t>
        </is>
      </c>
      <c r="B284" s="13" t="n">
        <v>0</v>
      </c>
    </row>
    <row r="285">
      <c r="A285" t="inlineStr">
        <is>
          <t>Technician hours</t>
        </is>
      </c>
      <c r="B285" s="17" t="n">
        <v>22</v>
      </c>
    </row>
    <row r="286">
      <c r="A286" t="inlineStr">
        <is>
          <t>Technician cost rate ($/hour, wages and all on-costs)</t>
        </is>
      </c>
      <c r="B286" s="13" t="n">
        <v>68</v>
      </c>
    </row>
    <row r="287">
      <c r="A287" t="inlineStr">
        <is>
          <t>Technician time</t>
        </is>
      </c>
      <c r="B287" s="13">
        <f>-B285*B286</f>
        <v/>
      </c>
    </row>
    <row r="288">
      <c r="A288" t="inlineStr">
        <is>
          <t>Job gross margin</t>
        </is>
      </c>
      <c r="B288" s="13">
        <f>B282+B283+B284+B287</f>
        <v/>
      </c>
    </row>
    <row r="289">
      <c r="A289" s="15" t="inlineStr">
        <is>
          <t>Job gross margin %</t>
        </is>
      </c>
      <c r="B289" s="16">
        <f>B288/B282</f>
        <v/>
      </c>
    </row>
    <row r="290"/>
    <row r="291"/>
    <row r="292">
      <c r="A292" s="5" t="inlineStr">
        <is>
          <t>Kangaroo Point townhouses</t>
        </is>
      </c>
    </row>
    <row r="293">
      <c r="A293" s="12" t="inlineStr">
        <is>
          <t>Job gross margin ÷ revenue for this job (before overheads)</t>
        </is>
      </c>
    </row>
    <row r="294">
      <c r="A294" s="6" t="inlineStr"/>
      <c r="B294" s="7" t="inlineStr">
        <is>
          <t>This job</t>
        </is>
      </c>
    </row>
    <row r="295">
      <c r="A295" t="inlineStr">
        <is>
          <t>Revenue</t>
        </is>
      </c>
      <c r="B295" s="13" t="n">
        <v>2400</v>
      </c>
    </row>
    <row r="296">
      <c r="A296" t="inlineStr">
        <is>
          <t>Materials</t>
        </is>
      </c>
      <c r="B296" s="13" t="n">
        <v>-50</v>
      </c>
    </row>
    <row r="297">
      <c r="A297" t="inlineStr">
        <is>
          <t>Subcontractors</t>
        </is>
      </c>
      <c r="B297" s="13" t="n">
        <v>0</v>
      </c>
    </row>
    <row r="298">
      <c r="A298" t="inlineStr">
        <is>
          <t>Technician hours</t>
        </is>
      </c>
      <c r="B298" s="17" t="n">
        <v>14</v>
      </c>
    </row>
    <row r="299">
      <c r="A299" t="inlineStr">
        <is>
          <t>Technician cost rate ($/hour, wages and all on-costs)</t>
        </is>
      </c>
      <c r="B299" s="13" t="n">
        <v>68</v>
      </c>
    </row>
    <row r="300">
      <c r="A300" t="inlineStr">
        <is>
          <t>Technician time</t>
        </is>
      </c>
      <c r="B300" s="13">
        <f>-B298*B299</f>
        <v/>
      </c>
    </row>
    <row r="301">
      <c r="A301" t="inlineStr">
        <is>
          <t>Job gross margin</t>
        </is>
      </c>
      <c r="B301" s="13">
        <f>B295+B296+B297+B300</f>
        <v/>
      </c>
    </row>
    <row r="302">
      <c r="A302" s="15" t="inlineStr">
        <is>
          <t>Job gross margin %</t>
        </is>
      </c>
      <c r="B302" s="16">
        <f>B301/B295</f>
        <v/>
      </c>
    </row>
    <row r="303"/>
    <row r="304"/>
    <row r="305">
      <c r="A305" s="5" t="inlineStr">
        <is>
          <t>Installations: gross margin, October and September</t>
        </is>
      </c>
    </row>
    <row r="306">
      <c r="A306" s="12" t="inlineStr">
        <is>
          <t>Revenue less direct cost, over revenue. Before overheads.</t>
        </is>
      </c>
    </row>
    <row r="307">
      <c r="A307" s="6" t="inlineStr"/>
      <c r="B307" s="7" t="inlineStr">
        <is>
          <t>Oct 26</t>
        </is>
      </c>
      <c r="C307" s="7" t="inlineStr">
        <is>
          <t>Sep 26</t>
        </is>
      </c>
    </row>
    <row r="308">
      <c r="A308" t="inlineStr">
        <is>
          <t>Revenue</t>
        </is>
      </c>
      <c r="B308" s="13" t="n">
        <v>33000</v>
      </c>
      <c r="C308" s="13" t="n">
        <v>130700</v>
      </c>
    </row>
    <row r="309">
      <c r="A309" t="inlineStr">
        <is>
          <t>Direct cost</t>
        </is>
      </c>
      <c r="B309" s="13" t="n">
        <v>25742</v>
      </c>
      <c r="C309" s="13" t="n">
        <v>95368</v>
      </c>
    </row>
    <row r="310">
      <c r="A310" t="inlineStr">
        <is>
          <t>Gross margin</t>
        </is>
      </c>
      <c r="B310" s="13">
        <f>B308-B309</f>
        <v/>
      </c>
      <c r="C310" s="13">
        <f>C308-C309</f>
        <v/>
      </c>
    </row>
    <row r="311">
      <c r="A311" s="15" t="inlineStr">
        <is>
          <t>Gross margin %</t>
        </is>
      </c>
      <c r="B311" s="16">
        <f>B310/B308</f>
        <v/>
      </c>
      <c r="C311" s="16">
        <f>C310/C308</f>
        <v/>
      </c>
    </row>
    <row r="312">
      <c r="A312" s="2" t="inlineStr">
        <is>
          <t>October is still in progress (data to 6 October), so it is a part month against full months.</t>
        </is>
      </c>
    </row>
    <row r="313"/>
    <row r="314"/>
    <row r="315">
      <c r="A315" s="5" t="inlineStr">
        <is>
          <t>Installations: gross margin, October and September</t>
        </is>
      </c>
    </row>
    <row r="316">
      <c r="A316" s="12" t="inlineStr">
        <is>
          <t>Revenue less direct cost, over revenue. Before overheads.</t>
        </is>
      </c>
    </row>
    <row r="317">
      <c r="A317" s="6" t="inlineStr"/>
      <c r="B317" s="7" t="inlineStr">
        <is>
          <t>Oct 26</t>
        </is>
      </c>
      <c r="C317" s="7" t="inlineStr">
        <is>
          <t>Sep 26</t>
        </is>
      </c>
    </row>
    <row r="318">
      <c r="A318" t="inlineStr">
        <is>
          <t>Revenue</t>
        </is>
      </c>
      <c r="B318" s="13" t="n">
        <v>33000</v>
      </c>
      <c r="C318" s="13" t="n">
        <v>130700</v>
      </c>
    </row>
    <row r="319">
      <c r="A319" t="inlineStr">
        <is>
          <t>Direct cost</t>
        </is>
      </c>
      <c r="B319" s="13" t="n">
        <v>25742</v>
      </c>
      <c r="C319" s="13" t="n">
        <v>95368</v>
      </c>
    </row>
    <row r="320">
      <c r="A320" t="inlineStr">
        <is>
          <t>Gross margin</t>
        </is>
      </c>
      <c r="B320" s="13">
        <f>B318-B319</f>
        <v/>
      </c>
      <c r="C320" s="13">
        <f>C318-C319</f>
        <v/>
      </c>
    </row>
    <row r="321">
      <c r="A321" s="15" t="inlineStr">
        <is>
          <t>Gross margin %</t>
        </is>
      </c>
      <c r="B321" s="16">
        <f>B320/B318</f>
        <v/>
      </c>
      <c r="C321" s="16">
        <f>C320/C318</f>
        <v/>
      </c>
    </row>
    <row r="322">
      <c r="A322" s="2" t="inlineStr">
        <is>
          <t>October is still in progress (data to 6 October), so it is a part month against full months.</t>
        </is>
      </c>
    </row>
    <row r="323"/>
    <row r="324"/>
    <row r="325">
      <c r="A325" s="5" t="inlineStr">
        <is>
          <t>From gross margin to profit, September 2026</t>
        </is>
      </c>
    </row>
    <row r="326">
      <c r="A326" s="12" t="inlineStr">
        <is>
          <t>Gross margin on the work − time not charged − overheads = profit before tax</t>
        </is>
      </c>
    </row>
    <row r="327">
      <c r="A327" s="6" t="inlineStr"/>
      <c r="B327" s="7" t="inlineStr">
        <is>
          <t>Sep 2026</t>
        </is>
      </c>
    </row>
    <row r="328">
      <c r="A328" t="inlineStr">
        <is>
          <t>Gross margin on jobs</t>
        </is>
      </c>
      <c r="B328" s="13" t="n">
        <v>73107</v>
      </c>
    </row>
    <row r="329">
      <c r="A329" t="inlineStr">
        <is>
          <t>Technician wages and on-costs</t>
        </is>
      </c>
      <c r="B329" s="13" t="n">
        <v>54600</v>
      </c>
    </row>
    <row r="330">
      <c r="A330" t="inlineStr">
        <is>
          <t>Technician time charged to jobs (at cost)</t>
        </is>
      </c>
      <c r="B330" s="13" t="n">
        <v>51170</v>
      </c>
    </row>
    <row r="331">
      <c r="A331" t="inlineStr">
        <is>
          <t>Technician time not charged to jobs</t>
        </is>
      </c>
      <c r="B331" s="13">
        <f>B329-B330</f>
        <v/>
      </c>
    </row>
    <row r="332">
      <c r="A332" t="inlineStr">
        <is>
          <t>Gross profit (the P&amp;L)</t>
        </is>
      </c>
      <c r="B332" s="13">
        <f>B328-B331</f>
        <v/>
      </c>
    </row>
    <row r="333">
      <c r="A333" t="inlineStr">
        <is>
          <t>Overheads (operating expenses, depreciation, interest)</t>
        </is>
      </c>
      <c r="B333" s="13" t="n">
        <v>59580</v>
      </c>
    </row>
    <row r="334">
      <c r="A334" t="inlineStr">
        <is>
          <t>Profit before tax (the P&amp;L)</t>
        </is>
      </c>
      <c r="B334" s="13">
        <f>B332-B333</f>
        <v/>
      </c>
    </row>
    <row r="335">
      <c r="A335" t="inlineStr">
        <is>
          <t>Revenue</t>
        </is>
      </c>
      <c r="B335" s="13" t="n">
        <v>202337</v>
      </c>
    </row>
    <row r="336">
      <c r="A336" t="inlineStr">
        <is>
          <t>Gross margin on jobs, %</t>
        </is>
      </c>
      <c r="B336" s="14">
        <f>B328/B335</f>
        <v/>
      </c>
    </row>
    <row r="337">
      <c r="A337" t="inlineStr">
        <is>
          <t>Profit before tax, % of revenue</t>
        </is>
      </c>
      <c r="B337" s="14">
        <f>B334/B335</f>
        <v/>
      </c>
    </row>
    <row r="338">
      <c r="A338" s="15" t="inlineStr">
        <is>
          <t>Gross margin jobs need just to cover overheads and time not charged</t>
        </is>
      </c>
      <c r="B338" s="16">
        <f>(B331+B333)/B335</f>
        <v/>
      </c>
    </row>
    <row r="339">
      <c r="A339" s="2" t="inlineStr">
        <is>
          <t>Ties to the September 2026 P&amp;L (locked). Wages always include all on-costs: super, payroll tax, workers' compensation insurance and leave. October is still in progress, so this uses September.</t>
        </is>
      </c>
    </row>
    <row r="340"/>
    <row r="341"/>
    <row r="342">
      <c r="A342" s="5" t="inlineStr">
        <is>
          <t>Morningside house air-con install</t>
        </is>
      </c>
    </row>
    <row r="343">
      <c r="A343" s="12" t="inlineStr">
        <is>
          <t>Job gross margin ÷ revenue for this job (before overheads)</t>
        </is>
      </c>
    </row>
    <row r="344">
      <c r="A344" s="6" t="inlineStr"/>
      <c r="B344" s="7" t="inlineStr">
        <is>
          <t>This job</t>
        </is>
      </c>
    </row>
    <row r="345">
      <c r="A345" t="inlineStr">
        <is>
          <t>Revenue</t>
        </is>
      </c>
      <c r="B345" s="13" t="n">
        <v>33000</v>
      </c>
    </row>
    <row r="346">
      <c r="A346" t="inlineStr">
        <is>
          <t>Materials</t>
        </is>
      </c>
      <c r="B346" s="13" t="n">
        <v>-14500</v>
      </c>
    </row>
    <row r="347">
      <c r="A347" t="inlineStr">
        <is>
          <t>Subcontractors</t>
        </is>
      </c>
      <c r="B347" s="13" t="n">
        <v>-2300</v>
      </c>
    </row>
    <row r="348">
      <c r="A348" t="inlineStr">
        <is>
          <t>Technician hours</t>
        </is>
      </c>
      <c r="B348" s="17" t="n">
        <v>131.5</v>
      </c>
    </row>
    <row r="349">
      <c r="A349" t="inlineStr">
        <is>
          <t>Technician cost rate ($/hour, wages and all on-costs)</t>
        </is>
      </c>
      <c r="B349" s="13" t="n">
        <v>68</v>
      </c>
    </row>
    <row r="350">
      <c r="A350" t="inlineStr">
        <is>
          <t>Technician time</t>
        </is>
      </c>
      <c r="B350" s="13">
        <f>-B348*B349</f>
        <v/>
      </c>
    </row>
    <row r="351">
      <c r="A351" t="inlineStr">
        <is>
          <t>Job gross margin</t>
        </is>
      </c>
      <c r="B351" s="13">
        <f>B345+B346+B347+B350</f>
        <v/>
      </c>
    </row>
    <row r="352">
      <c r="A352" s="15" t="inlineStr">
        <is>
          <t>Job gross margin %</t>
        </is>
      </c>
      <c r="B352" s="16">
        <f>B351/B345</f>
        <v/>
      </c>
    </row>
    <row r="353"/>
    <row r="354"/>
    <row r="355">
      <c r="A355" s="5" t="inlineStr">
        <is>
          <t>Call-outs and repairs: gross margin, October and September</t>
        </is>
      </c>
    </row>
    <row r="356">
      <c r="A356" s="12" t="inlineStr">
        <is>
          <t>Revenue less direct cost, over revenue. Before overheads.</t>
        </is>
      </c>
    </row>
    <row r="357">
      <c r="A357" s="6" t="inlineStr"/>
      <c r="B357" s="7" t="inlineStr">
        <is>
          <t>Oct 26</t>
        </is>
      </c>
      <c r="C357" s="7" t="inlineStr">
        <is>
          <t>Sep 26</t>
        </is>
      </c>
    </row>
    <row r="358">
      <c r="A358" t="inlineStr">
        <is>
          <t>Revenue</t>
        </is>
      </c>
      <c r="B358" s="13" t="n">
        <v>3375</v>
      </c>
      <c r="C358" s="13" t="n">
        <v>31137</v>
      </c>
    </row>
    <row r="359">
      <c r="A359" t="inlineStr">
        <is>
          <t>Direct cost</t>
        </is>
      </c>
      <c r="B359" s="13" t="n">
        <v>1856</v>
      </c>
      <c r="C359" s="13" t="n">
        <v>17478</v>
      </c>
    </row>
    <row r="360">
      <c r="A360" t="inlineStr">
        <is>
          <t>Gross margin</t>
        </is>
      </c>
      <c r="B360" s="13">
        <f>B358-B359</f>
        <v/>
      </c>
      <c r="C360" s="13">
        <f>C358-C359</f>
        <v/>
      </c>
    </row>
    <row r="361">
      <c r="A361" s="15" t="inlineStr">
        <is>
          <t>Gross margin %</t>
        </is>
      </c>
      <c r="B361" s="16">
        <f>B360/B358</f>
        <v/>
      </c>
      <c r="C361" s="16">
        <f>C360/C358</f>
        <v/>
      </c>
    </row>
    <row r="362">
      <c r="A362" s="2" t="inlineStr">
        <is>
          <t>October is still in progress (data to 6 October), so it is a part month against full months.</t>
        </is>
      </c>
    </row>
    <row r="363"/>
    <row r="364"/>
    <row r="365">
      <c r="A365" s="5" t="inlineStr">
        <is>
          <t>Call-outs and repairs: gross margin, October and September</t>
        </is>
      </c>
    </row>
    <row r="366">
      <c r="A366" s="12" t="inlineStr">
        <is>
          <t>Revenue less direct cost, over revenue. Before overheads.</t>
        </is>
      </c>
    </row>
    <row r="367">
      <c r="A367" s="6" t="inlineStr"/>
      <c r="B367" s="7" t="inlineStr">
        <is>
          <t>Oct 26</t>
        </is>
      </c>
      <c r="C367" s="7" t="inlineStr">
        <is>
          <t>Sep 26</t>
        </is>
      </c>
    </row>
    <row r="368">
      <c r="A368" t="inlineStr">
        <is>
          <t>Revenue</t>
        </is>
      </c>
      <c r="B368" s="13" t="n">
        <v>3375</v>
      </c>
      <c r="C368" s="13" t="n">
        <v>31137</v>
      </c>
    </row>
    <row r="369">
      <c r="A369" t="inlineStr">
        <is>
          <t>Direct cost</t>
        </is>
      </c>
      <c r="B369" s="13" t="n">
        <v>1856</v>
      </c>
      <c r="C369" s="13" t="n">
        <v>17478</v>
      </c>
    </row>
    <row r="370">
      <c r="A370" t="inlineStr">
        <is>
          <t>Gross margin</t>
        </is>
      </c>
      <c r="B370" s="13">
        <f>B368-B369</f>
        <v/>
      </c>
      <c r="C370" s="13">
        <f>C368-C369</f>
        <v/>
      </c>
    </row>
    <row r="371">
      <c r="A371" s="15" t="inlineStr">
        <is>
          <t>Gross margin %</t>
        </is>
      </c>
      <c r="B371" s="16">
        <f>B370/B368</f>
        <v/>
      </c>
      <c r="C371" s="16">
        <f>C370/C368</f>
        <v/>
      </c>
    </row>
    <row r="372">
      <c r="A372" s="2" t="inlineStr">
        <is>
          <t>October is still in progress (data to 6 October), so it is a part month against full months.</t>
        </is>
      </c>
    </row>
    <row r="373"/>
    <row r="374"/>
    <row r="375">
      <c r="A375" s="5" t="inlineStr">
        <is>
          <t>From gross margin to profit, September 2026</t>
        </is>
      </c>
    </row>
    <row r="376">
      <c r="A376" s="12" t="inlineStr">
        <is>
          <t>Gross margin on the work − time not charged − overheads = profit before tax</t>
        </is>
      </c>
    </row>
    <row r="377">
      <c r="A377" s="6" t="inlineStr"/>
      <c r="B377" s="7" t="inlineStr">
        <is>
          <t>Sep 2026</t>
        </is>
      </c>
    </row>
    <row r="378">
      <c r="A378" t="inlineStr">
        <is>
          <t>Gross margin on jobs</t>
        </is>
      </c>
      <c r="B378" s="13" t="n">
        <v>73107</v>
      </c>
    </row>
    <row r="379">
      <c r="A379" t="inlineStr">
        <is>
          <t>Technician wages and on-costs</t>
        </is>
      </c>
      <c r="B379" s="13" t="n">
        <v>54600</v>
      </c>
    </row>
    <row r="380">
      <c r="A380" t="inlineStr">
        <is>
          <t>Technician time charged to jobs (at cost)</t>
        </is>
      </c>
      <c r="B380" s="13" t="n">
        <v>51170</v>
      </c>
    </row>
    <row r="381">
      <c r="A381" t="inlineStr">
        <is>
          <t>Technician time not charged to jobs</t>
        </is>
      </c>
      <c r="B381" s="13">
        <f>B379-B380</f>
        <v/>
      </c>
    </row>
    <row r="382">
      <c r="A382" t="inlineStr">
        <is>
          <t>Gross profit (the P&amp;L)</t>
        </is>
      </c>
      <c r="B382" s="13">
        <f>B378-B381</f>
        <v/>
      </c>
    </row>
    <row r="383">
      <c r="A383" t="inlineStr">
        <is>
          <t>Overheads (operating expenses, depreciation, interest)</t>
        </is>
      </c>
      <c r="B383" s="13" t="n">
        <v>59580</v>
      </c>
    </row>
    <row r="384">
      <c r="A384" t="inlineStr">
        <is>
          <t>Profit before tax (the P&amp;L)</t>
        </is>
      </c>
      <c r="B384" s="13">
        <f>B382-B383</f>
        <v/>
      </c>
    </row>
    <row r="385">
      <c r="A385" t="inlineStr">
        <is>
          <t>Revenue</t>
        </is>
      </c>
      <c r="B385" s="13" t="n">
        <v>202337</v>
      </c>
    </row>
    <row r="386">
      <c r="A386" t="inlineStr">
        <is>
          <t>Gross margin on jobs, %</t>
        </is>
      </c>
      <c r="B386" s="14">
        <f>B378/B385</f>
        <v/>
      </c>
    </row>
    <row r="387">
      <c r="A387" t="inlineStr">
        <is>
          <t>Profit before tax, % of revenue</t>
        </is>
      </c>
      <c r="B387" s="14">
        <f>B384/B385</f>
        <v/>
      </c>
    </row>
    <row r="388">
      <c r="A388" s="15" t="inlineStr">
        <is>
          <t>Gross margin jobs need just to cover overheads and time not charged</t>
        </is>
      </c>
      <c r="B388" s="16">
        <f>(B381+B383)/B385</f>
        <v/>
      </c>
    </row>
    <row r="389">
      <c r="A389" s="2" t="inlineStr">
        <is>
          <t>Ties to the September 2026 P&amp;L (locked). Wages always include all on-costs: super, payroll tax, workers' compensation insurance and leave. October is still in progress, so this uses September.</t>
        </is>
      </c>
    </row>
    <row r="390"/>
    <row r="391"/>
    <row r="392">
      <c r="A392" s="5" t="inlineStr">
        <is>
          <t>Call-out revenue, October so far</t>
        </is>
      </c>
    </row>
    <row r="393">
      <c r="A393" s="12" t="inlineStr">
        <is>
          <t>Technician time charged at $145/hour + materials charged at cost × 1.3</t>
        </is>
      </c>
    </row>
    <row r="394">
      <c r="A394" s="6" t="inlineStr"/>
      <c r="B394" s="7" t="inlineStr">
        <is>
          <t>Oct 2026</t>
        </is>
      </c>
    </row>
    <row r="395">
      <c r="A395" t="inlineStr">
        <is>
          <t>Technician time charged ($145/hour)</t>
        </is>
      </c>
      <c r="B395" s="13" t="n">
        <v>2465</v>
      </c>
    </row>
    <row r="396">
      <c r="A396" t="inlineStr">
        <is>
          <t>Materials at cost</t>
        </is>
      </c>
      <c r="B396" s="13" t="n">
        <v>700</v>
      </c>
    </row>
    <row r="397">
      <c r="A397" t="inlineStr">
        <is>
          <t>Mark-up on materials</t>
        </is>
      </c>
      <c r="B397" s="14" t="n">
        <v>0.3</v>
      </c>
    </row>
    <row r="398">
      <c r="A398" t="inlineStr">
        <is>
          <t>Materials charged (cost × 1.3)</t>
        </is>
      </c>
      <c r="B398" s="13">
        <f>B396*(1+B397)</f>
        <v/>
      </c>
    </row>
    <row r="399">
      <c r="A399" t="inlineStr">
        <is>
          <t>Materials charged (as invoiced, rounded per call-out)</t>
        </is>
      </c>
      <c r="B399" s="13" t="n">
        <v>910</v>
      </c>
    </row>
    <row r="400">
      <c r="A400" t="inlineStr">
        <is>
          <t>Call-out revenue</t>
        </is>
      </c>
      <c r="B400" s="13">
        <f>B395+B399</f>
        <v/>
      </c>
    </row>
    <row r="401">
      <c r="A401" s="15" t="inlineStr">
        <is>
          <t>Technician time, % of call-out revenue</t>
        </is>
      </c>
      <c r="B401" s="16">
        <f>B395/B400</f>
        <v/>
      </c>
    </row>
    <row r="402"/>
    <row r="403"/>
    <row r="404">
      <c r="A404" s="5" t="inlineStr">
        <is>
          <t>Call-out revenue, October so far</t>
        </is>
      </c>
    </row>
    <row r="405">
      <c r="A405" s="12" t="inlineStr">
        <is>
          <t>Technician time charged at $145/hour + materials charged at cost × 1.3</t>
        </is>
      </c>
    </row>
    <row r="406">
      <c r="A406" s="6" t="inlineStr"/>
      <c r="B406" s="7" t="inlineStr">
        <is>
          <t>Oct 2026</t>
        </is>
      </c>
    </row>
    <row r="407">
      <c r="A407" t="inlineStr">
        <is>
          <t>Technician time charged ($145/hour)</t>
        </is>
      </c>
      <c r="B407" s="13" t="n">
        <v>2465</v>
      </c>
    </row>
    <row r="408">
      <c r="A408" t="inlineStr">
        <is>
          <t>Materials at cost</t>
        </is>
      </c>
      <c r="B408" s="13" t="n">
        <v>700</v>
      </c>
    </row>
    <row r="409">
      <c r="A409" t="inlineStr">
        <is>
          <t>Mark-up on materials</t>
        </is>
      </c>
      <c r="B409" s="14" t="n">
        <v>0.3</v>
      </c>
    </row>
    <row r="410">
      <c r="A410" t="inlineStr">
        <is>
          <t>Materials charged (cost × 1.3)</t>
        </is>
      </c>
      <c r="B410" s="13">
        <f>B408*(1+B409)</f>
        <v/>
      </c>
    </row>
    <row r="411">
      <c r="A411" t="inlineStr">
        <is>
          <t>Materials charged (as invoiced, rounded per call-out)</t>
        </is>
      </c>
      <c r="B411" s="13" t="n">
        <v>910</v>
      </c>
    </row>
    <row r="412">
      <c r="A412" t="inlineStr">
        <is>
          <t>Call-out revenue</t>
        </is>
      </c>
      <c r="B412" s="13">
        <f>B407+B411</f>
        <v/>
      </c>
    </row>
    <row r="413">
      <c r="A413" s="15" t="inlineStr">
        <is>
          <t>Technician time, % of call-out revenue</t>
        </is>
      </c>
      <c r="B413" s="16">
        <f>B407/B412</f>
        <v/>
      </c>
    </row>
    <row r="414"/>
    <row r="415"/>
    <row r="416">
      <c r="A416" s="5" t="inlineStr">
        <is>
          <t>1-hour call-outs (2)</t>
        </is>
      </c>
    </row>
    <row r="417">
      <c r="A417" s="12" t="inlineStr">
        <is>
          <t>Call-outs of this length in October so far, added together</t>
        </is>
      </c>
    </row>
    <row r="418">
      <c r="A418" s="6" t="inlineStr"/>
      <c r="B418" s="7" t="inlineStr">
        <is>
          <t>Oct 2026</t>
        </is>
      </c>
    </row>
    <row r="419">
      <c r="A419" t="inlineStr">
        <is>
          <t>Call-outs</t>
        </is>
      </c>
      <c r="B419" s="13" t="n">
        <v>2</v>
      </c>
    </row>
    <row r="420">
      <c r="A420" t="inlineStr">
        <is>
          <t>Technician time charged ($145/hour)</t>
        </is>
      </c>
      <c r="B420" s="13" t="n">
        <v>290</v>
      </c>
    </row>
    <row r="421">
      <c r="A421" t="inlineStr">
        <is>
          <t>Materials charged (cost × 1.3)</t>
        </is>
      </c>
      <c r="B421" s="13" t="n">
        <v>169</v>
      </c>
    </row>
    <row r="422">
      <c r="A422" t="inlineStr">
        <is>
          <t>Revenue</t>
        </is>
      </c>
      <c r="B422" s="13">
        <f>B420+B421</f>
        <v/>
      </c>
    </row>
    <row r="423">
      <c r="A423" t="inlineStr">
        <is>
          <t>Materials at cost</t>
        </is>
      </c>
      <c r="B423" s="13" t="n">
        <v>-130</v>
      </c>
    </row>
    <row r="424">
      <c r="A424" t="inlineStr">
        <is>
          <t>Technician time at cost</t>
        </is>
      </c>
      <c r="B424" s="13" t="n">
        <v>-136</v>
      </c>
    </row>
    <row r="425">
      <c r="A425" t="inlineStr">
        <is>
          <t>Job gross margin</t>
        </is>
      </c>
      <c r="B425" s="13">
        <f>B422+B423+B424</f>
        <v/>
      </c>
    </row>
    <row r="426">
      <c r="A426" s="15" t="inlineStr">
        <is>
          <t>Job gross margin %</t>
        </is>
      </c>
      <c r="B426" s="16">
        <f>B425/B422</f>
        <v/>
      </c>
    </row>
    <row r="427"/>
    <row r="428"/>
    <row r="429">
      <c r="A429" s="5" t="inlineStr">
        <is>
          <t>1.5-hour call-outs (1)</t>
        </is>
      </c>
    </row>
    <row r="430">
      <c r="A430" s="12" t="inlineStr">
        <is>
          <t>Call-outs of this length in October so far, added together</t>
        </is>
      </c>
    </row>
    <row r="431">
      <c r="A431" s="6" t="inlineStr"/>
      <c r="B431" s="7" t="inlineStr">
        <is>
          <t>Oct 2026</t>
        </is>
      </c>
    </row>
    <row r="432">
      <c r="A432" t="inlineStr">
        <is>
          <t>Call-outs</t>
        </is>
      </c>
      <c r="B432" s="13" t="n">
        <v>1</v>
      </c>
    </row>
    <row r="433">
      <c r="A433" t="inlineStr">
        <is>
          <t>Technician time charged ($145/hour)</t>
        </is>
      </c>
      <c r="B433" s="13" t="n">
        <v>217</v>
      </c>
    </row>
    <row r="434">
      <c r="A434" t="inlineStr">
        <is>
          <t>Materials charged (cost × 1.3)</t>
        </is>
      </c>
      <c r="B434" s="13" t="n">
        <v>91</v>
      </c>
    </row>
    <row r="435">
      <c r="A435" t="inlineStr">
        <is>
          <t>Revenue</t>
        </is>
      </c>
      <c r="B435" s="13">
        <f>B433+B434</f>
        <v/>
      </c>
    </row>
    <row r="436">
      <c r="A436" t="inlineStr">
        <is>
          <t>Materials at cost</t>
        </is>
      </c>
      <c r="B436" s="13" t="n">
        <v>-70</v>
      </c>
    </row>
    <row r="437">
      <c r="A437" t="inlineStr">
        <is>
          <t>Technician time at cost</t>
        </is>
      </c>
      <c r="B437" s="13" t="n">
        <v>-102</v>
      </c>
    </row>
    <row r="438">
      <c r="A438" t="inlineStr">
        <is>
          <t>Job gross margin</t>
        </is>
      </c>
      <c r="B438" s="13">
        <f>B435+B436+B437</f>
        <v/>
      </c>
    </row>
    <row r="439">
      <c r="A439" s="15" t="inlineStr">
        <is>
          <t>Job gross margin %</t>
        </is>
      </c>
      <c r="B439" s="16">
        <f>B438/B435</f>
        <v/>
      </c>
    </row>
    <row r="440"/>
    <row r="441"/>
    <row r="442">
      <c r="A442" s="5" t="inlineStr">
        <is>
          <t>2.5-hour call-outs (1)</t>
        </is>
      </c>
    </row>
    <row r="443">
      <c r="A443" s="12" t="inlineStr">
        <is>
          <t>Call-outs of this length in October so far, added together</t>
        </is>
      </c>
    </row>
    <row r="444">
      <c r="A444" s="6" t="inlineStr"/>
      <c r="B444" s="7" t="inlineStr">
        <is>
          <t>Oct 2026</t>
        </is>
      </c>
    </row>
    <row r="445">
      <c r="A445" t="inlineStr">
        <is>
          <t>Call-outs</t>
        </is>
      </c>
      <c r="B445" s="13" t="n">
        <v>1</v>
      </c>
    </row>
    <row r="446">
      <c r="A446" t="inlineStr">
        <is>
          <t>Technician time charged ($145/hour)</t>
        </is>
      </c>
      <c r="B446" s="13" t="n">
        <v>363</v>
      </c>
    </row>
    <row r="447">
      <c r="A447" t="inlineStr">
        <is>
          <t>Materials charged (cost × 1.3)</t>
        </is>
      </c>
      <c r="B447" s="13" t="n">
        <v>247</v>
      </c>
    </row>
    <row r="448">
      <c r="A448" t="inlineStr">
        <is>
          <t>Revenue</t>
        </is>
      </c>
      <c r="B448" s="13">
        <f>B446+B447</f>
        <v/>
      </c>
    </row>
    <row r="449">
      <c r="A449" t="inlineStr">
        <is>
          <t>Materials at cost</t>
        </is>
      </c>
      <c r="B449" s="13" t="n">
        <v>-190</v>
      </c>
    </row>
    <row r="450">
      <c r="A450" t="inlineStr">
        <is>
          <t>Technician time at cost</t>
        </is>
      </c>
      <c r="B450" s="13" t="n">
        <v>-170</v>
      </c>
    </row>
    <row r="451">
      <c r="A451" t="inlineStr">
        <is>
          <t>Job gross margin</t>
        </is>
      </c>
      <c r="B451" s="13">
        <f>B448+B449+B450</f>
        <v/>
      </c>
    </row>
    <row r="452">
      <c r="A452" s="15" t="inlineStr">
        <is>
          <t>Job gross margin %</t>
        </is>
      </c>
      <c r="B452" s="16">
        <f>B451/B448</f>
        <v/>
      </c>
    </row>
    <row r="453"/>
    <row r="454"/>
    <row r="455">
      <c r="A455" s="5" t="inlineStr">
        <is>
          <t>3-hour call-outs (1)</t>
        </is>
      </c>
    </row>
    <row r="456">
      <c r="A456" s="12" t="inlineStr">
        <is>
          <t>Call-outs of this length in October so far, added together</t>
        </is>
      </c>
    </row>
    <row r="457">
      <c r="A457" s="6" t="inlineStr"/>
      <c r="B457" s="7" t="inlineStr">
        <is>
          <t>Oct 2026</t>
        </is>
      </c>
    </row>
    <row r="458">
      <c r="A458" t="inlineStr">
        <is>
          <t>Call-outs</t>
        </is>
      </c>
      <c r="B458" s="13" t="n">
        <v>1</v>
      </c>
    </row>
    <row r="459">
      <c r="A459" t="inlineStr">
        <is>
          <t>Technician time charged ($145/hour)</t>
        </is>
      </c>
      <c r="B459" s="13" t="n">
        <v>435</v>
      </c>
    </row>
    <row r="460">
      <c r="A460" t="inlineStr">
        <is>
          <t>Materials charged (cost × 1.3)</t>
        </is>
      </c>
      <c r="B460" s="13" t="n">
        <v>169</v>
      </c>
    </row>
    <row r="461">
      <c r="A461" t="inlineStr">
        <is>
          <t>Revenue</t>
        </is>
      </c>
      <c r="B461" s="13">
        <f>B459+B460</f>
        <v/>
      </c>
    </row>
    <row r="462">
      <c r="A462" t="inlineStr">
        <is>
          <t>Materials at cost</t>
        </is>
      </c>
      <c r="B462" s="13" t="n">
        <v>-130</v>
      </c>
    </row>
    <row r="463">
      <c r="A463" t="inlineStr">
        <is>
          <t>Technician time at cost</t>
        </is>
      </c>
      <c r="B463" s="13" t="n">
        <v>-204</v>
      </c>
    </row>
    <row r="464">
      <c r="A464" t="inlineStr">
        <is>
          <t>Job gross margin</t>
        </is>
      </c>
      <c r="B464" s="13">
        <f>B461+B462+B463</f>
        <v/>
      </c>
    </row>
    <row r="465">
      <c r="A465" s="15" t="inlineStr">
        <is>
          <t>Job gross margin %</t>
        </is>
      </c>
      <c r="B465" s="16">
        <f>B464/B461</f>
        <v/>
      </c>
    </row>
    <row r="466"/>
    <row r="467"/>
    <row r="468">
      <c r="A468" s="5" t="inlineStr">
        <is>
          <t>4-hour call-outs (2)</t>
        </is>
      </c>
    </row>
    <row r="469">
      <c r="A469" s="12" t="inlineStr">
        <is>
          <t>Call-outs of this length in October so far, added together</t>
        </is>
      </c>
    </row>
    <row r="470">
      <c r="A470" s="6" t="inlineStr"/>
      <c r="B470" s="7" t="inlineStr">
        <is>
          <t>Oct 2026</t>
        </is>
      </c>
    </row>
    <row r="471">
      <c r="A471" t="inlineStr">
        <is>
          <t>Call-outs</t>
        </is>
      </c>
      <c r="B471" s="13" t="n">
        <v>2</v>
      </c>
    </row>
    <row r="472">
      <c r="A472" t="inlineStr">
        <is>
          <t>Technician time charged ($145/hour)</t>
        </is>
      </c>
      <c r="B472" s="13" t="n">
        <v>1160</v>
      </c>
    </row>
    <row r="473">
      <c r="A473" t="inlineStr">
        <is>
          <t>Materials charged (cost × 1.3)</t>
        </is>
      </c>
      <c r="B473" s="13" t="n">
        <v>234</v>
      </c>
    </row>
    <row r="474">
      <c r="A474" t="inlineStr">
        <is>
          <t>Revenue</t>
        </is>
      </c>
      <c r="B474" s="13">
        <f>B472+B473</f>
        <v/>
      </c>
    </row>
    <row r="475">
      <c r="A475" t="inlineStr">
        <is>
          <t>Materials at cost</t>
        </is>
      </c>
      <c r="B475" s="13" t="n">
        <v>-180</v>
      </c>
    </row>
    <row r="476">
      <c r="A476" t="inlineStr">
        <is>
          <t>Technician time at cost</t>
        </is>
      </c>
      <c r="B476" s="13" t="n">
        <v>-544</v>
      </c>
    </row>
    <row r="477">
      <c r="A477" t="inlineStr">
        <is>
          <t>Job gross margin</t>
        </is>
      </c>
      <c r="B477" s="13">
        <f>B474+B475+B476</f>
        <v/>
      </c>
    </row>
    <row r="478">
      <c r="A478" s="15" t="inlineStr">
        <is>
          <t>Job gross margin %</t>
        </is>
      </c>
      <c r="B478" s="16">
        <f>B477/B474</f>
        <v/>
      </c>
    </row>
    <row r="479"/>
    <row r="480"/>
    <row r="481"/>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2026&amp;R&amp;"Roboto,Regular"&amp;8 Page &amp;P of &amp;N</oddFooter>
    <evenHeader/>
    <evenFooter/>
    <firstHeader/>
    <firstFooter/>
  </headerFooter>
  <rowBreaks count="18" manualBreakCount="18">
    <brk id="31" min="0" max="16383" man="1"/>
    <brk id="58" min="0" max="16383" man="1"/>
    <brk id="85" min="0" max="16383" man="1"/>
    <brk id="105" min="0" max="16383" man="1"/>
    <brk id="135" min="0" max="16383" man="1"/>
    <brk id="161" min="0" max="16383" man="1"/>
    <brk id="187" min="0" max="16383" man="1"/>
    <brk id="213" min="0" max="16383" man="1"/>
    <brk id="239" min="0" max="16383" man="1"/>
    <brk id="265" min="0" max="16383" man="1"/>
    <brk id="291" min="0" max="16383" man="1"/>
    <brk id="314" min="0" max="16383" man="1"/>
    <brk id="341" min="0" max="16383" man="1"/>
    <brk id="364" min="0" max="16383" man="1"/>
    <brk id="391" min="0" max="16383" man="1"/>
    <brk id="415" min="0" max="16383" man="1"/>
    <brk id="441" min="0" max="16383" man="1"/>
    <brk id="467" min="0" max="16383" man="1"/>
  </rowBreaks>
</worksheet>
</file>

<file path=xl/worksheets/sheet3.xml><?xml version="1.0" encoding="utf-8"?>
<worksheet xmlns="http://schemas.openxmlformats.org/spreadsheetml/2006/main">
  <sheetPr>
    <outlinePr summaryBelow="1" summaryRight="1"/>
    <pageSetUpPr fitToPage="1"/>
  </sheetPr>
  <dimension ref="A1:G10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t>
        </is>
      </c>
    </row>
    <row r="3">
      <c r="A3" s="2" t="inlineStr">
        <is>
          <t>Period: October 2026 to date · Data status: Sep 2026 locked · Oct 2026 incomplete (data retrieved 2pm, Tue 6 Oct 2026)</t>
        </is>
      </c>
    </row>
    <row r="4"/>
    <row r="5">
      <c r="A5" s="6" t="inlineStr">
        <is>
          <t>Line</t>
        </is>
      </c>
      <c r="B5" s="7" t="inlineStr">
        <is>
          <t>Month</t>
        </is>
      </c>
      <c r="C5" s="7" t="inlineStr">
        <is>
          <t>Status</t>
        </is>
      </c>
      <c r="D5" s="7" t="inlineStr">
        <is>
          <t>Revenue</t>
        </is>
      </c>
      <c r="E5" s="7" t="inlineStr">
        <is>
          <t>Direct cost</t>
        </is>
      </c>
      <c r="F5" s="7" t="inlineStr">
        <is>
          <t>Gross margin</t>
        </is>
      </c>
      <c r="G5" s="7" t="inlineStr">
        <is>
          <t>Gross margin %</t>
        </is>
      </c>
    </row>
    <row r="6">
      <c r="A6" s="18" t="inlineStr">
        <is>
          <t>All</t>
        </is>
      </c>
      <c r="B6" s="18" t="inlineStr">
        <is>
          <t>Nov 24</t>
        </is>
      </c>
      <c r="C6" s="18" t="inlineStr">
        <is>
          <t>Locked</t>
        </is>
      </c>
      <c r="D6" s="13" t="n">
        <v>179474</v>
      </c>
      <c r="E6" s="13" t="n">
        <v>113016</v>
      </c>
      <c r="F6" s="13">
        <f>D6-E6</f>
        <v/>
      </c>
      <c r="G6" s="14">
        <f>IF(D6=0,"",F6/D6)</f>
        <v/>
      </c>
    </row>
    <row r="7">
      <c r="A7" s="18" t="inlineStr">
        <is>
          <t>All</t>
        </is>
      </c>
      <c r="B7" s="18" t="inlineStr">
        <is>
          <t>Dec 24</t>
        </is>
      </c>
      <c r="C7" s="18" t="inlineStr">
        <is>
          <t>Locked</t>
        </is>
      </c>
      <c r="D7" s="13" t="n">
        <v>143156</v>
      </c>
      <c r="E7" s="13" t="n">
        <v>85316</v>
      </c>
      <c r="F7" s="13">
        <f>D7-E7</f>
        <v/>
      </c>
      <c r="G7" s="14">
        <f>IF(D7=0,"",F7/D7)</f>
        <v/>
      </c>
    </row>
    <row r="8">
      <c r="A8" s="18" t="inlineStr">
        <is>
          <t>All</t>
        </is>
      </c>
      <c r="B8" s="18" t="inlineStr">
        <is>
          <t>Jan 25</t>
        </is>
      </c>
      <c r="C8" s="18" t="inlineStr">
        <is>
          <t>Locked</t>
        </is>
      </c>
      <c r="D8" s="13" t="n">
        <v>140909</v>
      </c>
      <c r="E8" s="13" t="n">
        <v>80742</v>
      </c>
      <c r="F8" s="13">
        <f>D8-E8</f>
        <v/>
      </c>
      <c r="G8" s="14">
        <f>IF(D8=0,"",F8/D8)</f>
        <v/>
      </c>
    </row>
    <row r="9">
      <c r="A9" s="18" t="inlineStr">
        <is>
          <t>All</t>
        </is>
      </c>
      <c r="B9" s="18" t="inlineStr">
        <is>
          <t>Feb 25</t>
        </is>
      </c>
      <c r="C9" s="18" t="inlineStr">
        <is>
          <t>Locked</t>
        </is>
      </c>
      <c r="D9" s="13" t="n">
        <v>160943</v>
      </c>
      <c r="E9" s="13" t="n">
        <v>102348</v>
      </c>
      <c r="F9" s="13">
        <f>D9-E9</f>
        <v/>
      </c>
      <c r="G9" s="14">
        <f>IF(D9=0,"",F9/D9)</f>
        <v/>
      </c>
    </row>
    <row r="10">
      <c r="A10" s="18" t="inlineStr">
        <is>
          <t>All</t>
        </is>
      </c>
      <c r="B10" s="18" t="inlineStr">
        <is>
          <t>Mar 25</t>
        </is>
      </c>
      <c r="C10" s="18" t="inlineStr">
        <is>
          <t>Locked</t>
        </is>
      </c>
      <c r="D10" s="13" t="n">
        <v>135082</v>
      </c>
      <c r="E10" s="13" t="n">
        <v>85752</v>
      </c>
      <c r="F10" s="13">
        <f>D10-E10</f>
        <v/>
      </c>
      <c r="G10" s="14">
        <f>IF(D10=0,"",F10/D10)</f>
        <v/>
      </c>
    </row>
    <row r="11">
      <c r="A11" s="18" t="inlineStr">
        <is>
          <t>All</t>
        </is>
      </c>
      <c r="B11" s="18" t="inlineStr">
        <is>
          <t>Apr 25</t>
        </is>
      </c>
      <c r="C11" s="18" t="inlineStr">
        <is>
          <t>Locked</t>
        </is>
      </c>
      <c r="D11" s="13" t="n">
        <v>124705</v>
      </c>
      <c r="E11" s="13" t="n">
        <v>76808</v>
      </c>
      <c r="F11" s="13">
        <f>D11-E11</f>
        <v/>
      </c>
      <c r="G11" s="14">
        <f>IF(D11=0,"",F11/D11)</f>
        <v/>
      </c>
    </row>
    <row r="12">
      <c r="A12" s="18" t="inlineStr">
        <is>
          <t>All</t>
        </is>
      </c>
      <c r="B12" s="18" t="inlineStr">
        <is>
          <t>May 25</t>
        </is>
      </c>
      <c r="C12" s="18" t="inlineStr">
        <is>
          <t>Locked</t>
        </is>
      </c>
      <c r="D12" s="13" t="n">
        <v>129816</v>
      </c>
      <c r="E12" s="13" t="n">
        <v>83700</v>
      </c>
      <c r="F12" s="13">
        <f>D12-E12</f>
        <v/>
      </c>
      <c r="G12" s="14">
        <f>IF(D12=0,"",F12/D12)</f>
        <v/>
      </c>
    </row>
    <row r="13">
      <c r="A13" s="18" t="inlineStr">
        <is>
          <t>All</t>
        </is>
      </c>
      <c r="B13" s="18" t="inlineStr">
        <is>
          <t>Jun 25</t>
        </is>
      </c>
      <c r="C13" s="18" t="inlineStr">
        <is>
          <t>Locked</t>
        </is>
      </c>
      <c r="D13" s="13" t="n">
        <v>164113</v>
      </c>
      <c r="E13" s="13" t="n">
        <v>97584</v>
      </c>
      <c r="F13" s="13">
        <f>D13-E13</f>
        <v/>
      </c>
      <c r="G13" s="14">
        <f>IF(D13=0,"",F13/D13)</f>
        <v/>
      </c>
    </row>
    <row r="14">
      <c r="A14" s="18" t="inlineStr">
        <is>
          <t>All</t>
        </is>
      </c>
      <c r="B14" s="18" t="inlineStr">
        <is>
          <t>Jul 25</t>
        </is>
      </c>
      <c r="C14" s="18" t="inlineStr">
        <is>
          <t>Locked</t>
        </is>
      </c>
      <c r="D14" s="13" t="n">
        <v>186760</v>
      </c>
      <c r="E14" s="13" t="n">
        <v>120326</v>
      </c>
      <c r="F14" s="13">
        <f>D14-E14</f>
        <v/>
      </c>
      <c r="G14" s="14">
        <f>IF(D14=0,"",F14/D14)</f>
        <v/>
      </c>
    </row>
    <row r="15">
      <c r="A15" s="18" t="inlineStr">
        <is>
          <t>All</t>
        </is>
      </c>
      <c r="B15" s="18" t="inlineStr">
        <is>
          <t>Aug 25</t>
        </is>
      </c>
      <c r="C15" s="18" t="inlineStr">
        <is>
          <t>Locked</t>
        </is>
      </c>
      <c r="D15" s="13" t="n">
        <v>139164</v>
      </c>
      <c r="E15" s="13" t="n">
        <v>78258</v>
      </c>
      <c r="F15" s="13">
        <f>D15-E15</f>
        <v/>
      </c>
      <c r="G15" s="14">
        <f>IF(D15=0,"",F15/D15)</f>
        <v/>
      </c>
    </row>
    <row r="16">
      <c r="A16" s="18" t="inlineStr">
        <is>
          <t>All</t>
        </is>
      </c>
      <c r="B16" s="18" t="inlineStr">
        <is>
          <t>Sep 25</t>
        </is>
      </c>
      <c r="C16" s="18" t="inlineStr">
        <is>
          <t>Locked</t>
        </is>
      </c>
      <c r="D16" s="13" t="n">
        <v>128255</v>
      </c>
      <c r="E16" s="13" t="n">
        <v>80054</v>
      </c>
      <c r="F16" s="13">
        <f>D16-E16</f>
        <v/>
      </c>
      <c r="G16" s="14">
        <f>IF(D16=0,"",F16/D16)</f>
        <v/>
      </c>
    </row>
    <row r="17">
      <c r="A17" s="18" t="inlineStr">
        <is>
          <t>All</t>
        </is>
      </c>
      <c r="B17" s="18" t="inlineStr">
        <is>
          <t>Oct 25</t>
        </is>
      </c>
      <c r="C17" s="18" t="inlineStr">
        <is>
          <t>Locked</t>
        </is>
      </c>
      <c r="D17" s="13" t="n">
        <v>128898</v>
      </c>
      <c r="E17" s="13" t="n">
        <v>79452</v>
      </c>
      <c r="F17" s="13">
        <f>D17-E17</f>
        <v/>
      </c>
      <c r="G17" s="14">
        <f>IF(D17=0,"",F17/D17)</f>
        <v/>
      </c>
    </row>
    <row r="18">
      <c r="A18" s="18" t="inlineStr">
        <is>
          <t>All</t>
        </is>
      </c>
      <c r="B18" s="18" t="inlineStr">
        <is>
          <t>Nov 25</t>
        </is>
      </c>
      <c r="C18" s="18" t="inlineStr">
        <is>
          <t>Locked</t>
        </is>
      </c>
      <c r="D18" s="13" t="n">
        <v>174786</v>
      </c>
      <c r="E18" s="13" t="n">
        <v>115942</v>
      </c>
      <c r="F18" s="13">
        <f>D18-E18</f>
        <v/>
      </c>
      <c r="G18" s="14">
        <f>IF(D18=0,"",F18/D18)</f>
        <v/>
      </c>
    </row>
    <row r="19">
      <c r="A19" s="18" t="inlineStr">
        <is>
          <t>All</t>
        </is>
      </c>
      <c r="B19" s="18" t="inlineStr">
        <is>
          <t>Dec 25</t>
        </is>
      </c>
      <c r="C19" s="18" t="inlineStr">
        <is>
          <t>Locked</t>
        </is>
      </c>
      <c r="D19" s="13" t="n">
        <v>135079</v>
      </c>
      <c r="E19" s="13" t="n">
        <v>84626</v>
      </c>
      <c r="F19" s="13">
        <f>D19-E19</f>
        <v/>
      </c>
      <c r="G19" s="14">
        <f>IF(D19=0,"",F19/D19)</f>
        <v/>
      </c>
    </row>
    <row r="20">
      <c r="A20" s="18" t="inlineStr">
        <is>
          <t>All</t>
        </is>
      </c>
      <c r="B20" s="18" t="inlineStr">
        <is>
          <t>Jan 26</t>
        </is>
      </c>
      <c r="C20" s="18" t="inlineStr">
        <is>
          <t>Locked</t>
        </is>
      </c>
      <c r="D20" s="13" t="n">
        <v>164780</v>
      </c>
      <c r="E20" s="13" t="n">
        <v>106590</v>
      </c>
      <c r="F20" s="13">
        <f>D20-E20</f>
        <v/>
      </c>
      <c r="G20" s="14">
        <f>IF(D20=0,"",F20/D20)</f>
        <v/>
      </c>
    </row>
    <row r="21">
      <c r="A21" s="18" t="inlineStr">
        <is>
          <t>All</t>
        </is>
      </c>
      <c r="B21" s="18" t="inlineStr">
        <is>
          <t>Feb 26</t>
        </is>
      </c>
      <c r="C21" s="18" t="inlineStr">
        <is>
          <t>Locked</t>
        </is>
      </c>
      <c r="D21" s="13" t="n">
        <v>196372</v>
      </c>
      <c r="E21" s="13" t="n">
        <v>120662</v>
      </c>
      <c r="F21" s="13">
        <f>D21-E21</f>
        <v/>
      </c>
      <c r="G21" s="14">
        <f>IF(D21=0,"",F21/D21)</f>
        <v/>
      </c>
    </row>
    <row r="22">
      <c r="A22" s="18" t="inlineStr">
        <is>
          <t>All</t>
        </is>
      </c>
      <c r="B22" s="18" t="inlineStr">
        <is>
          <t>Mar 26</t>
        </is>
      </c>
      <c r="C22" s="18" t="inlineStr">
        <is>
          <t>Locked</t>
        </is>
      </c>
      <c r="D22" s="13" t="n">
        <v>191500</v>
      </c>
      <c r="E22" s="13" t="n">
        <v>123342</v>
      </c>
      <c r="F22" s="13">
        <f>D22-E22</f>
        <v/>
      </c>
      <c r="G22" s="14">
        <f>IF(D22=0,"",F22/D22)</f>
        <v/>
      </c>
    </row>
    <row r="23">
      <c r="A23" s="18" t="inlineStr">
        <is>
          <t>All</t>
        </is>
      </c>
      <c r="B23" s="18" t="inlineStr">
        <is>
          <t>Apr 26</t>
        </is>
      </c>
      <c r="C23" s="18" t="inlineStr">
        <is>
          <t>Locked</t>
        </is>
      </c>
      <c r="D23" s="13" t="n">
        <v>164987</v>
      </c>
      <c r="E23" s="13" t="n">
        <v>96144</v>
      </c>
      <c r="F23" s="13">
        <f>D23-E23</f>
        <v/>
      </c>
      <c r="G23" s="14">
        <f>IF(D23=0,"",F23/D23)</f>
        <v/>
      </c>
    </row>
    <row r="24">
      <c r="A24" s="18" t="inlineStr">
        <is>
          <t>All</t>
        </is>
      </c>
      <c r="B24" s="18" t="inlineStr">
        <is>
          <t>May 26</t>
        </is>
      </c>
      <c r="C24" s="18" t="inlineStr">
        <is>
          <t>Locked</t>
        </is>
      </c>
      <c r="D24" s="13" t="n">
        <v>161963</v>
      </c>
      <c r="E24" s="13" t="n">
        <v>98858</v>
      </c>
      <c r="F24" s="13">
        <f>D24-E24</f>
        <v/>
      </c>
      <c r="G24" s="14">
        <f>IF(D24=0,"",F24/D24)</f>
        <v/>
      </c>
    </row>
    <row r="25">
      <c r="A25" s="18" t="inlineStr">
        <is>
          <t>All</t>
        </is>
      </c>
      <c r="B25" s="18" t="inlineStr">
        <is>
          <t>Jun 26</t>
        </is>
      </c>
      <c r="C25" s="18" t="inlineStr">
        <is>
          <t>Locked</t>
        </is>
      </c>
      <c r="D25" s="13" t="n">
        <v>173163</v>
      </c>
      <c r="E25" s="13" t="n">
        <v>106500</v>
      </c>
      <c r="F25" s="13">
        <f>D25-E25</f>
        <v/>
      </c>
      <c r="G25" s="14">
        <f>IF(D25=0,"",F25/D25)</f>
        <v/>
      </c>
    </row>
    <row r="26">
      <c r="A26" s="18" t="inlineStr">
        <is>
          <t>All</t>
        </is>
      </c>
      <c r="B26" s="18" t="inlineStr">
        <is>
          <t>Jul 26</t>
        </is>
      </c>
      <c r="C26" s="18" t="inlineStr">
        <is>
          <t>Locked</t>
        </is>
      </c>
      <c r="D26" s="13" t="n">
        <v>193245</v>
      </c>
      <c r="E26" s="13" t="n">
        <v>122124</v>
      </c>
      <c r="F26" s="13">
        <f>D26-E26</f>
        <v/>
      </c>
      <c r="G26" s="14">
        <f>IF(D26=0,"",F26/D26)</f>
        <v/>
      </c>
    </row>
    <row r="27">
      <c r="A27" s="18" t="inlineStr">
        <is>
          <t>All</t>
        </is>
      </c>
      <c r="B27" s="18" t="inlineStr">
        <is>
          <t>Aug 26</t>
        </is>
      </c>
      <c r="C27" s="18" t="inlineStr">
        <is>
          <t>Locked</t>
        </is>
      </c>
      <c r="D27" s="13" t="n">
        <v>179007</v>
      </c>
      <c r="E27" s="13" t="n">
        <v>105370</v>
      </c>
      <c r="F27" s="13">
        <f>D27-E27</f>
        <v/>
      </c>
      <c r="G27" s="14">
        <f>IF(D27=0,"",F27/D27)</f>
        <v/>
      </c>
    </row>
    <row r="28">
      <c r="A28" s="18" t="inlineStr">
        <is>
          <t>All</t>
        </is>
      </c>
      <c r="B28" s="18" t="inlineStr">
        <is>
          <t>Sep 26</t>
        </is>
      </c>
      <c r="C28" s="18" t="inlineStr">
        <is>
          <t>Locked</t>
        </is>
      </c>
      <c r="D28" s="13" t="n">
        <v>202337</v>
      </c>
      <c r="E28" s="13" t="n">
        <v>129230</v>
      </c>
      <c r="F28" s="13">
        <f>D28-E28</f>
        <v/>
      </c>
      <c r="G28" s="14">
        <f>IF(D28=0,"",F28/D28)</f>
        <v/>
      </c>
    </row>
    <row r="29">
      <c r="A29" s="18" t="inlineStr">
        <is>
          <t>All</t>
        </is>
      </c>
      <c r="B29" s="18" t="inlineStr">
        <is>
          <t>Oct 26</t>
        </is>
      </c>
      <c r="C29" s="18" t="inlineStr">
        <is>
          <t>Incomplete</t>
        </is>
      </c>
      <c r="D29" s="13" t="n">
        <v>76875</v>
      </c>
      <c r="E29" s="13" t="n">
        <v>43982</v>
      </c>
      <c r="F29" s="13">
        <f>D29-E29</f>
        <v/>
      </c>
      <c r="G29" s="14">
        <f>IF(D29=0,"",F29/D29)</f>
        <v/>
      </c>
    </row>
    <row r="30">
      <c r="A30" s="18" t="inlineStr">
        <is>
          <t>Maintenance contracts</t>
        </is>
      </c>
      <c r="B30" s="18" t="inlineStr">
        <is>
          <t>Nov 24</t>
        </is>
      </c>
      <c r="C30" s="18" t="inlineStr">
        <is>
          <t>Locked</t>
        </is>
      </c>
      <c r="D30" s="13" t="n">
        <v>24670</v>
      </c>
      <c r="E30" s="13" t="n">
        <v>10420</v>
      </c>
      <c r="F30" s="13">
        <f>D30-E30</f>
        <v/>
      </c>
      <c r="G30" s="14">
        <f>IF(D30=0,"",F30/D30)</f>
        <v/>
      </c>
    </row>
    <row r="31">
      <c r="A31" s="18" t="inlineStr">
        <is>
          <t>Maintenance contracts</t>
        </is>
      </c>
      <c r="B31" s="18" t="inlineStr">
        <is>
          <t>Dec 24</t>
        </is>
      </c>
      <c r="C31" s="18" t="inlineStr">
        <is>
          <t>Locked</t>
        </is>
      </c>
      <c r="D31" s="13" t="n">
        <v>24670</v>
      </c>
      <c r="E31" s="13" t="n">
        <v>10420</v>
      </c>
      <c r="F31" s="13">
        <f>D31-E31</f>
        <v/>
      </c>
      <c r="G31" s="14">
        <f>IF(D31=0,"",F31/D31)</f>
        <v/>
      </c>
    </row>
    <row r="32">
      <c r="A32" s="18" t="inlineStr">
        <is>
          <t>Maintenance contracts</t>
        </is>
      </c>
      <c r="B32" s="18" t="inlineStr">
        <is>
          <t>Jan 25</t>
        </is>
      </c>
      <c r="C32" s="18" t="inlineStr">
        <is>
          <t>Locked</t>
        </is>
      </c>
      <c r="D32" s="13" t="n">
        <v>24670</v>
      </c>
      <c r="E32" s="13" t="n">
        <v>10420</v>
      </c>
      <c r="F32" s="13">
        <f>D32-E32</f>
        <v/>
      </c>
      <c r="G32" s="14">
        <f>IF(D32=0,"",F32/D32)</f>
        <v/>
      </c>
    </row>
    <row r="33">
      <c r="A33" s="18" t="inlineStr">
        <is>
          <t>Maintenance contracts</t>
        </is>
      </c>
      <c r="B33" s="18" t="inlineStr">
        <is>
          <t>Feb 25</t>
        </is>
      </c>
      <c r="C33" s="18" t="inlineStr">
        <is>
          <t>Locked</t>
        </is>
      </c>
      <c r="D33" s="13" t="n">
        <v>27930</v>
      </c>
      <c r="E33" s="13" t="n">
        <v>11782</v>
      </c>
      <c r="F33" s="13">
        <f>D33-E33</f>
        <v/>
      </c>
      <c r="G33" s="14">
        <f>IF(D33=0,"",F33/D33)</f>
        <v/>
      </c>
    </row>
    <row r="34">
      <c r="A34" s="18" t="inlineStr">
        <is>
          <t>Maintenance contracts</t>
        </is>
      </c>
      <c r="B34" s="18" t="inlineStr">
        <is>
          <t>Mar 25</t>
        </is>
      </c>
      <c r="C34" s="18" t="inlineStr">
        <is>
          <t>Locked</t>
        </is>
      </c>
      <c r="D34" s="13" t="n">
        <v>27930</v>
      </c>
      <c r="E34" s="13" t="n">
        <v>11782</v>
      </c>
      <c r="F34" s="13">
        <f>D34-E34</f>
        <v/>
      </c>
      <c r="G34" s="14">
        <f>IF(D34=0,"",F34/D34)</f>
        <v/>
      </c>
    </row>
    <row r="35">
      <c r="A35" s="18" t="inlineStr">
        <is>
          <t>Maintenance contracts</t>
        </is>
      </c>
      <c r="B35" s="18" t="inlineStr">
        <is>
          <t>Apr 25</t>
        </is>
      </c>
      <c r="C35" s="18" t="inlineStr">
        <is>
          <t>Locked</t>
        </is>
      </c>
      <c r="D35" s="13" t="n">
        <v>27930</v>
      </c>
      <c r="E35" s="13" t="n">
        <v>11782</v>
      </c>
      <c r="F35" s="13">
        <f>D35-E35</f>
        <v/>
      </c>
      <c r="G35" s="14">
        <f>IF(D35=0,"",F35/D35)</f>
        <v/>
      </c>
    </row>
    <row r="36">
      <c r="A36" s="18" t="inlineStr">
        <is>
          <t>Maintenance contracts</t>
        </is>
      </c>
      <c r="B36" s="18" t="inlineStr">
        <is>
          <t>May 25</t>
        </is>
      </c>
      <c r="C36" s="18" t="inlineStr">
        <is>
          <t>Locked</t>
        </is>
      </c>
      <c r="D36" s="13" t="n">
        <v>27930</v>
      </c>
      <c r="E36" s="13" t="n">
        <v>11782</v>
      </c>
      <c r="F36" s="13">
        <f>D36-E36</f>
        <v/>
      </c>
      <c r="G36" s="14">
        <f>IF(D36=0,"",F36/D36)</f>
        <v/>
      </c>
    </row>
    <row r="37">
      <c r="A37" s="18" t="inlineStr">
        <is>
          <t>Maintenance contracts</t>
        </is>
      </c>
      <c r="B37" s="18" t="inlineStr">
        <is>
          <t>Jun 25</t>
        </is>
      </c>
      <c r="C37" s="18" t="inlineStr">
        <is>
          <t>Locked</t>
        </is>
      </c>
      <c r="D37" s="13" t="n">
        <v>31870</v>
      </c>
      <c r="E37" s="13" t="n">
        <v>13446</v>
      </c>
      <c r="F37" s="13">
        <f>D37-E37</f>
        <v/>
      </c>
      <c r="G37" s="14">
        <f>IF(D37=0,"",F37/D37)</f>
        <v/>
      </c>
    </row>
    <row r="38">
      <c r="A38" s="18" t="inlineStr">
        <is>
          <t>Maintenance contracts</t>
        </is>
      </c>
      <c r="B38" s="18" t="inlineStr">
        <is>
          <t>Jul 25</t>
        </is>
      </c>
      <c r="C38" s="18" t="inlineStr">
        <is>
          <t>Locked</t>
        </is>
      </c>
      <c r="D38" s="13" t="n">
        <v>33200</v>
      </c>
      <c r="E38" s="13" t="n">
        <v>13446</v>
      </c>
      <c r="F38" s="13">
        <f>D38-E38</f>
        <v/>
      </c>
      <c r="G38" s="14">
        <f>IF(D38=0,"",F38/D38)</f>
        <v/>
      </c>
    </row>
    <row r="39">
      <c r="A39" s="18" t="inlineStr">
        <is>
          <t>Maintenance contracts</t>
        </is>
      </c>
      <c r="B39" s="18" t="inlineStr">
        <is>
          <t>Aug 25</t>
        </is>
      </c>
      <c r="C39" s="18" t="inlineStr">
        <is>
          <t>Locked</t>
        </is>
      </c>
      <c r="D39" s="13" t="n">
        <v>33200</v>
      </c>
      <c r="E39" s="13" t="n">
        <v>13446</v>
      </c>
      <c r="F39" s="13">
        <f>D39-E39</f>
        <v/>
      </c>
      <c r="G39" s="14">
        <f>IF(D39=0,"",F39/D39)</f>
        <v/>
      </c>
    </row>
    <row r="40">
      <c r="A40" s="18" t="inlineStr">
        <is>
          <t>Maintenance contracts</t>
        </is>
      </c>
      <c r="B40" s="18" t="inlineStr">
        <is>
          <t>Sep 25</t>
        </is>
      </c>
      <c r="C40" s="18" t="inlineStr">
        <is>
          <t>Locked</t>
        </is>
      </c>
      <c r="D40" s="13" t="n">
        <v>33200</v>
      </c>
      <c r="E40" s="13" t="n">
        <v>13446</v>
      </c>
      <c r="F40" s="13">
        <f>D40-E40</f>
        <v/>
      </c>
      <c r="G40" s="14">
        <f>IF(D40=0,"",F40/D40)</f>
        <v/>
      </c>
    </row>
    <row r="41">
      <c r="A41" s="18" t="inlineStr">
        <is>
          <t>Maintenance contracts</t>
        </is>
      </c>
      <c r="B41" s="18" t="inlineStr">
        <is>
          <t>Oct 25</t>
        </is>
      </c>
      <c r="C41" s="18" t="inlineStr">
        <is>
          <t>Locked</t>
        </is>
      </c>
      <c r="D41" s="13" t="n">
        <v>35800</v>
      </c>
      <c r="E41" s="13" t="n">
        <v>14516</v>
      </c>
      <c r="F41" s="13">
        <f>D41-E41</f>
        <v/>
      </c>
      <c r="G41" s="14">
        <f>IF(D41=0,"",F41/D41)</f>
        <v/>
      </c>
    </row>
    <row r="42">
      <c r="A42" s="18" t="inlineStr">
        <is>
          <t>Maintenance contracts</t>
        </is>
      </c>
      <c r="B42" s="18" t="inlineStr">
        <is>
          <t>Nov 25</t>
        </is>
      </c>
      <c r="C42" s="18" t="inlineStr">
        <is>
          <t>Locked</t>
        </is>
      </c>
      <c r="D42" s="13" t="n">
        <v>35800</v>
      </c>
      <c r="E42" s="13" t="n">
        <v>14516</v>
      </c>
      <c r="F42" s="13">
        <f>D42-E42</f>
        <v/>
      </c>
      <c r="G42" s="14">
        <f>IF(D42=0,"",F42/D42)</f>
        <v/>
      </c>
    </row>
    <row r="43">
      <c r="A43" s="18" t="inlineStr">
        <is>
          <t>Maintenance contracts</t>
        </is>
      </c>
      <c r="B43" s="18" t="inlineStr">
        <is>
          <t>Dec 25</t>
        </is>
      </c>
      <c r="C43" s="18" t="inlineStr">
        <is>
          <t>Locked</t>
        </is>
      </c>
      <c r="D43" s="13" t="n">
        <v>35800</v>
      </c>
      <c r="E43" s="13" t="n">
        <v>14516</v>
      </c>
      <c r="F43" s="13">
        <f>D43-E43</f>
        <v/>
      </c>
      <c r="G43" s="14">
        <f>IF(D43=0,"",F43/D43)</f>
        <v/>
      </c>
    </row>
    <row r="44">
      <c r="A44" s="18" t="inlineStr">
        <is>
          <t>Maintenance contracts</t>
        </is>
      </c>
      <c r="B44" s="18" t="inlineStr">
        <is>
          <t>Jan 26</t>
        </is>
      </c>
      <c r="C44" s="18" t="inlineStr">
        <is>
          <t>Locked</t>
        </is>
      </c>
      <c r="D44" s="13" t="n">
        <v>35800</v>
      </c>
      <c r="E44" s="13" t="n">
        <v>14516</v>
      </c>
      <c r="F44" s="13">
        <f>D44-E44</f>
        <v/>
      </c>
      <c r="G44" s="14">
        <f>IF(D44=0,"",F44/D44)</f>
        <v/>
      </c>
    </row>
    <row r="45">
      <c r="A45" s="18" t="inlineStr">
        <is>
          <t>Maintenance contracts</t>
        </is>
      </c>
      <c r="B45" s="18" t="inlineStr">
        <is>
          <t>Feb 26</t>
        </is>
      </c>
      <c r="C45" s="18" t="inlineStr">
        <is>
          <t>Locked</t>
        </is>
      </c>
      <c r="D45" s="13" t="n">
        <v>37500</v>
      </c>
      <c r="E45" s="13" t="n">
        <v>15158</v>
      </c>
      <c r="F45" s="13">
        <f>D45-E45</f>
        <v/>
      </c>
      <c r="G45" s="14">
        <f>IF(D45=0,"",F45/D45)</f>
        <v/>
      </c>
    </row>
    <row r="46">
      <c r="A46" s="18" t="inlineStr">
        <is>
          <t>Maintenance contracts</t>
        </is>
      </c>
      <c r="B46" s="18" t="inlineStr">
        <is>
          <t>Mar 26</t>
        </is>
      </c>
      <c r="C46" s="18" t="inlineStr">
        <is>
          <t>Locked</t>
        </is>
      </c>
      <c r="D46" s="13" t="n">
        <v>37500</v>
      </c>
      <c r="E46" s="13" t="n">
        <v>15158</v>
      </c>
      <c r="F46" s="13">
        <f>D46-E46</f>
        <v/>
      </c>
      <c r="G46" s="14">
        <f>IF(D46=0,"",F46/D46)</f>
        <v/>
      </c>
    </row>
    <row r="47">
      <c r="A47" s="18" t="inlineStr">
        <is>
          <t>Maintenance contracts</t>
        </is>
      </c>
      <c r="B47" s="18" t="inlineStr">
        <is>
          <t>Apr 26</t>
        </is>
      </c>
      <c r="C47" s="18" t="inlineStr">
        <is>
          <t>Locked</t>
        </is>
      </c>
      <c r="D47" s="13" t="n">
        <v>37500</v>
      </c>
      <c r="E47" s="13" t="n">
        <v>15158</v>
      </c>
      <c r="F47" s="13">
        <f>D47-E47</f>
        <v/>
      </c>
      <c r="G47" s="14">
        <f>IF(D47=0,"",F47/D47)</f>
        <v/>
      </c>
    </row>
    <row r="48">
      <c r="A48" s="18" t="inlineStr">
        <is>
          <t>Maintenance contracts</t>
        </is>
      </c>
      <c r="B48" s="18" t="inlineStr">
        <is>
          <t>May 26</t>
        </is>
      </c>
      <c r="C48" s="18" t="inlineStr">
        <is>
          <t>Locked</t>
        </is>
      </c>
      <c r="D48" s="13" t="n">
        <v>40500</v>
      </c>
      <c r="E48" s="13" t="n">
        <v>16384</v>
      </c>
      <c r="F48" s="13">
        <f>D48-E48</f>
        <v/>
      </c>
      <c r="G48" s="14">
        <f>IF(D48=0,"",F48/D48)</f>
        <v/>
      </c>
    </row>
    <row r="49">
      <c r="A49" s="18" t="inlineStr">
        <is>
          <t>Maintenance contracts</t>
        </is>
      </c>
      <c r="B49" s="18" t="inlineStr">
        <is>
          <t>Jun 26</t>
        </is>
      </c>
      <c r="C49" s="18" t="inlineStr">
        <is>
          <t>Locked</t>
        </is>
      </c>
      <c r="D49" s="13" t="n">
        <v>40500</v>
      </c>
      <c r="E49" s="13" t="n">
        <v>16384</v>
      </c>
      <c r="F49" s="13">
        <f>D49-E49</f>
        <v/>
      </c>
      <c r="G49" s="14">
        <f>IF(D49=0,"",F49/D49)</f>
        <v/>
      </c>
    </row>
    <row r="50">
      <c r="A50" s="18" t="inlineStr">
        <is>
          <t>Maintenance contracts</t>
        </is>
      </c>
      <c r="B50" s="18" t="inlineStr">
        <is>
          <t>Jul 26</t>
        </is>
      </c>
      <c r="C50" s="18" t="inlineStr">
        <is>
          <t>Locked</t>
        </is>
      </c>
      <c r="D50" s="13" t="n">
        <v>40500</v>
      </c>
      <c r="E50" s="13" t="n">
        <v>16384</v>
      </c>
      <c r="F50" s="13">
        <f>D50-E50</f>
        <v/>
      </c>
      <c r="G50" s="14">
        <f>IF(D50=0,"",F50/D50)</f>
        <v/>
      </c>
    </row>
    <row r="51">
      <c r="A51" s="18" t="inlineStr">
        <is>
          <t>Maintenance contracts</t>
        </is>
      </c>
      <c r="B51" s="18" t="inlineStr">
        <is>
          <t>Aug 26</t>
        </is>
      </c>
      <c r="C51" s="18" t="inlineStr">
        <is>
          <t>Locked</t>
        </is>
      </c>
      <c r="D51" s="13" t="n">
        <v>40500</v>
      </c>
      <c r="E51" s="13" t="n">
        <v>16384</v>
      </c>
      <c r="F51" s="13">
        <f>D51-E51</f>
        <v/>
      </c>
      <c r="G51" s="14">
        <f>IF(D51=0,"",F51/D51)</f>
        <v/>
      </c>
    </row>
    <row r="52">
      <c r="A52" s="18" t="inlineStr">
        <is>
          <t>Maintenance contracts</t>
        </is>
      </c>
      <c r="B52" s="18" t="inlineStr">
        <is>
          <t>Sep 26</t>
        </is>
      </c>
      <c r="C52" s="18" t="inlineStr">
        <is>
          <t>Locked</t>
        </is>
      </c>
      <c r="D52" s="13" t="n">
        <v>40500</v>
      </c>
      <c r="E52" s="13" t="n">
        <v>16384</v>
      </c>
      <c r="F52" s="13">
        <f>D52-E52</f>
        <v/>
      </c>
      <c r="G52" s="14">
        <f>IF(D52=0,"",F52/D52)</f>
        <v/>
      </c>
    </row>
    <row r="53">
      <c r="A53" s="18" t="inlineStr">
        <is>
          <t>Maintenance contracts</t>
        </is>
      </c>
      <c r="B53" s="18" t="inlineStr">
        <is>
          <t>Oct 26</t>
        </is>
      </c>
      <c r="C53" s="18" t="inlineStr">
        <is>
          <t>Incomplete</t>
        </is>
      </c>
      <c r="D53" s="13" t="n">
        <v>40500</v>
      </c>
      <c r="E53" s="13" t="n">
        <v>16384</v>
      </c>
      <c r="F53" s="13">
        <f>D53-E53</f>
        <v/>
      </c>
      <c r="G53" s="14">
        <f>IF(D53=0,"",F53/D53)</f>
        <v/>
      </c>
    </row>
    <row r="54">
      <c r="A54" s="18" t="inlineStr">
        <is>
          <t>Installations</t>
        </is>
      </c>
      <c r="B54" s="18" t="inlineStr">
        <is>
          <t>Nov 24</t>
        </is>
      </c>
      <c r="C54" s="18" t="inlineStr">
        <is>
          <t>Locked</t>
        </is>
      </c>
      <c r="D54" s="13" t="n">
        <v>131400</v>
      </c>
      <c r="E54" s="13" t="n">
        <v>89070</v>
      </c>
      <c r="F54" s="13">
        <f>D54-E54</f>
        <v/>
      </c>
      <c r="G54" s="14">
        <f>IF(D54=0,"",F54/D54)</f>
        <v/>
      </c>
    </row>
    <row r="55">
      <c r="A55" s="18" t="inlineStr">
        <is>
          <t>Installations</t>
        </is>
      </c>
      <c r="B55" s="18" t="inlineStr">
        <is>
          <t>Dec 24</t>
        </is>
      </c>
      <c r="C55" s="18" t="inlineStr">
        <is>
          <t>Locked</t>
        </is>
      </c>
      <c r="D55" s="13" t="n">
        <v>92600</v>
      </c>
      <c r="E55" s="13" t="n">
        <v>59908</v>
      </c>
      <c r="F55" s="13">
        <f>D55-E55</f>
        <v/>
      </c>
      <c r="G55" s="14">
        <f>IF(D55=0,"",F55/D55)</f>
        <v/>
      </c>
    </row>
    <row r="56">
      <c r="A56" s="18" t="inlineStr">
        <is>
          <t>Installations</t>
        </is>
      </c>
      <c r="B56" s="18" t="inlineStr">
        <is>
          <t>Jan 25</t>
        </is>
      </c>
      <c r="C56" s="18" t="inlineStr">
        <is>
          <t>Locked</t>
        </is>
      </c>
      <c r="D56" s="13" t="n">
        <v>89400</v>
      </c>
      <c r="E56" s="13" t="n">
        <v>54678</v>
      </c>
      <c r="F56" s="13">
        <f>D56-E56</f>
        <v/>
      </c>
      <c r="G56" s="14">
        <f>IF(D56=0,"",F56/D56)</f>
        <v/>
      </c>
    </row>
    <row r="57">
      <c r="A57" s="18" t="inlineStr">
        <is>
          <t>Installations</t>
        </is>
      </c>
      <c r="B57" s="18" t="inlineStr">
        <is>
          <t>Feb 25</t>
        </is>
      </c>
      <c r="C57" s="18" t="inlineStr">
        <is>
          <t>Locked</t>
        </is>
      </c>
      <c r="D57" s="13" t="n">
        <v>106000</v>
      </c>
      <c r="E57" s="13" t="n">
        <v>74966</v>
      </c>
      <c r="F57" s="13">
        <f>D57-E57</f>
        <v/>
      </c>
      <c r="G57" s="14">
        <f>IF(D57=0,"",F57/D57)</f>
        <v/>
      </c>
    </row>
    <row r="58">
      <c r="A58" s="18" t="inlineStr">
        <is>
          <t>Installations</t>
        </is>
      </c>
      <c r="B58" s="18" t="inlineStr">
        <is>
          <t>Mar 25</t>
        </is>
      </c>
      <c r="C58" s="18" t="inlineStr">
        <is>
          <t>Locked</t>
        </is>
      </c>
      <c r="D58" s="13" t="n">
        <v>86100</v>
      </c>
      <c r="E58" s="13" t="n">
        <v>61664</v>
      </c>
      <c r="F58" s="13">
        <f>D58-E58</f>
        <v/>
      </c>
      <c r="G58" s="14">
        <f>IF(D58=0,"",F58/D58)</f>
        <v/>
      </c>
    </row>
    <row r="59">
      <c r="A59" s="18" t="inlineStr">
        <is>
          <t>Installations</t>
        </is>
      </c>
      <c r="B59" s="18" t="inlineStr">
        <is>
          <t>Apr 25</t>
        </is>
      </c>
      <c r="C59" s="18" t="inlineStr">
        <is>
          <t>Locked</t>
        </is>
      </c>
      <c r="D59" s="13" t="n">
        <v>74900</v>
      </c>
      <c r="E59" s="13" t="n">
        <v>52264</v>
      </c>
      <c r="F59" s="13">
        <f>D59-E59</f>
        <v/>
      </c>
      <c r="G59" s="14">
        <f>IF(D59=0,"",F59/D59)</f>
        <v/>
      </c>
    </row>
    <row r="60">
      <c r="A60" s="18" t="inlineStr">
        <is>
          <t>Installations</t>
        </is>
      </c>
      <c r="B60" s="18" t="inlineStr">
        <is>
          <t>May 25</t>
        </is>
      </c>
      <c r="C60" s="18" t="inlineStr">
        <is>
          <t>Locked</t>
        </is>
      </c>
      <c r="D60" s="13" t="n">
        <v>80300</v>
      </c>
      <c r="E60" s="13" t="n">
        <v>59534</v>
      </c>
      <c r="F60" s="13">
        <f>D60-E60</f>
        <v/>
      </c>
      <c r="G60" s="14">
        <f>IF(D60=0,"",F60/D60)</f>
        <v/>
      </c>
    </row>
    <row r="61">
      <c r="A61" s="18" t="inlineStr">
        <is>
          <t>Installations</t>
        </is>
      </c>
      <c r="B61" s="18" t="inlineStr">
        <is>
          <t>Jun 25</t>
        </is>
      </c>
      <c r="C61" s="18" t="inlineStr">
        <is>
          <t>Locked</t>
        </is>
      </c>
      <c r="D61" s="13" t="n">
        <v>112700</v>
      </c>
      <c r="E61" s="13" t="n">
        <v>72976</v>
      </c>
      <c r="F61" s="13">
        <f>D61-E61</f>
        <v/>
      </c>
      <c r="G61" s="14">
        <f>IF(D61=0,"",F61/D61)</f>
        <v/>
      </c>
    </row>
    <row r="62">
      <c r="A62" s="18" t="inlineStr">
        <is>
          <t>Installations</t>
        </is>
      </c>
      <c r="B62" s="18" t="inlineStr">
        <is>
          <t>Jul 25</t>
        </is>
      </c>
      <c r="C62" s="18" t="inlineStr">
        <is>
          <t>Locked</t>
        </is>
      </c>
      <c r="D62" s="13" t="n">
        <v>135800</v>
      </c>
      <c r="E62" s="13" t="n">
        <v>96920</v>
      </c>
      <c r="F62" s="13">
        <f>D62-E62</f>
        <v/>
      </c>
      <c r="G62" s="14">
        <f>IF(D62=0,"",F62/D62)</f>
        <v/>
      </c>
    </row>
    <row r="63">
      <c r="A63" s="18" t="inlineStr">
        <is>
          <t>Installations</t>
        </is>
      </c>
      <c r="B63" s="18" t="inlineStr">
        <is>
          <t>Aug 25</t>
        </is>
      </c>
      <c r="C63" s="18" t="inlineStr">
        <is>
          <t>Locked</t>
        </is>
      </c>
      <c r="D63" s="13" t="n">
        <v>86200</v>
      </c>
      <c r="E63" s="13" t="n">
        <v>53590</v>
      </c>
      <c r="F63" s="13">
        <f>D63-E63</f>
        <v/>
      </c>
      <c r="G63" s="14">
        <f>IF(D63=0,"",F63/D63)</f>
        <v/>
      </c>
    </row>
    <row r="64">
      <c r="A64" s="18" t="inlineStr">
        <is>
          <t>Installations</t>
        </is>
      </c>
      <c r="B64" s="18" t="inlineStr">
        <is>
          <t>Sep 25</t>
        </is>
      </c>
      <c r="C64" s="18" t="inlineStr">
        <is>
          <t>Locked</t>
        </is>
      </c>
      <c r="D64" s="13" t="n">
        <v>75100</v>
      </c>
      <c r="E64" s="13" t="n">
        <v>55440</v>
      </c>
      <c r="F64" s="13">
        <f>D64-E64</f>
        <v/>
      </c>
      <c r="G64" s="14">
        <f>IF(D64=0,"",F64/D64)</f>
        <v/>
      </c>
    </row>
    <row r="65">
      <c r="A65" s="18" t="inlineStr">
        <is>
          <t>Installations</t>
        </is>
      </c>
      <c r="B65" s="18" t="inlineStr">
        <is>
          <t>Oct 25</t>
        </is>
      </c>
      <c r="C65" s="18" t="inlineStr">
        <is>
          <t>Locked</t>
        </is>
      </c>
      <c r="D65" s="13" t="n">
        <v>70800</v>
      </c>
      <c r="E65" s="13" t="n">
        <v>52288</v>
      </c>
      <c r="F65" s="13">
        <f>D65-E65</f>
        <v/>
      </c>
      <c r="G65" s="14">
        <f>IF(D65=0,"",F65/D65)</f>
        <v/>
      </c>
    </row>
    <row r="66">
      <c r="A66" s="18" t="inlineStr">
        <is>
          <t>Installations</t>
        </is>
      </c>
      <c r="B66" s="18" t="inlineStr">
        <is>
          <t>Nov 25</t>
        </is>
      </c>
      <c r="C66" s="18" t="inlineStr">
        <is>
          <t>Locked</t>
        </is>
      </c>
      <c r="D66" s="13" t="n">
        <v>113300</v>
      </c>
      <c r="E66" s="13" t="n">
        <v>87174</v>
      </c>
      <c r="F66" s="13">
        <f>D66-E66</f>
        <v/>
      </c>
      <c r="G66" s="14">
        <f>IF(D66=0,"",F66/D66)</f>
        <v/>
      </c>
    </row>
    <row r="67">
      <c r="A67" s="18" t="inlineStr">
        <is>
          <t>Installations</t>
        </is>
      </c>
      <c r="B67" s="18" t="inlineStr">
        <is>
          <t>Dec 25</t>
        </is>
      </c>
      <c r="C67" s="18" t="inlineStr">
        <is>
          <t>Locked</t>
        </is>
      </c>
      <c r="D67" s="13" t="n">
        <v>69700</v>
      </c>
      <c r="E67" s="13" t="n">
        <v>53408</v>
      </c>
      <c r="F67" s="13">
        <f>D67-E67</f>
        <v/>
      </c>
      <c r="G67" s="14">
        <f>IF(D67=0,"",F67/D67)</f>
        <v/>
      </c>
    </row>
    <row r="68">
      <c r="A68" s="18" t="inlineStr">
        <is>
          <t>Installations</t>
        </is>
      </c>
      <c r="B68" s="18" t="inlineStr">
        <is>
          <t>Jan 26</t>
        </is>
      </c>
      <c r="C68" s="18" t="inlineStr">
        <is>
          <t>Locked</t>
        </is>
      </c>
      <c r="D68" s="13" t="n">
        <v>97500</v>
      </c>
      <c r="E68" s="13" t="n">
        <v>74216</v>
      </c>
      <c r="F68" s="13">
        <f>D68-E68</f>
        <v/>
      </c>
      <c r="G68" s="14">
        <f>IF(D68=0,"",F68/D68)</f>
        <v/>
      </c>
    </row>
    <row r="69">
      <c r="A69" s="18" t="inlineStr">
        <is>
          <t>Installations</t>
        </is>
      </c>
      <c r="B69" s="18" t="inlineStr">
        <is>
          <t>Feb 26</t>
        </is>
      </c>
      <c r="C69" s="18" t="inlineStr">
        <is>
          <t>Locked</t>
        </is>
      </c>
      <c r="D69" s="13" t="n">
        <v>129300</v>
      </c>
      <c r="E69" s="13" t="n">
        <v>88896</v>
      </c>
      <c r="F69" s="13">
        <f>D69-E69</f>
        <v/>
      </c>
      <c r="G69" s="14">
        <f>IF(D69=0,"",F69/D69)</f>
        <v/>
      </c>
    </row>
    <row r="70">
      <c r="A70" s="18" t="inlineStr">
        <is>
          <t>Installations</t>
        </is>
      </c>
      <c r="B70" s="18" t="inlineStr">
        <is>
          <t>Mar 26</t>
        </is>
      </c>
      <c r="C70" s="18" t="inlineStr">
        <is>
          <t>Locked</t>
        </is>
      </c>
      <c r="D70" s="13" t="n">
        <v>129400</v>
      </c>
      <c r="E70" s="13" t="n">
        <v>94290</v>
      </c>
      <c r="F70" s="13">
        <f>D70-E70</f>
        <v/>
      </c>
      <c r="G70" s="14">
        <f>IF(D70=0,"",F70/D70)</f>
        <v/>
      </c>
    </row>
    <row r="71">
      <c r="A71" s="18" t="inlineStr">
        <is>
          <t>Installations</t>
        </is>
      </c>
      <c r="B71" s="18" t="inlineStr">
        <is>
          <t>Apr 26</t>
        </is>
      </c>
      <c r="C71" s="18" t="inlineStr">
        <is>
          <t>Locked</t>
        </is>
      </c>
      <c r="D71" s="13" t="n">
        <v>104400</v>
      </c>
      <c r="E71" s="13" t="n">
        <v>68016</v>
      </c>
      <c r="F71" s="13">
        <f>D71-E71</f>
        <v/>
      </c>
      <c r="G71" s="14">
        <f>IF(D71=0,"",F71/D71)</f>
        <v/>
      </c>
    </row>
    <row r="72">
      <c r="A72" s="18" t="inlineStr">
        <is>
          <t>Installations</t>
        </is>
      </c>
      <c r="B72" s="18" t="inlineStr">
        <is>
          <t>May 26</t>
        </is>
      </c>
      <c r="C72" s="18" t="inlineStr">
        <is>
          <t>Locked</t>
        </is>
      </c>
      <c r="D72" s="13" t="n">
        <v>92400</v>
      </c>
      <c r="E72" s="13" t="n">
        <v>66240</v>
      </c>
      <c r="F72" s="13">
        <f>D72-E72</f>
        <v/>
      </c>
      <c r="G72" s="14">
        <f>IF(D72=0,"",F72/D72)</f>
        <v/>
      </c>
    </row>
    <row r="73">
      <c r="A73" s="18" t="inlineStr">
        <is>
          <t>Installations</t>
        </is>
      </c>
      <c r="B73" s="18" t="inlineStr">
        <is>
          <t>Jun 26</t>
        </is>
      </c>
      <c r="C73" s="18" t="inlineStr">
        <is>
          <t>Locked</t>
        </is>
      </c>
      <c r="D73" s="13" t="n">
        <v>103200</v>
      </c>
      <c r="E73" s="13" t="n">
        <v>73792</v>
      </c>
      <c r="F73" s="13">
        <f>D73-E73</f>
        <v/>
      </c>
      <c r="G73" s="14">
        <f>IF(D73=0,"",F73/D73)</f>
        <v/>
      </c>
    </row>
    <row r="74">
      <c r="A74" s="18" t="inlineStr">
        <is>
          <t>Installations</t>
        </is>
      </c>
      <c r="B74" s="18" t="inlineStr">
        <is>
          <t>Jul 26</t>
        </is>
      </c>
      <c r="C74" s="18" t="inlineStr">
        <is>
          <t>Locked</t>
        </is>
      </c>
      <c r="D74" s="13" t="n">
        <v>127600</v>
      </c>
      <c r="E74" s="13" t="n">
        <v>91520</v>
      </c>
      <c r="F74" s="13">
        <f>D74-E74</f>
        <v/>
      </c>
      <c r="G74" s="14">
        <f>IF(D74=0,"",F74/D74)</f>
        <v/>
      </c>
    </row>
    <row r="75">
      <c r="A75" s="18" t="inlineStr">
        <is>
          <t>Installations</t>
        </is>
      </c>
      <c r="B75" s="18" t="inlineStr">
        <is>
          <t>Aug 26</t>
        </is>
      </c>
      <c r="C75" s="18" t="inlineStr">
        <is>
          <t>Locked</t>
        </is>
      </c>
      <c r="D75" s="13" t="n">
        <v>109600</v>
      </c>
      <c r="E75" s="13" t="n">
        <v>72720</v>
      </c>
      <c r="F75" s="13">
        <f>D75-E75</f>
        <v/>
      </c>
      <c r="G75" s="14">
        <f>IF(D75=0,"",F75/D75)</f>
        <v/>
      </c>
    </row>
    <row r="76">
      <c r="A76" s="18" t="inlineStr">
        <is>
          <t>Installations</t>
        </is>
      </c>
      <c r="B76" s="18" t="inlineStr">
        <is>
          <t>Sep 26</t>
        </is>
      </c>
      <c r="C76" s="18" t="inlineStr">
        <is>
          <t>Locked</t>
        </is>
      </c>
      <c r="D76" s="13" t="n">
        <v>130700</v>
      </c>
      <c r="E76" s="13" t="n">
        <v>95368</v>
      </c>
      <c r="F76" s="13">
        <f>D76-E76</f>
        <v/>
      </c>
      <c r="G76" s="14">
        <f>IF(D76=0,"",F76/D76)</f>
        <v/>
      </c>
    </row>
    <row r="77">
      <c r="A77" s="18" t="inlineStr">
        <is>
          <t>Installations</t>
        </is>
      </c>
      <c r="B77" s="18" t="inlineStr">
        <is>
          <t>Oct 26</t>
        </is>
      </c>
      <c r="C77" s="18" t="inlineStr">
        <is>
          <t>Incomplete</t>
        </is>
      </c>
      <c r="D77" s="13" t="n">
        <v>33000</v>
      </c>
      <c r="E77" s="13" t="n">
        <v>25742</v>
      </c>
      <c r="F77" s="13">
        <f>D77-E77</f>
        <v/>
      </c>
      <c r="G77" s="14">
        <f>IF(D77=0,"",F77/D77)</f>
        <v/>
      </c>
    </row>
    <row r="78">
      <c r="A78" s="18" t="inlineStr">
        <is>
          <t>Call-outs and repairs</t>
        </is>
      </c>
      <c r="B78" s="18" t="inlineStr">
        <is>
          <t>Nov 24</t>
        </is>
      </c>
      <c r="C78" s="18" t="inlineStr">
        <is>
          <t>Locked</t>
        </is>
      </c>
      <c r="D78" s="13" t="n">
        <v>23404</v>
      </c>
      <c r="E78" s="13" t="n">
        <v>13526</v>
      </c>
      <c r="F78" s="13">
        <f>D78-E78</f>
        <v/>
      </c>
      <c r="G78" s="14">
        <f>IF(D78=0,"",F78/D78)</f>
        <v/>
      </c>
    </row>
    <row r="79">
      <c r="A79" s="18" t="inlineStr">
        <is>
          <t>Call-outs and repairs</t>
        </is>
      </c>
      <c r="B79" s="18" t="inlineStr">
        <is>
          <t>Dec 24</t>
        </is>
      </c>
      <c r="C79" s="18" t="inlineStr">
        <is>
          <t>Locked</t>
        </is>
      </c>
      <c r="D79" s="13" t="n">
        <v>25886</v>
      </c>
      <c r="E79" s="13" t="n">
        <v>14988</v>
      </c>
      <c r="F79" s="13">
        <f>D79-E79</f>
        <v/>
      </c>
      <c r="G79" s="14">
        <f>IF(D79=0,"",F79/D79)</f>
        <v/>
      </c>
    </row>
    <row r="80">
      <c r="A80" s="18" t="inlineStr">
        <is>
          <t>Call-outs and repairs</t>
        </is>
      </c>
      <c r="B80" s="18" t="inlineStr">
        <is>
          <t>Jan 25</t>
        </is>
      </c>
      <c r="C80" s="18" t="inlineStr">
        <is>
          <t>Locked</t>
        </is>
      </c>
      <c r="D80" s="13" t="n">
        <v>26839</v>
      </c>
      <c r="E80" s="13" t="n">
        <v>15644</v>
      </c>
      <c r="F80" s="13">
        <f>D80-E80</f>
        <v/>
      </c>
      <c r="G80" s="14">
        <f>IF(D80=0,"",F80/D80)</f>
        <v/>
      </c>
    </row>
    <row r="81">
      <c r="A81" s="18" t="inlineStr">
        <is>
          <t>Call-outs and repairs</t>
        </is>
      </c>
      <c r="B81" s="18" t="inlineStr">
        <is>
          <t>Feb 25</t>
        </is>
      </c>
      <c r="C81" s="18" t="inlineStr">
        <is>
          <t>Locked</t>
        </is>
      </c>
      <c r="D81" s="13" t="n">
        <v>27013</v>
      </c>
      <c r="E81" s="13" t="n">
        <v>15600</v>
      </c>
      <c r="F81" s="13">
        <f>D81-E81</f>
        <v/>
      </c>
      <c r="G81" s="14">
        <f>IF(D81=0,"",F81/D81)</f>
        <v/>
      </c>
    </row>
    <row r="82">
      <c r="A82" s="18" t="inlineStr">
        <is>
          <t>Call-outs and repairs</t>
        </is>
      </c>
      <c r="B82" s="18" t="inlineStr">
        <is>
          <t>Mar 25</t>
        </is>
      </c>
      <c r="C82" s="18" t="inlineStr">
        <is>
          <t>Locked</t>
        </is>
      </c>
      <c r="D82" s="13" t="n">
        <v>21052</v>
      </c>
      <c r="E82" s="13" t="n">
        <v>12306</v>
      </c>
      <c r="F82" s="13">
        <f>D82-E82</f>
        <v/>
      </c>
      <c r="G82" s="14">
        <f>IF(D82=0,"",F82/D82)</f>
        <v/>
      </c>
    </row>
    <row r="83">
      <c r="A83" s="18" t="inlineStr">
        <is>
          <t>Call-outs and repairs</t>
        </is>
      </c>
      <c r="B83" s="18" t="inlineStr">
        <is>
          <t>Apr 25</t>
        </is>
      </c>
      <c r="C83" s="18" t="inlineStr">
        <is>
          <t>Locked</t>
        </is>
      </c>
      <c r="D83" s="13" t="n">
        <v>21875</v>
      </c>
      <c r="E83" s="13" t="n">
        <v>12762</v>
      </c>
      <c r="F83" s="13">
        <f>D83-E83</f>
        <v/>
      </c>
      <c r="G83" s="14">
        <f>IF(D83=0,"",F83/D83)</f>
        <v/>
      </c>
    </row>
    <row r="84">
      <c r="A84" s="18" t="inlineStr">
        <is>
          <t>Call-outs and repairs</t>
        </is>
      </c>
      <c r="B84" s="18" t="inlineStr">
        <is>
          <t>May 25</t>
        </is>
      </c>
      <c r="C84" s="18" t="inlineStr">
        <is>
          <t>Locked</t>
        </is>
      </c>
      <c r="D84" s="13" t="n">
        <v>21586</v>
      </c>
      <c r="E84" s="13" t="n">
        <v>12384</v>
      </c>
      <c r="F84" s="13">
        <f>D84-E84</f>
        <v/>
      </c>
      <c r="G84" s="14">
        <f>IF(D84=0,"",F84/D84)</f>
        <v/>
      </c>
    </row>
    <row r="85">
      <c r="A85" s="18" t="inlineStr">
        <is>
          <t>Call-outs and repairs</t>
        </is>
      </c>
      <c r="B85" s="18" t="inlineStr">
        <is>
          <t>Jun 25</t>
        </is>
      </c>
      <c r="C85" s="18" t="inlineStr">
        <is>
          <t>Locked</t>
        </is>
      </c>
      <c r="D85" s="13" t="n">
        <v>19543</v>
      </c>
      <c r="E85" s="13" t="n">
        <v>11162</v>
      </c>
      <c r="F85" s="13">
        <f>D85-E85</f>
        <v/>
      </c>
      <c r="G85" s="14">
        <f>IF(D85=0,"",F85/D85)</f>
        <v/>
      </c>
    </row>
    <row r="86">
      <c r="A86" s="18" t="inlineStr">
        <is>
          <t>Call-outs and repairs</t>
        </is>
      </c>
      <c r="B86" s="18" t="inlineStr">
        <is>
          <t>Jul 25</t>
        </is>
      </c>
      <c r="C86" s="18" t="inlineStr">
        <is>
          <t>Locked</t>
        </is>
      </c>
      <c r="D86" s="13" t="n">
        <v>17760</v>
      </c>
      <c r="E86" s="13" t="n">
        <v>9960</v>
      </c>
      <c r="F86" s="13">
        <f>D86-E86</f>
        <v/>
      </c>
      <c r="G86" s="14">
        <f>IF(D86=0,"",F86/D86)</f>
        <v/>
      </c>
    </row>
    <row r="87">
      <c r="A87" s="18" t="inlineStr">
        <is>
          <t>Call-outs and repairs</t>
        </is>
      </c>
      <c r="B87" s="18" t="inlineStr">
        <is>
          <t>Aug 25</t>
        </is>
      </c>
      <c r="C87" s="18" t="inlineStr">
        <is>
          <t>Locked</t>
        </is>
      </c>
      <c r="D87" s="13" t="n">
        <v>19764</v>
      </c>
      <c r="E87" s="13" t="n">
        <v>11222</v>
      </c>
      <c r="F87" s="13">
        <f>D87-E87</f>
        <v/>
      </c>
      <c r="G87" s="14">
        <f>IF(D87=0,"",F87/D87)</f>
        <v/>
      </c>
    </row>
    <row r="88">
      <c r="A88" s="18" t="inlineStr">
        <is>
          <t>Call-outs and repairs</t>
        </is>
      </c>
      <c r="B88" s="18" t="inlineStr">
        <is>
          <t>Sep 25</t>
        </is>
      </c>
      <c r="C88" s="18" t="inlineStr">
        <is>
          <t>Locked</t>
        </is>
      </c>
      <c r="D88" s="13" t="n">
        <v>19955</v>
      </c>
      <c r="E88" s="13" t="n">
        <v>11168</v>
      </c>
      <c r="F88" s="13">
        <f>D88-E88</f>
        <v/>
      </c>
      <c r="G88" s="14">
        <f>IF(D88=0,"",F88/D88)</f>
        <v/>
      </c>
    </row>
    <row r="89">
      <c r="A89" s="18" t="inlineStr">
        <is>
          <t>Call-outs and repairs</t>
        </is>
      </c>
      <c r="B89" s="18" t="inlineStr">
        <is>
          <t>Oct 25</t>
        </is>
      </c>
      <c r="C89" s="18" t="inlineStr">
        <is>
          <t>Locked</t>
        </is>
      </c>
      <c r="D89" s="13" t="n">
        <v>22298</v>
      </c>
      <c r="E89" s="13" t="n">
        <v>12648</v>
      </c>
      <c r="F89" s="13">
        <f>D89-E89</f>
        <v/>
      </c>
      <c r="G89" s="14">
        <f>IF(D89=0,"",F89/D89)</f>
        <v/>
      </c>
    </row>
    <row r="90">
      <c r="A90" s="18" t="inlineStr">
        <is>
          <t>Call-outs and repairs</t>
        </is>
      </c>
      <c r="B90" s="18" t="inlineStr">
        <is>
          <t>Nov 25</t>
        </is>
      </c>
      <c r="C90" s="18" t="inlineStr">
        <is>
          <t>Locked</t>
        </is>
      </c>
      <c r="D90" s="13" t="n">
        <v>25686</v>
      </c>
      <c r="E90" s="13" t="n">
        <v>14252</v>
      </c>
      <c r="F90" s="13">
        <f>D90-E90</f>
        <v/>
      </c>
      <c r="G90" s="14">
        <f>IF(D90=0,"",F90/D90)</f>
        <v/>
      </c>
    </row>
    <row r="91">
      <c r="A91" s="18" t="inlineStr">
        <is>
          <t>Call-outs and repairs</t>
        </is>
      </c>
      <c r="B91" s="18" t="inlineStr">
        <is>
          <t>Dec 25</t>
        </is>
      </c>
      <c r="C91" s="18" t="inlineStr">
        <is>
          <t>Locked</t>
        </is>
      </c>
      <c r="D91" s="13" t="n">
        <v>29579</v>
      </c>
      <c r="E91" s="13" t="n">
        <v>16702</v>
      </c>
      <c r="F91" s="13">
        <f>D91-E91</f>
        <v/>
      </c>
      <c r="G91" s="14">
        <f>IF(D91=0,"",F91/D91)</f>
        <v/>
      </c>
    </row>
    <row r="92">
      <c r="A92" s="18" t="inlineStr">
        <is>
          <t>Call-outs and repairs</t>
        </is>
      </c>
      <c r="B92" s="18" t="inlineStr">
        <is>
          <t>Jan 26</t>
        </is>
      </c>
      <c r="C92" s="18" t="inlineStr">
        <is>
          <t>Locked</t>
        </is>
      </c>
      <c r="D92" s="13" t="n">
        <v>31480</v>
      </c>
      <c r="E92" s="13" t="n">
        <v>17858</v>
      </c>
      <c r="F92" s="13">
        <f>D92-E92</f>
        <v/>
      </c>
      <c r="G92" s="14">
        <f>IF(D92=0,"",F92/D92)</f>
        <v/>
      </c>
    </row>
    <row r="93">
      <c r="A93" s="18" t="inlineStr">
        <is>
          <t>Call-outs and repairs</t>
        </is>
      </c>
      <c r="B93" s="18" t="inlineStr">
        <is>
          <t>Feb 26</t>
        </is>
      </c>
      <c r="C93" s="18" t="inlineStr">
        <is>
          <t>Locked</t>
        </is>
      </c>
      <c r="D93" s="13" t="n">
        <v>29572</v>
      </c>
      <c r="E93" s="13" t="n">
        <v>16608</v>
      </c>
      <c r="F93" s="13">
        <f>D93-E93</f>
        <v/>
      </c>
      <c r="G93" s="14">
        <f>IF(D93=0,"",F93/D93)</f>
        <v/>
      </c>
    </row>
    <row r="94">
      <c r="A94" s="18" t="inlineStr">
        <is>
          <t>Call-outs and repairs</t>
        </is>
      </c>
      <c r="B94" s="18" t="inlineStr">
        <is>
          <t>Mar 26</t>
        </is>
      </c>
      <c r="C94" s="18" t="inlineStr">
        <is>
          <t>Locked</t>
        </is>
      </c>
      <c r="D94" s="13" t="n">
        <v>24600</v>
      </c>
      <c r="E94" s="13" t="n">
        <v>13894</v>
      </c>
      <c r="F94" s="13">
        <f>D94-E94</f>
        <v/>
      </c>
      <c r="G94" s="14">
        <f>IF(D94=0,"",F94/D94)</f>
        <v/>
      </c>
    </row>
    <row r="95">
      <c r="A95" s="18" t="inlineStr">
        <is>
          <t>Call-outs and repairs</t>
        </is>
      </c>
      <c r="B95" s="18" t="inlineStr">
        <is>
          <t>Apr 26</t>
        </is>
      </c>
      <c r="C95" s="18" t="inlineStr">
        <is>
          <t>Locked</t>
        </is>
      </c>
      <c r="D95" s="13" t="n">
        <v>23087</v>
      </c>
      <c r="E95" s="13" t="n">
        <v>12970</v>
      </c>
      <c r="F95" s="13">
        <f>D95-E95</f>
        <v/>
      </c>
      <c r="G95" s="14">
        <f>IF(D95=0,"",F95/D95)</f>
        <v/>
      </c>
    </row>
    <row r="96">
      <c r="A96" s="18" t="inlineStr">
        <is>
          <t>Call-outs and repairs</t>
        </is>
      </c>
      <c r="B96" s="18" t="inlineStr">
        <is>
          <t>May 26</t>
        </is>
      </c>
      <c r="C96" s="18" t="inlineStr">
        <is>
          <t>Locked</t>
        </is>
      </c>
      <c r="D96" s="13" t="n">
        <v>29063</v>
      </c>
      <c r="E96" s="13" t="n">
        <v>16234</v>
      </c>
      <c r="F96" s="13">
        <f>D96-E96</f>
        <v/>
      </c>
      <c r="G96" s="14">
        <f>IF(D96=0,"",F96/D96)</f>
        <v/>
      </c>
    </row>
    <row r="97">
      <c r="A97" s="18" t="inlineStr">
        <is>
          <t>Call-outs and repairs</t>
        </is>
      </c>
      <c r="B97" s="18" t="inlineStr">
        <is>
          <t>Jun 26</t>
        </is>
      </c>
      <c r="C97" s="18" t="inlineStr">
        <is>
          <t>Locked</t>
        </is>
      </c>
      <c r="D97" s="13" t="n">
        <v>29463</v>
      </c>
      <c r="E97" s="13" t="n">
        <v>16324</v>
      </c>
      <c r="F97" s="13">
        <f>D97-E97</f>
        <v/>
      </c>
      <c r="G97" s="14">
        <f>IF(D97=0,"",F97/D97)</f>
        <v/>
      </c>
    </row>
    <row r="98">
      <c r="A98" s="18" t="inlineStr">
        <is>
          <t>Call-outs and repairs</t>
        </is>
      </c>
      <c r="B98" s="18" t="inlineStr">
        <is>
          <t>Jul 26</t>
        </is>
      </c>
      <c r="C98" s="18" t="inlineStr">
        <is>
          <t>Locked</t>
        </is>
      </c>
      <c r="D98" s="13" t="n">
        <v>25145</v>
      </c>
      <c r="E98" s="13" t="n">
        <v>14220</v>
      </c>
      <c r="F98" s="13">
        <f>D98-E98</f>
        <v/>
      </c>
      <c r="G98" s="14">
        <f>IF(D98=0,"",F98/D98)</f>
        <v/>
      </c>
    </row>
    <row r="99">
      <c r="A99" s="18" t="inlineStr">
        <is>
          <t>Call-outs and repairs</t>
        </is>
      </c>
      <c r="B99" s="18" t="inlineStr">
        <is>
          <t>Aug 26</t>
        </is>
      </c>
      <c r="C99" s="18" t="inlineStr">
        <is>
          <t>Locked</t>
        </is>
      </c>
      <c r="D99" s="13" t="n">
        <v>28907</v>
      </c>
      <c r="E99" s="13" t="n">
        <v>16266</v>
      </c>
      <c r="F99" s="13">
        <f>D99-E99</f>
        <v/>
      </c>
      <c r="G99" s="14">
        <f>IF(D99=0,"",F99/D99)</f>
        <v/>
      </c>
    </row>
    <row r="100">
      <c r="A100" s="18" t="inlineStr">
        <is>
          <t>Call-outs and repairs</t>
        </is>
      </c>
      <c r="B100" s="18" t="inlineStr">
        <is>
          <t>Sep 26</t>
        </is>
      </c>
      <c r="C100" s="18" t="inlineStr">
        <is>
          <t>Locked</t>
        </is>
      </c>
      <c r="D100" s="13" t="n">
        <v>31137</v>
      </c>
      <c r="E100" s="13" t="n">
        <v>17478</v>
      </c>
      <c r="F100" s="13">
        <f>D100-E100</f>
        <v/>
      </c>
      <c r="G100" s="14">
        <f>IF(D100=0,"",F100/D100)</f>
        <v/>
      </c>
    </row>
    <row r="101">
      <c r="A101" s="18" t="inlineStr">
        <is>
          <t>Call-outs and repairs</t>
        </is>
      </c>
      <c r="B101" s="18" t="inlineStr">
        <is>
          <t>Oct 26</t>
        </is>
      </c>
      <c r="C101" s="18" t="inlineStr">
        <is>
          <t>Incomplete</t>
        </is>
      </c>
      <c r="D101" s="13" t="n">
        <v>3375</v>
      </c>
      <c r="E101" s="13" t="n">
        <v>1856</v>
      </c>
      <c r="F101" s="13">
        <f>D101-E101</f>
        <v/>
      </c>
      <c r="G101" s="14">
        <f>IF(D101=0,"",F101/D101)</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2026&amp;R&amp;"Roboto,Regular"&amp;8 Page &amp;P of &amp;N</oddFooter>
    <evenHeader/>
    <evenFooter/>
    <firstHeader/>
    <firstFooter/>
  </headerFooter>
  <rowBreaks count="3" manualBreakCount="3">
    <brk id="29" min="0" max="16383" man="1"/>
    <brk id="53" min="0" max="16383" man="1"/>
    <brk id="7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2026-10-07T12:57:51Z</dcterms:created>
  <dcterms:modified xmlns:dcterms="http://purl.org/dc/terms/" xmlns:xsi="http://www.w3.org/2001/XMLSchema-instance" xsi:type="dcterms:W3CDTF">2026-10-07T12:57:51Z</dcterms:modified>
</cp:coreProperties>
</file>