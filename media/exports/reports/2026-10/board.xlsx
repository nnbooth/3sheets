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October_so_far">'Report'!$B$8</definedName>
    <definedName name="Surplus_deficit_year_to_date">'Report'!$B$9</definedName>
    <definedName name="Unrestricted_cash_runway">'Report'!$B$10</definedName>
    <definedName name="Cost_to_raise_a_dollar_October_so_far">'Report'!$B$11</definedName>
    <definedName name="_xlnm.Print_Area" localSheetId="0">'Report'!$A$1:$F$26</definedName>
    <definedName name="_xlnm.Print_Area" localSheetId="1">'Workings'!$A$1:$C$48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8:56am</t>
        </is>
      </c>
    </row>
    <row r="4"/>
    <row r="5" ht="32" customHeight="1">
      <c r="A5" s="3" t="inlineStr">
        <is>
          <t>A one-page board summary for October 2026 to date: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October so far</t>
        </is>
      </c>
      <c r="B8" s="6">
        <f>Workings!B10</f>
        <v/>
      </c>
      <c r="C8" s="7" t="inlineStr">
        <is>
          <t>September $10,380</t>
        </is>
      </c>
    </row>
    <row r="9">
      <c r="A9" t="inlineStr">
        <is>
          <t>Surplus (deficit), year to date</t>
        </is>
      </c>
      <c r="B9" s="6">
        <f>Workings!B27</f>
        <v/>
      </c>
      <c r="C9" s="7" t="inlineStr">
        <is>
          <t>Jul to Oct 2026</t>
        </is>
      </c>
    </row>
    <row r="10">
      <c r="A10" t="inlineStr">
        <is>
          <t>Unrestricted cash runway</t>
        </is>
      </c>
      <c r="B10" s="8">
        <f>Workings!B39</f>
        <v/>
      </c>
      <c r="C10" s="7" t="inlineStr">
        <is>
          <t>reserves target 3.0 months</t>
        </is>
      </c>
    </row>
    <row r="11">
      <c r="A11" t="inlineStr">
        <is>
          <t>Cost to raise a dollar, October so far</t>
        </is>
      </c>
      <c r="B11" s="9">
        <f>Workings!B48</f>
        <v/>
      </c>
      <c r="C11" s="7" t="inlineStr">
        <is>
          <t>September 20¢</t>
        </is>
      </c>
    </row>
    <row r="12"/>
    <row r="13">
      <c r="A13" s="10" t="inlineStr">
        <is>
          <t>Grants</t>
        </is>
      </c>
    </row>
    <row r="14">
      <c r="A14" s="4" t="inlineStr">
        <is>
          <t>Program</t>
        </is>
      </c>
      <c r="B14" s="5" t="inlineStr">
        <is>
          <t>Spent to date</t>
        </is>
      </c>
      <c r="C14" s="5" t="inlineStr">
        <is>
          <t>Budget to date</t>
        </is>
      </c>
      <c r="D14" s="5" t="inlineStr">
        <is>
          <t>Against budget</t>
        </is>
      </c>
      <c r="E14" s="5" t="inlineStr">
        <is>
          <t>Still to spend</t>
        </is>
      </c>
      <c r="F14" s="5" t="inlineStr">
        <is>
          <t>Months left</t>
        </is>
      </c>
    </row>
    <row r="15">
      <c r="A15" s="11" t="inlineStr">
        <is>
          <t>Housing support</t>
        </is>
      </c>
      <c r="B15" s="12" t="inlineStr">
        <is>
          <t>$262,158</t>
        </is>
      </c>
      <c r="C15" s="12" t="inlineStr">
        <is>
          <t>$300,000</t>
        </is>
      </c>
      <c r="D15" s="12" t="inlineStr">
        <is>
          <t>87.4%</t>
        </is>
      </c>
      <c r="E15" s="12" t="inlineStr">
        <is>
          <t>$97,842</t>
        </is>
      </c>
      <c r="F15" s="12" t="inlineStr">
        <is>
          <t>2</t>
        </is>
      </c>
    </row>
    <row r="16">
      <c r="A16" s="11" t="inlineStr">
        <is>
          <t>Volunteer coordinator</t>
        </is>
      </c>
      <c r="B16" s="12" t="inlineStr">
        <is>
          <t>$21,429</t>
        </is>
      </c>
      <c r="C16" s="12" t="inlineStr">
        <is>
          <t>$24,000</t>
        </is>
      </c>
      <c r="D16" s="12" t="inlineStr">
        <is>
          <t>89.3%</t>
        </is>
      </c>
      <c r="E16" s="12" t="inlineStr">
        <is>
          <t>$14,571</t>
        </is>
      </c>
      <c r="F16" s="12" t="inlineStr">
        <is>
          <t>4</t>
        </is>
      </c>
    </row>
    <row r="17">
      <c r="A17" s="11" t="inlineStr">
        <is>
          <t>Digital literacy</t>
        </is>
      </c>
      <c r="B17" s="12" t="inlineStr">
        <is>
          <t>$60,302</t>
        </is>
      </c>
      <c r="C17" s="12" t="inlineStr">
        <is>
          <t>$65,000</t>
        </is>
      </c>
      <c r="D17" s="12" t="inlineStr">
        <is>
          <t>92.8%</t>
        </is>
      </c>
      <c r="E17" s="12" t="inlineStr">
        <is>
          <t>$29,698</t>
        </is>
      </c>
      <c r="F17" s="12" t="inlineStr">
        <is>
          <t>5</t>
        </is>
      </c>
    </row>
    <row r="18">
      <c r="A18" s="11" t="inlineStr">
        <is>
          <t>Mental health first aid</t>
        </is>
      </c>
      <c r="B18" s="12" t="inlineStr">
        <is>
          <t>$58,745</t>
        </is>
      </c>
      <c r="C18" s="12" t="inlineStr">
        <is>
          <t>$70,000</t>
        </is>
      </c>
      <c r="D18" s="12" t="inlineStr">
        <is>
          <t>83.9%</t>
        </is>
      </c>
      <c r="E18" s="12" t="inlineStr">
        <is>
          <t>$61,255</t>
        </is>
      </c>
      <c r="F18" s="12" t="inlineStr">
        <is>
          <t>5</t>
        </is>
      </c>
    </row>
    <row r="19">
      <c r="A19" s="11" t="inlineStr">
        <is>
          <t>Youth outreach</t>
        </is>
      </c>
      <c r="B19" s="12" t="inlineStr">
        <is>
          <t>$309,558</t>
        </is>
      </c>
      <c r="C19" s="12" t="inlineStr">
        <is>
          <t>$320,000</t>
        </is>
      </c>
      <c r="D19" s="12" t="inlineStr">
        <is>
          <t>96.7%</t>
        </is>
      </c>
      <c r="E19" s="12" t="inlineStr">
        <is>
          <t>$170,442</t>
        </is>
      </c>
      <c r="F19" s="12" t="inlineStr">
        <is>
          <t>8</t>
        </is>
      </c>
    </row>
    <row r="20">
      <c r="A20" s="11" t="inlineStr">
        <is>
          <t>Community meals</t>
        </is>
      </c>
      <c r="B20" s="12" t="inlineStr">
        <is>
          <t>$12,615</t>
        </is>
      </c>
      <c r="C20" s="12" t="inlineStr">
        <is>
          <t>$16,000</t>
        </is>
      </c>
      <c r="D20" s="12" t="inlineStr">
        <is>
          <t>78.8%</t>
        </is>
      </c>
      <c r="E20" s="12" t="inlineStr">
        <is>
          <t>$35,385</t>
        </is>
      </c>
      <c r="F20" s="12" t="inlineStr">
        <is>
          <t>8</t>
        </is>
      </c>
    </row>
    <row r="21"/>
    <row r="22">
      <c r="A22" s="13" t="inlineStr">
        <is>
          <t>What the board should note</t>
        </is>
      </c>
    </row>
    <row r="23" ht="90" customHeight="1">
      <c r="A23" s="3" t="inlineStr">
        <is>
          <t>• Unrestricted cash covers 1.7 months of spending, against a 3.0 months reserves target.
• 4 grants end within 6 months with $203,366 still to spend. Housing support: $97,842 left in 2 months ($48,921 a month needed, against $4,458 spent in October so far).
• Fundraising cost 9¢ per dollar in October so far: grants the cheapest (9¢), donations the dearest (10¢).</t>
        </is>
      </c>
    </row>
    <row r="24"/>
    <row r="25">
      <c r="A25" s="13" t="inlineStr">
        <is>
          <t>Decisions to make</t>
        </is>
      </c>
    </row>
    <row r="26" ht="90" customHeight="1">
      <c r="A26" s="3" t="inlineStr">
        <is>
          <t>• Housing support: lift spending to $48,921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3:D23"/>
    <mergeCell ref="A26:D2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8:56am</t>
        </is>
      </c>
    </row>
    <row r="4"/>
    <row r="5">
      <c r="A5" s="14" t="inlineStr">
        <is>
          <t>Surplus, October and September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Income</t>
        </is>
      </c>
      <c r="B8" s="16" t="n">
        <v>17802</v>
      </c>
      <c r="C8" s="16" t="n">
        <v>176180</v>
      </c>
    </row>
    <row r="9">
      <c r="A9" t="inlineStr">
        <is>
          <t>Expenses</t>
        </is>
      </c>
      <c r="B9" s="16" t="n">
        <v>28539</v>
      </c>
      <c r="C9" s="16" t="n">
        <v>165800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4" t="inlineStr">
        <is>
          <t>Year to date (Jul to Oct 2026)</t>
        </is>
      </c>
    </row>
    <row r="15">
      <c r="A15" s="15" t="inlineStr">
        <is>
          <t>Income less expenses, financial year to date</t>
        </is>
      </c>
    </row>
    <row r="16">
      <c r="A16" s="4" t="inlineStr"/>
      <c r="B16" s="5" t="inlineStr">
        <is>
          <t>FY2027 to date</t>
        </is>
      </c>
    </row>
    <row r="17">
      <c r="A17" t="inlineStr">
        <is>
          <t>Income, July</t>
        </is>
      </c>
      <c r="B17" s="16" t="n">
        <v>112398</v>
      </c>
    </row>
    <row r="18">
      <c r="A18" t="inlineStr">
        <is>
          <t>Income, August</t>
        </is>
      </c>
      <c r="B18" s="16" t="n">
        <v>120350</v>
      </c>
    </row>
    <row r="19">
      <c r="A19" t="inlineStr">
        <is>
          <t>Income, September</t>
        </is>
      </c>
      <c r="B19" s="16" t="n">
        <v>176180</v>
      </c>
    </row>
    <row r="20">
      <c r="A20" t="inlineStr">
        <is>
          <t>Income, October</t>
        </is>
      </c>
      <c r="B20" s="16" t="n">
        <v>17802</v>
      </c>
    </row>
    <row r="21">
      <c r="A21" t="inlineStr">
        <is>
          <t>Income, year to date</t>
        </is>
      </c>
      <c r="B21" s="16">
        <f>B17+B18+B19+B20</f>
        <v/>
      </c>
    </row>
    <row r="22">
      <c r="A22" t="inlineStr">
        <is>
          <t>Expenses, July</t>
        </is>
      </c>
      <c r="B22" s="16" t="n">
        <v>137818</v>
      </c>
    </row>
    <row r="23">
      <c r="A23" t="inlineStr">
        <is>
          <t>Expenses, August</t>
        </is>
      </c>
      <c r="B23" s="16" t="n">
        <v>144100</v>
      </c>
    </row>
    <row r="24">
      <c r="A24" t="inlineStr">
        <is>
          <t>Expenses, September</t>
        </is>
      </c>
      <c r="B24" s="16" t="n">
        <v>165800</v>
      </c>
    </row>
    <row r="25">
      <c r="A25" t="inlineStr">
        <is>
          <t>Expenses, October</t>
        </is>
      </c>
      <c r="B25" s="16" t="n">
        <v>28539</v>
      </c>
    </row>
    <row r="26">
      <c r="A26" t="inlineStr">
        <is>
          <t>Expenses, year to date</t>
        </is>
      </c>
      <c r="B26" s="16">
        <f>B22+B23+B24+B25</f>
        <v/>
      </c>
    </row>
    <row r="27">
      <c r="A27" s="17" t="inlineStr">
        <is>
          <t>Surplus (deficit), year to date</t>
        </is>
      </c>
      <c r="B27" s="18">
        <f>B21-B26</f>
        <v/>
      </c>
    </row>
    <row r="28">
      <c r="A28" s="2" t="inlineStr">
        <is>
          <t>July locked; August locked; September locked; October incomplete.</t>
        </is>
      </c>
    </row>
    <row r="29"/>
    <row r="30"/>
    <row r="31">
      <c r="A31" s="14" t="inlineStr">
        <is>
          <t>Unrestricted cash runway, October 2026</t>
        </is>
      </c>
    </row>
    <row r="32">
      <c r="A32" s="15" t="inlineStr">
        <is>
          <t>(Cash at bank − unspent grant money − GST and PAYG owed to the ATO) ÷ a month's cash spending</t>
        </is>
      </c>
    </row>
    <row r="33">
      <c r="A33" s="4" t="inlineStr"/>
      <c r="B33" s="5" t="inlineStr">
        <is>
          <t>Oct 2026</t>
        </is>
      </c>
    </row>
    <row r="34">
      <c r="A34" t="inlineStr">
        <is>
          <t>Cash at bank</t>
        </is>
      </c>
      <c r="B34" s="16" t="n">
        <v>496243</v>
      </c>
    </row>
    <row r="35">
      <c r="A35" t="inlineStr">
        <is>
          <t>Less unspent grant money (belongs to funders' programs)</t>
        </is>
      </c>
      <c r="B35" s="16" t="n">
        <v>-149053</v>
      </c>
    </row>
    <row r="36">
      <c r="A36" t="inlineStr">
        <is>
          <t>Less GST and PAYG withheld owed to the ATO (paid with the BAS)</t>
        </is>
      </c>
      <c r="B36" s="16" t="n">
        <v>-65523</v>
      </c>
    </row>
    <row r="37">
      <c r="A37" t="inlineStr">
        <is>
          <t>Unrestricted cash</t>
        </is>
      </c>
      <c r="B37" s="16">
        <f>B34+B35+B36</f>
        <v/>
      </c>
    </row>
    <row r="38">
      <c r="A38" t="inlineStr">
        <is>
          <t>Cash spending in September (expenses less depreciation)</t>
        </is>
      </c>
      <c r="B38" s="16" t="n">
        <v>162900</v>
      </c>
    </row>
    <row r="39">
      <c r="A39" s="17" t="inlineStr">
        <is>
          <t>Runway</t>
        </is>
      </c>
      <c r="B39" s="19">
        <f>B37/B38</f>
        <v/>
      </c>
    </row>
    <row r="40">
      <c r="A40" s="2" t="inlineStr">
        <is>
          <t>October is still in progress, so the rate of spending is September's, and what's owed to the ATO is at 30 September. Reserves target: 3.0 months.</t>
        </is>
      </c>
    </row>
    <row r="41"/>
    <row r="42"/>
    <row r="43">
      <c r="A43" s="14" t="inlineStr">
        <is>
          <t>Cost to raise a dollar, October and September</t>
        </is>
      </c>
    </row>
    <row r="44">
      <c r="A44" s="15" t="inlineStr">
        <is>
          <t>Fundraising costs ÷ money raised, in cents</t>
        </is>
      </c>
    </row>
    <row r="45">
      <c r="A45" s="4" t="inlineStr"/>
      <c r="B45" s="5" t="inlineStr">
        <is>
          <t>Oct 26</t>
        </is>
      </c>
      <c r="C45" s="5" t="inlineStr">
        <is>
          <t>Sep 26</t>
        </is>
      </c>
    </row>
    <row r="46">
      <c r="A46" t="inlineStr">
        <is>
          <t>Fundraising costs</t>
        </is>
      </c>
      <c r="B46" s="16" t="n">
        <v>1331</v>
      </c>
      <c r="C46" s="16" t="n">
        <v>29400</v>
      </c>
    </row>
    <row r="47">
      <c r="A47" t="inlineStr">
        <is>
          <t>Money raised</t>
        </is>
      </c>
      <c r="B47" s="16" t="n">
        <v>14301</v>
      </c>
      <c r="C47" s="16" t="n">
        <v>146500</v>
      </c>
    </row>
    <row r="48">
      <c r="A48" s="17" t="inlineStr">
        <is>
          <t>Cents per dollar</t>
        </is>
      </c>
      <c r="B48" s="20">
        <f>B46/B47*100</f>
        <v/>
      </c>
      <c r="C48" s="20">
        <f>C46/C47*100</f>
        <v/>
      </c>
    </row>
    <row r="49"/>
    <row r="50"/>
    <row r="5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8:56am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262158</v>
      </c>
      <c r="C6" s="16" t="n">
        <v>300000</v>
      </c>
      <c r="D6" s="22">
        <f>B6/C6</f>
        <v/>
      </c>
      <c r="E6" s="16" t="n">
        <v>97842</v>
      </c>
      <c r="F6" s="16" t="n">
        <v>2</v>
      </c>
    </row>
    <row r="7">
      <c r="A7" s="21" t="inlineStr">
        <is>
          <t>Volunteer coordinator</t>
        </is>
      </c>
      <c r="B7" s="16" t="n">
        <v>21429</v>
      </c>
      <c r="C7" s="16" t="n">
        <v>24000</v>
      </c>
      <c r="D7" s="22">
        <f>B7/C7</f>
        <v/>
      </c>
      <c r="E7" s="16" t="n">
        <v>14571</v>
      </c>
      <c r="F7" s="16" t="n">
        <v>4</v>
      </c>
    </row>
    <row r="8">
      <c r="A8" s="21" t="inlineStr">
        <is>
          <t>Digital literacy</t>
        </is>
      </c>
      <c r="B8" s="16" t="n">
        <v>60302</v>
      </c>
      <c r="C8" s="16" t="n">
        <v>65000</v>
      </c>
      <c r="D8" s="22">
        <f>B8/C8</f>
        <v/>
      </c>
      <c r="E8" s="16" t="n">
        <v>29698</v>
      </c>
      <c r="F8" s="16" t="n">
        <v>5</v>
      </c>
    </row>
    <row r="9">
      <c r="A9" s="21" t="inlineStr">
        <is>
          <t>Mental health first aid</t>
        </is>
      </c>
      <c r="B9" s="16" t="n">
        <v>58745</v>
      </c>
      <c r="C9" s="16" t="n">
        <v>70000</v>
      </c>
      <c r="D9" s="22">
        <f>B9/C9</f>
        <v/>
      </c>
      <c r="E9" s="16" t="n">
        <v>61255</v>
      </c>
      <c r="F9" s="16" t="n">
        <v>5</v>
      </c>
    </row>
    <row r="10">
      <c r="A10" s="21" t="inlineStr">
        <is>
          <t>Youth outreach</t>
        </is>
      </c>
      <c r="B10" s="16" t="n">
        <v>309558</v>
      </c>
      <c r="C10" s="16" t="n">
        <v>320000</v>
      </c>
      <c r="D10" s="22">
        <f>B10/C10</f>
        <v/>
      </c>
      <c r="E10" s="16" t="n">
        <v>170442</v>
      </c>
      <c r="F10" s="16" t="n">
        <v>8</v>
      </c>
    </row>
    <row r="11">
      <c r="A11" s="21" t="inlineStr">
        <is>
          <t>Community meals</t>
        </is>
      </c>
      <c r="B11" s="16" t="n">
        <v>12615</v>
      </c>
      <c r="C11" s="16" t="n">
        <v>16000</v>
      </c>
      <c r="D11" s="22">
        <f>B11/C11</f>
        <v/>
      </c>
      <c r="E11" s="16" t="n">
        <v>35385</v>
      </c>
      <c r="F11" s="16" t="n">
        <v>8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2026-10-08T22:57:47Z</dcterms:created>
  <dcterms:modified xmlns:dcterms="http://purl.org/dc/terms/" xmlns:xsi="http://www.w3.org/2001/XMLSchema-instance" xsi:type="dcterms:W3CDTF">2026-10-08T22:57:47Z</dcterms:modified>
</cp:coreProperties>
</file>