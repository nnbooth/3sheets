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Cash_at_bank_6_Oct">'Report'!$B$9</definedName>
    <definedName name="Paid_to_employees_in_November">'Report'!$B$10</definedName>
    <definedName name="After_the_tightest_pay_run_26_Nov">'Report'!$B$11</definedName>
    <definedName name="Lowest_point_next_13_weeks">'Report'!$B$12</definedName>
    <definedName name="_xlnm.Print_Area" localSheetId="0">'Report'!$A$1:$J$77</definedName>
    <definedName name="_xlnm.Print_Area" localSheetId="1">'Workings'!$A$1:$B$108</definedName>
    <definedName name="_xlnm.Print_Titles" localSheetId="2">'Data'!$5:$5</definedName>
    <definedName name="_xlnm.Print_Area" localSheetId="2">'Data'!$A$1:$E$96</definedName>
  </definedNames>
  <calcPr calcId="124519" fullCalcOnLoad="1"/>
</workbook>
</file>

<file path=xl/styles.xml><?xml version="1.0" encoding="utf-8"?>
<styleSheet xmlns="http://schemas.openxmlformats.org/spreadsheetml/2006/main">
  <numFmts count="1">
    <numFmt numFmtId="164" formatCode="#,##0;[Red](#,##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FFFFFF"/>
    </font>
    <font>
      <name val="Roboto"/>
      <b val="1"/>
      <color rgb="002F7A5D"/>
      <sz val="12"/>
    </font>
    <font>
      <name val="Roboto"/>
      <i val="1"/>
      <color rgb="005F6F63"/>
    </font>
    <font>
      <name val="Roboto"/>
      <b val="1"/>
    </font>
    <font>
      <name val="Roboto"/>
      <color rgb="005F6F63"/>
    </font>
    <font>
      <name val="Roboto"/>
      <b val="1"/>
      <color rgb="002F7A5D"/>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2" borderId="0" applyAlignment="1" pivotButton="0" quotePrefix="0" xfId="0">
      <alignment horizontal="left" vertical="center" wrapText="1"/>
    </xf>
    <xf numFmtId="0" fontId="5" fillId="2" borderId="0" applyAlignment="1" pivotButton="0" quotePrefix="0" xfId="0">
      <alignment horizontal="right" vertical="center" wrapText="1"/>
    </xf>
    <xf numFmtId="164" fontId="0" fillId="0" borderId="0" pivotButton="0" quotePrefix="0" xfId="0"/>
    <xf numFmtId="0" fontId="9" fillId="0" borderId="0" applyAlignment="1" pivotButton="0" quotePrefix="0" xfId="0">
      <alignment indent="1"/>
    </xf>
    <xf numFmtId="0" fontId="4" fillId="0" borderId="0" pivotButton="0" quotePrefix="0" xfId="0"/>
    <xf numFmtId="0" fontId="7" fillId="0" borderId="0" pivotButton="0" quotePrefix="0" xfId="0"/>
    <xf numFmtId="0" fontId="0" fillId="0" borderId="0" applyAlignment="1" pivotButton="0" quotePrefix="0" xfId="0">
      <alignment horizontal="left"/>
    </xf>
    <xf numFmtId="0" fontId="0" fillId="0" borderId="0" applyAlignment="1" pivotButton="0" quotePrefix="0" xfId="0">
      <alignment horizontal="right"/>
    </xf>
    <xf numFmtId="0" fontId="10" fillId="0" borderId="0" pivotButton="0" quotePrefix="0" xfId="0"/>
    <xf numFmtId="0" fontId="6" fillId="0" borderId="0" pivotButton="0" quotePrefix="0" xfId="0"/>
    <xf numFmtId="164" fontId="0" fillId="0" borderId="0" applyAlignment="1" pivotButton="0" quotePrefix="0" xfId="0">
      <alignment horizontal="right"/>
    </xf>
    <xf numFmtId="0" fontId="8" fillId="0" borderId="1" pivotButton="0" quotePrefix="0" xfId="0"/>
    <xf numFmtId="164"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November: where the cash comes from and goes (forecast)</a:t>
            </a:r>
          </a:p>
        </rich>
      </tx>
      <overlay val="0"/>
    </title>
    <plotArea>
      <barChart>
        <barDir val="bar"/>
        <grouping val="clustered"/>
        <varyColors val="0"/>
        <ser>
          <idx val="0"/>
          <order val="0"/>
          <tx>
            <v>November: where the cash comes from and goes (forecast)</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B42318"/>
              </a:solidFill>
              <a:ln xmlns:a="http://schemas.openxmlformats.org/drawingml/2006/main">
                <a:solidFill>
                  <a:srgbClr val="B42318"/>
                </a:solidFill>
                <a:prstDash val="solid"/>
              </a:ln>
            </spPr>
          </dPt>
          <dPt>
            <idx val="3"/>
            <spPr>
              <a:solidFill xmlns:a="http://schemas.openxmlformats.org/drawingml/2006/main">
                <a:srgbClr val="B42318"/>
              </a:solidFill>
              <a:ln xmlns:a="http://schemas.openxmlformats.org/drawingml/2006/main">
                <a:solidFill>
                  <a:srgbClr val="B42318"/>
                </a:solidFill>
                <a:prstDash val="solid"/>
              </a:ln>
            </spPr>
          </dPt>
          <dPt>
            <idx val="5"/>
            <spPr>
              <a:solidFill xmlns:a="http://schemas.openxmlformats.org/drawingml/2006/main">
                <a:srgbClr val="B42318"/>
              </a:solidFill>
              <a:ln xmlns:a="http://schemas.openxmlformats.org/drawingml/2006/main">
                <a:solidFill>
                  <a:srgbClr val="B42318"/>
                </a:solidFill>
                <a:prstDash val="solid"/>
              </a:ln>
            </spPr>
          </dPt>
          <dLbls>
            <numFmt formatCode="#,##0;(#,##0)"/>
            <showLegendKey val="0"/>
            <showVal val="1"/>
            <showCatName val="0"/>
            <showSerName val="0"/>
            <showPercent val="0"/>
          </dLbls>
          <cat>
            <numRef>
              <f>'Report'!$A$16:$A$21</f>
            </numRef>
          </cat>
          <val>
            <numRef>
              <f>'Report'!$B$16:$B$21</f>
            </numRef>
          </val>
        </ser>
        <gapWidth val="60"/>
        <axId val="10"/>
        <axId val="100"/>
      </barChart>
      <catAx>
        <axId val="10"/>
        <scaling>
          <orientation val="maxMin"/>
        </scaling>
        <axPos val="l"/>
        <majorTickMark val="none"/>
        <minorTickMark val="none"/>
        <crossAx val="100"/>
        <lblOffset val="100"/>
      </catAx>
      <valAx>
        <axId val="100"/>
        <scaling>
          <orientation val="minMax"/>
        </scaling>
        <delete val="1"/>
        <axPos val="l"/>
        <numFmt formatCode="#,##0;(#,##0)" sourceLinked="0"/>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Cash at bank by date</a:t>
            </a:r>
          </a:p>
        </rich>
      </tx>
      <overlay val="0"/>
    </title>
    <plotArea>
      <lineChart>
        <grouping val="standard"/>
        <ser>
          <idx val="0"/>
          <order val="0"/>
          <tx>
            <v>Cash at bank</v>
          </tx>
          <spPr>
            <a:ln xmlns:a="http://schemas.openxmlformats.org/drawingml/2006/main" w="22000">
              <a:solidFill>
                <a:srgbClr val="0E9F6E"/>
              </a:solidFill>
              <a:prstDash val="solid"/>
            </a:ln>
          </spPr>
          <marker>
            <symbol val="none"/>
            <spPr>
              <a:ln xmlns:a="http://schemas.openxmlformats.org/drawingml/2006/main">
                <a:prstDash val="solid"/>
              </a:ln>
            </spPr>
          </marker>
          <cat>
            <numRef>
              <f>'Data'!$A$6:$A$96</f>
            </numRef>
          </cat>
          <val>
            <numRef>
              <f>'Data'!$E$6:$E$96</f>
            </numRef>
          </val>
          <smooth val="0"/>
        </ser>
        <axId val="10"/>
        <axId val="100"/>
      </lineChart>
      <catAx>
        <axId val="10"/>
        <scaling>
          <orientation val="minMax"/>
        </scaling>
        <axPos val="l"/>
        <numFmt formatCode="@" sourceLinked="0"/>
        <majorTickMark val="none"/>
        <minorTickMark val="none"/>
        <crossAx val="100"/>
        <lblOffset val="100"/>
        <tickLblSkip val="7"/>
      </catAx>
      <valAx>
        <axId val="100"/>
        <scaling>
          <orientation val="minMax"/>
        </scaling>
        <axPos val="l"/>
        <majorGridlines/>
        <numFmt formatCode="#,##0;(#,##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14</row>
      <rowOff>0</rowOff>
    </from>
    <ext cx="540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ash_payroll_Data" displayName="cash_payroll_Data" ref="A5:E96" headerRowCount="1">
  <autoFilter ref="A5:E96"/>
  <tableColumns count="5">
    <tableColumn id="1" name="Date"/>
    <tableColumn id="2" name="Actual or forecast"/>
    <tableColumn id="3" name="Money in"/>
    <tableColumn id="4" name="Money out"/>
    <tableColumn id="5" name="Cash at bank"/>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J79"/>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Will cash cover payroll next month?</t>
        </is>
      </c>
    </row>
    <row r="2">
      <c r="A2" s="2" t="inlineStr">
        <is>
          <t>Sample Electrical &amp; Air Pty Ltd · SAMPLE DATA (invented) · The Fourth Sheet · Made with Python (openpyxl)</t>
        </is>
      </c>
    </row>
    <row r="3">
      <c r="A3" s="2" t="inlineStr">
        <is>
          <t>Period: October 2026 to date · Data status: Sep 2026 locked · Oct 2026 incomplete (data retrieved 2pm, Tue 6 Oct 2026) · Generated 10 Oct 2026, 9:55pm</t>
        </is>
      </c>
    </row>
    <row r="4"/>
    <row r="5" ht="32" customHeight="1">
      <c r="A5" s="3" t="inlineStr">
        <is>
          <t>In short: Yes: $98,068 forecast in the bank after the 26 November pay run, the tightest in November, and at least one pay run in reserve for all 13 weeks. It depends on $86,470 of overdue invoices arriving.</t>
        </is>
      </c>
    </row>
    <row r="6" ht="32" customHeight="1">
      <c r="A6" s="4" t="inlineStr">
        <is>
          <t>A 13-week cash forecast from 2pm on 6 October: cash at bank, plus what customers owe on their usual payment dates and new work at its recent rate, less pay runs, supplier bills, the BAS and finance on their due dates. Every day opens its workings.</t>
        </is>
      </c>
    </row>
    <row r="7"/>
    <row r="8">
      <c r="A8" s="5" t="inlineStr">
        <is>
          <t>Headline number</t>
        </is>
      </c>
      <c r="B8" s="6" t="inlineStr">
        <is>
          <t>Value</t>
        </is>
      </c>
      <c r="C8" s="6" t="inlineStr">
        <is>
          <t>Compared with</t>
        </is>
      </c>
    </row>
    <row r="9">
      <c r="A9" t="inlineStr">
        <is>
          <t>Cash at bank, 6 Oct</t>
        </is>
      </c>
      <c r="B9" s="7">
        <f>Workings!B11</f>
        <v/>
      </c>
      <c r="C9" s="8" t="inlineStr">
        <is>
          <t>2pm, still moving</t>
        </is>
      </c>
    </row>
    <row r="10">
      <c r="A10" t="inlineStr">
        <is>
          <t>Paid to employees in November</t>
        </is>
      </c>
      <c r="B10" s="7">
        <f>Workings!B20</f>
        <v/>
      </c>
      <c r="C10" s="8" t="inlineStr">
        <is>
          <t>2 fortnightly pay runs, net pay + super</t>
        </is>
      </c>
    </row>
    <row r="11">
      <c r="A11" t="inlineStr">
        <is>
          <t>After the tightest pay run, 26 Nov</t>
        </is>
      </c>
      <c r="B11" s="7">
        <f>Workings!B34</f>
        <v/>
      </c>
      <c r="C11" s="8" t="inlineStr">
        <is>
          <t>buffer: one pay run, $36,611</t>
        </is>
      </c>
    </row>
    <row r="12">
      <c r="A12" t="inlineStr">
        <is>
          <t>Lowest point, next 13 weeks</t>
        </is>
      </c>
      <c r="B12" s="7">
        <f>Workings!B48</f>
        <v/>
      </c>
      <c r="C12" s="8" t="inlineStr">
        <is>
          <t>30 November</t>
        </is>
      </c>
    </row>
    <row r="13"/>
    <row r="14">
      <c r="A14" s="9" t="inlineStr">
        <is>
          <t>November: where the cash comes from and goes (forecast)</t>
        </is>
      </c>
    </row>
    <row r="15">
      <c r="A15" s="5" t="inlineStr"/>
      <c r="B15" s="6" t="inlineStr">
        <is>
          <t>November: where the cash comes from and goes (forecast)</t>
        </is>
      </c>
    </row>
    <row r="16">
      <c r="A16" t="inlineStr">
        <is>
          <t>Unpaid invoices collected</t>
        </is>
      </c>
      <c r="B16" s="7">
        <f>Workings!B55</f>
        <v/>
      </c>
    </row>
    <row r="17">
      <c r="A17" t="inlineStr">
        <is>
          <t>New work collected</t>
        </is>
      </c>
      <c r="B17" s="7">
        <f>Workings!B62</f>
        <v/>
      </c>
    </row>
    <row r="18">
      <c r="A18" t="inlineStr">
        <is>
          <t>Pay runs (2)</t>
        </is>
      </c>
      <c r="B18" s="7" t="n">
        <v>-73222</v>
      </c>
    </row>
    <row r="19">
      <c r="A19" t="inlineStr">
        <is>
          <t>Suppliers and overheads</t>
        </is>
      </c>
      <c r="B19" s="7">
        <f>Workings!B84</f>
        <v/>
      </c>
    </row>
    <row r="20">
      <c r="A20" t="inlineStr">
        <is>
          <t>BAS (GST and PAYG)</t>
        </is>
      </c>
      <c r="B20" s="7">
        <f>Workings!B90</f>
        <v/>
      </c>
    </row>
    <row r="21">
      <c r="A21" t="inlineStr">
        <is>
          <t>Interest and equipment finance</t>
        </is>
      </c>
      <c r="B21" s="7" t="n">
        <v>-7160</v>
      </c>
    </row>
    <row r="22"/>
    <row r="23"/>
    <row r="24"/>
    <row r="25"/>
    <row r="26"/>
    <row r="27"/>
    <row r="28"/>
    <row r="29"/>
    <row r="30">
      <c r="A30" s="10" t="inlineStr">
        <is>
          <t>Cash at bank, every day: actual to 6 Oct, then forecast to 5 Jan: every month is on the Data sheet.</t>
        </is>
      </c>
    </row>
    <row r="31"/>
    <row r="32">
      <c r="A32" s="9" t="inlineStr">
        <is>
          <t>13 weeks, week by week</t>
        </is>
      </c>
    </row>
    <row r="33">
      <c r="A33" s="5" t="inlineStr">
        <is>
          <t>Week ending</t>
        </is>
      </c>
      <c r="B33" s="6" t="inlineStr">
        <is>
          <t>Cash at start</t>
        </is>
      </c>
      <c r="C33" s="6" t="inlineStr">
        <is>
          <t>Unpaid invoices collected</t>
        </is>
      </c>
      <c r="D33" s="6" t="inlineStr">
        <is>
          <t>New work collected</t>
        </is>
      </c>
      <c r="E33" s="6" t="inlineStr">
        <is>
          <t>Pay runs</t>
        </is>
      </c>
      <c r="F33" s="6" t="inlineStr">
        <is>
          <t>Suppliers and overheads</t>
        </is>
      </c>
      <c r="G33" s="6" t="inlineStr">
        <is>
          <t>BAS (GST and PAYG)</t>
        </is>
      </c>
      <c r="H33" s="6" t="inlineStr">
        <is>
          <t>Interest and finance</t>
        </is>
      </c>
      <c r="I33" s="6" t="inlineStr">
        <is>
          <t>Cash at end</t>
        </is>
      </c>
      <c r="J33" s="6" t="inlineStr">
        <is>
          <t>Lowest in the week</t>
        </is>
      </c>
    </row>
    <row r="34">
      <c r="A34" s="11" t="inlineStr">
        <is>
          <t>13 Oct</t>
        </is>
      </c>
      <c r="B34" s="12" t="inlineStr">
        <is>
          <t>$115,211</t>
        </is>
      </c>
      <c r="C34" s="12" t="inlineStr">
        <is>
          <t>$111,493</t>
        </is>
      </c>
      <c r="D34" s="12" t="inlineStr">
        <is>
          <t>$0</t>
        </is>
      </c>
      <c r="E34" s="12" t="inlineStr">
        <is>
          <t>$0</t>
        </is>
      </c>
      <c r="F34" s="12" t="inlineStr">
        <is>
          <t>$0</t>
        </is>
      </c>
      <c r="G34" s="12" t="inlineStr">
        <is>
          <t>$0</t>
        </is>
      </c>
      <c r="H34" s="12" t="inlineStr">
        <is>
          <t>$0</t>
        </is>
      </c>
      <c r="I34" s="12" t="inlineStr">
        <is>
          <t>$226,704</t>
        </is>
      </c>
      <c r="J34" s="12" t="inlineStr">
        <is>
          <t>$115,211</t>
        </is>
      </c>
    </row>
    <row r="35">
      <c r="A35" s="11" t="inlineStr">
        <is>
          <t>20 Oct</t>
        </is>
      </c>
      <c r="B35" s="12" t="inlineStr">
        <is>
          <t>$226,704</t>
        </is>
      </c>
      <c r="C35" s="12" t="inlineStr">
        <is>
          <t>$15,840</t>
        </is>
      </c>
      <c r="D35" s="12" t="inlineStr">
        <is>
          <t>$7,823</t>
        </is>
      </c>
      <c r="E35" s="12" t="inlineStr">
        <is>
          <t>($36,611)</t>
        </is>
      </c>
      <c r="F35" s="12" t="inlineStr">
        <is>
          <t>($60,588)</t>
        </is>
      </c>
      <c r="G35" s="12" t="inlineStr">
        <is>
          <t>$0</t>
        </is>
      </c>
      <c r="H35" s="12" t="inlineStr">
        <is>
          <t>$0</t>
        </is>
      </c>
      <c r="I35" s="12" t="inlineStr">
        <is>
          <t>$153,168</t>
        </is>
      </c>
      <c r="J35" s="12" t="inlineStr">
        <is>
          <t>$132,634</t>
        </is>
      </c>
    </row>
    <row r="36">
      <c r="A36" s="11" t="inlineStr">
        <is>
          <t>27 Oct</t>
        </is>
      </c>
      <c r="B36" s="12" t="inlineStr">
        <is>
          <t>$153,168</t>
        </is>
      </c>
      <c r="C36" s="12" t="inlineStr">
        <is>
          <t>$12,100</t>
        </is>
      </c>
      <c r="D36" s="12" t="inlineStr">
        <is>
          <t>$7,824</t>
        </is>
      </c>
      <c r="E36" s="12" t="inlineStr">
        <is>
          <t>$0</t>
        </is>
      </c>
      <c r="F36" s="12" t="inlineStr">
        <is>
          <t>$0</t>
        </is>
      </c>
      <c r="G36" s="12" t="inlineStr">
        <is>
          <t>$0</t>
        </is>
      </c>
      <c r="H36" s="12" t="inlineStr">
        <is>
          <t>$0</t>
        </is>
      </c>
      <c r="I36" s="12" t="inlineStr">
        <is>
          <t>$173,092</t>
        </is>
      </c>
      <c r="J36" s="12" t="inlineStr">
        <is>
          <t>$154,733</t>
        </is>
      </c>
    </row>
    <row r="37">
      <c r="A37" s="11" t="inlineStr">
        <is>
          <t>3 Nov</t>
        </is>
      </c>
      <c r="B37" s="12" t="inlineStr">
        <is>
          <t>$173,092</t>
        </is>
      </c>
      <c r="C37" s="12" t="inlineStr">
        <is>
          <t>$109,285</t>
        </is>
      </c>
      <c r="D37" s="12" t="inlineStr">
        <is>
          <t>$7,823</t>
        </is>
      </c>
      <c r="E37" s="12" t="inlineStr">
        <is>
          <t>($36,611)</t>
        </is>
      </c>
      <c r="F37" s="12" t="inlineStr">
        <is>
          <t>($60,588)</t>
        </is>
      </c>
      <c r="G37" s="12" t="inlineStr">
        <is>
          <t>($86,253)</t>
        </is>
      </c>
      <c r="H37" s="12" t="inlineStr">
        <is>
          <t>($6,080)</t>
        </is>
      </c>
      <c r="I37" s="12" t="inlineStr">
        <is>
          <t>$100,668</t>
        </is>
      </c>
      <c r="J37" s="12" t="inlineStr">
        <is>
          <t>$67,057</t>
        </is>
      </c>
    </row>
    <row r="38">
      <c r="A38" s="11" t="inlineStr">
        <is>
          <t>10 Nov</t>
        </is>
      </c>
      <c r="B38" s="12" t="inlineStr">
        <is>
          <t>$100,668</t>
        </is>
      </c>
      <c r="C38" s="12" t="inlineStr">
        <is>
          <t>$0</t>
        </is>
      </c>
      <c r="D38" s="12" t="inlineStr">
        <is>
          <t>$28,746</t>
        </is>
      </c>
      <c r="E38" s="12" t="inlineStr">
        <is>
          <t>$0</t>
        </is>
      </c>
      <c r="F38" s="12" t="inlineStr">
        <is>
          <t>$0</t>
        </is>
      </c>
      <c r="G38" s="12" t="inlineStr">
        <is>
          <t>$0</t>
        </is>
      </c>
      <c r="H38" s="12" t="inlineStr">
        <is>
          <t>$0</t>
        </is>
      </c>
      <c r="I38" s="12" t="inlineStr">
        <is>
          <t>$129,414</t>
        </is>
      </c>
      <c r="J38" s="12" t="inlineStr">
        <is>
          <t>$102,233</t>
        </is>
      </c>
    </row>
    <row r="39">
      <c r="A39" s="11" t="inlineStr">
        <is>
          <t>17 Nov</t>
        </is>
      </c>
      <c r="B39" s="12" t="inlineStr">
        <is>
          <t>$129,414</t>
        </is>
      </c>
      <c r="C39" s="12" t="inlineStr">
        <is>
          <t>$0</t>
        </is>
      </c>
      <c r="D39" s="12" t="inlineStr">
        <is>
          <t>$42,693</t>
        </is>
      </c>
      <c r="E39" s="12" t="inlineStr">
        <is>
          <t>($36,611)</t>
        </is>
      </c>
      <c r="F39" s="12" t="inlineStr">
        <is>
          <t>($60,588)</t>
        </is>
      </c>
      <c r="G39" s="12" t="inlineStr">
        <is>
          <t>$0</t>
        </is>
      </c>
      <c r="H39" s="12" t="inlineStr">
        <is>
          <t>$0</t>
        </is>
      </c>
      <c r="I39" s="12" t="inlineStr">
        <is>
          <t>$74,908</t>
        </is>
      </c>
      <c r="J39" s="12" t="inlineStr">
        <is>
          <t>$73,344</t>
        </is>
      </c>
    </row>
    <row r="40">
      <c r="A40" s="11" t="inlineStr">
        <is>
          <t>24 Nov</t>
        </is>
      </c>
      <c r="B40" s="12" t="inlineStr">
        <is>
          <t>$74,908</t>
        </is>
      </c>
      <c r="C40" s="12" t="inlineStr">
        <is>
          <t>$0</t>
        </is>
      </c>
      <c r="D40" s="12" t="inlineStr">
        <is>
          <t>$42,694</t>
        </is>
      </c>
      <c r="E40" s="12" t="inlineStr">
        <is>
          <t>$0</t>
        </is>
      </c>
      <c r="F40" s="12" t="inlineStr">
        <is>
          <t>$0</t>
        </is>
      </c>
      <c r="G40" s="12" t="inlineStr">
        <is>
          <t>$0</t>
        </is>
      </c>
      <c r="H40" s="12" t="inlineStr">
        <is>
          <t>$0</t>
        </is>
      </c>
      <c r="I40" s="12" t="inlineStr">
        <is>
          <t>$117,602</t>
        </is>
      </c>
      <c r="J40" s="12" t="inlineStr">
        <is>
          <t>$83,447</t>
        </is>
      </c>
    </row>
    <row r="41">
      <c r="A41" s="11" t="inlineStr">
        <is>
          <t>1 Dec</t>
        </is>
      </c>
      <c r="B41" s="12" t="inlineStr">
        <is>
          <t>$117,602</t>
        </is>
      </c>
      <c r="C41" s="12" t="inlineStr">
        <is>
          <t>$0</t>
        </is>
      </c>
      <c r="D41" s="12" t="inlineStr">
        <is>
          <t>$92,578</t>
        </is>
      </c>
      <c r="E41" s="12" t="inlineStr">
        <is>
          <t>($36,611)</t>
        </is>
      </c>
      <c r="F41" s="12" t="inlineStr">
        <is>
          <t>($60,588)</t>
        </is>
      </c>
      <c r="G41" s="12" t="inlineStr">
        <is>
          <t>$0</t>
        </is>
      </c>
      <c r="H41" s="12" t="inlineStr">
        <is>
          <t>($6,080)</t>
        </is>
      </c>
      <c r="I41" s="12" t="inlineStr">
        <is>
          <t>$106,901</t>
        </is>
      </c>
      <c r="J41" s="12" t="inlineStr">
        <is>
          <t>$55,452</t>
        </is>
      </c>
    </row>
    <row r="42">
      <c r="A42" s="11" t="inlineStr">
        <is>
          <t>8 Dec</t>
        </is>
      </c>
      <c r="B42" s="12" t="inlineStr">
        <is>
          <t>$106,901</t>
        </is>
      </c>
      <c r="C42" s="12" t="inlineStr">
        <is>
          <t>$0</t>
        </is>
      </c>
      <c r="D42" s="12" t="inlineStr">
        <is>
          <t>$42,694</t>
        </is>
      </c>
      <c r="E42" s="12" t="inlineStr">
        <is>
          <t>$0</t>
        </is>
      </c>
      <c r="F42" s="12" t="inlineStr">
        <is>
          <t>$0</t>
        </is>
      </c>
      <c r="G42" s="12" t="inlineStr">
        <is>
          <t>$0</t>
        </is>
      </c>
      <c r="H42" s="12" t="inlineStr">
        <is>
          <t>$0</t>
        </is>
      </c>
      <c r="I42" s="12" t="inlineStr">
        <is>
          <t>$149,595</t>
        </is>
      </c>
      <c r="J42" s="12" t="inlineStr">
        <is>
          <t>$115,440</t>
        </is>
      </c>
    </row>
    <row r="43">
      <c r="A43" s="11" t="inlineStr">
        <is>
          <t>15 Dec</t>
        </is>
      </c>
      <c r="B43" s="12" t="inlineStr">
        <is>
          <t>$149,595</t>
        </is>
      </c>
      <c r="C43" s="12" t="inlineStr">
        <is>
          <t>$0</t>
        </is>
      </c>
      <c r="D43" s="12" t="inlineStr">
        <is>
          <t>$42,693</t>
        </is>
      </c>
      <c r="E43" s="12" t="inlineStr">
        <is>
          <t>($36,611)</t>
        </is>
      </c>
      <c r="F43" s="12" t="inlineStr">
        <is>
          <t>($60,588)</t>
        </is>
      </c>
      <c r="G43" s="12" t="inlineStr">
        <is>
          <t>$0</t>
        </is>
      </c>
      <c r="H43" s="12" t="inlineStr">
        <is>
          <t>$0</t>
        </is>
      </c>
      <c r="I43" s="12" t="inlineStr">
        <is>
          <t>$95,089</t>
        </is>
      </c>
      <c r="J43" s="12" t="inlineStr">
        <is>
          <t>$95,089</t>
        </is>
      </c>
    </row>
    <row r="44">
      <c r="A44" s="11" t="inlineStr">
        <is>
          <t>22 Dec</t>
        </is>
      </c>
      <c r="B44" s="12" t="inlineStr">
        <is>
          <t>$95,089</t>
        </is>
      </c>
      <c r="C44" s="12" t="inlineStr">
        <is>
          <t>$0</t>
        </is>
      </c>
      <c r="D44" s="12" t="inlineStr">
        <is>
          <t>$42,694</t>
        </is>
      </c>
      <c r="E44" s="12" t="inlineStr">
        <is>
          <t>$0</t>
        </is>
      </c>
      <c r="F44" s="12" t="inlineStr">
        <is>
          <t>$0</t>
        </is>
      </c>
      <c r="G44" s="12" t="inlineStr">
        <is>
          <t>$0</t>
        </is>
      </c>
      <c r="H44" s="12" t="inlineStr">
        <is>
          <t>$0</t>
        </is>
      </c>
      <c r="I44" s="12" t="inlineStr">
        <is>
          <t>$137,783</t>
        </is>
      </c>
      <c r="J44" s="12" t="inlineStr">
        <is>
          <t>$103,628</t>
        </is>
      </c>
    </row>
    <row r="45">
      <c r="A45" s="11" t="inlineStr">
        <is>
          <t>29 Dec</t>
        </is>
      </c>
      <c r="B45" s="12" t="inlineStr">
        <is>
          <t>$137,783</t>
        </is>
      </c>
      <c r="C45" s="12" t="inlineStr">
        <is>
          <t>$0</t>
        </is>
      </c>
      <c r="D45" s="12" t="inlineStr">
        <is>
          <t>$42,693</t>
        </is>
      </c>
      <c r="E45" s="12" t="inlineStr">
        <is>
          <t>($36,611)</t>
        </is>
      </c>
      <c r="F45" s="12" t="inlineStr">
        <is>
          <t>$0</t>
        </is>
      </c>
      <c r="G45" s="12" t="inlineStr">
        <is>
          <t>$0</t>
        </is>
      </c>
      <c r="H45" s="12" t="inlineStr">
        <is>
          <t>($5,000)</t>
        </is>
      </c>
      <c r="I45" s="12" t="inlineStr">
        <is>
          <t>$138,865</t>
        </is>
      </c>
      <c r="J45" s="12" t="inlineStr">
        <is>
          <t>$118,249</t>
        </is>
      </c>
    </row>
    <row r="46">
      <c r="A46" s="11" t="inlineStr">
        <is>
          <t>5 Jan</t>
        </is>
      </c>
      <c r="B46" s="12" t="inlineStr">
        <is>
          <t>$138,865</t>
        </is>
      </c>
      <c r="C46" s="12" t="inlineStr">
        <is>
          <t>$0</t>
        </is>
      </c>
      <c r="D46" s="12" t="inlineStr">
        <is>
          <t>$89,449</t>
        </is>
      </c>
      <c r="E46" s="12" t="inlineStr">
        <is>
          <t>$0</t>
        </is>
      </c>
      <c r="F46" s="12" t="inlineStr">
        <is>
          <t>($60,588)</t>
        </is>
      </c>
      <c r="G46" s="12" t="inlineStr">
        <is>
          <t>$0</t>
        </is>
      </c>
      <c r="H46" s="12" t="inlineStr">
        <is>
          <t>($1,080)</t>
        </is>
      </c>
      <c r="I46" s="12" t="inlineStr">
        <is>
          <t>$166,646</t>
        </is>
      </c>
      <c r="J46" s="12" t="inlineStr">
        <is>
          <t>$144,159</t>
        </is>
      </c>
    </row>
    <row r="47"/>
    <row r="48">
      <c r="A48" s="9" t="inlineStr">
        <is>
          <t>Invoices past the customer's usual payment date ($86,470): the forecast assumes these arrive within a week</t>
        </is>
      </c>
    </row>
    <row r="49">
      <c r="A49" s="5" t="inlineStr">
        <is>
          <t>Customer or job</t>
        </is>
      </c>
      <c r="B49" s="6" t="inlineStr">
        <is>
          <t>Invoiced</t>
        </is>
      </c>
      <c r="C49" s="6" t="inlineStr">
        <is>
          <t>Amount (incl. GST)</t>
        </is>
      </c>
      <c r="D49" s="6" t="inlineStr">
        <is>
          <t>Usually pays in (days)</t>
        </is>
      </c>
      <c r="E49" s="6" t="inlineStr">
        <is>
          <t>Days since invoiced</t>
        </is>
      </c>
    </row>
    <row r="50">
      <c r="A50" s="11" t="inlineStr">
        <is>
          <t>Wacol warehouse switchboard</t>
        </is>
      </c>
      <c r="B50" s="12" t="inlineStr">
        <is>
          <t>4 Sep</t>
        </is>
      </c>
      <c r="C50" s="12" t="inlineStr">
        <is>
          <t>$57,640</t>
        </is>
      </c>
      <c r="D50" s="12" t="inlineStr">
        <is>
          <t>30</t>
        </is>
      </c>
      <c r="E50" s="12" t="inlineStr">
        <is>
          <t>32</t>
        </is>
      </c>
    </row>
    <row r="51">
      <c r="A51" s="11" t="inlineStr">
        <is>
          <t>Milton office tower</t>
        </is>
      </c>
      <c r="B51" s="12" t="inlineStr">
        <is>
          <t>1 Sep</t>
        </is>
      </c>
      <c r="C51" s="12" t="inlineStr">
        <is>
          <t>$5,170</t>
        </is>
      </c>
      <c r="D51" s="12" t="inlineStr">
        <is>
          <t>30</t>
        </is>
      </c>
      <c r="E51" s="12" t="inlineStr">
        <is>
          <t>35</t>
        </is>
      </c>
    </row>
    <row r="52">
      <c r="A52" s="11" t="inlineStr">
        <is>
          <t>Rocklea factory</t>
        </is>
      </c>
      <c r="B52" s="12" t="inlineStr">
        <is>
          <t>1 Sep</t>
        </is>
      </c>
      <c r="C52" s="12" t="inlineStr">
        <is>
          <t>$4,785</t>
        </is>
      </c>
      <c r="D52" s="12" t="inlineStr">
        <is>
          <t>30</t>
        </is>
      </c>
      <c r="E52" s="12" t="inlineStr">
        <is>
          <t>35</t>
        </is>
      </c>
    </row>
    <row r="53">
      <c r="A53" s="11" t="inlineStr">
        <is>
          <t>Bulimba school</t>
        </is>
      </c>
      <c r="B53" s="12" t="inlineStr">
        <is>
          <t>1 Sep</t>
        </is>
      </c>
      <c r="C53" s="12" t="inlineStr">
        <is>
          <t>$3,465</t>
        </is>
      </c>
      <c r="D53" s="12" t="inlineStr">
        <is>
          <t>30</t>
        </is>
      </c>
      <c r="E53" s="12" t="inlineStr">
        <is>
          <t>35</t>
        </is>
      </c>
    </row>
    <row r="54">
      <c r="A54" s="11" t="inlineStr">
        <is>
          <t>West End brewery</t>
        </is>
      </c>
      <c r="B54" s="12" t="inlineStr">
        <is>
          <t>1 Sep</t>
        </is>
      </c>
      <c r="C54" s="12" t="inlineStr">
        <is>
          <t>$3,190</t>
        </is>
      </c>
      <c r="D54" s="12" t="inlineStr">
        <is>
          <t>30</t>
        </is>
      </c>
      <c r="E54" s="12" t="inlineStr">
        <is>
          <t>35</t>
        </is>
      </c>
    </row>
    <row r="55">
      <c r="A55" s="11" t="inlineStr">
        <is>
          <t>Kangaroo Point townhouses</t>
        </is>
      </c>
      <c r="B55" s="12" t="inlineStr">
        <is>
          <t>1 Sep</t>
        </is>
      </c>
      <c r="C55" s="12" t="inlineStr">
        <is>
          <t>$2,970</t>
        </is>
      </c>
      <c r="D55" s="12" t="inlineStr">
        <is>
          <t>30</t>
        </is>
      </c>
      <c r="E55" s="12" t="inlineStr">
        <is>
          <t>35</t>
        </is>
      </c>
    </row>
    <row r="56">
      <c r="A56" s="11" t="inlineStr">
        <is>
          <t>Newstead gym</t>
        </is>
      </c>
      <c r="B56" s="12" t="inlineStr">
        <is>
          <t>1 Sep</t>
        </is>
      </c>
      <c r="C56" s="12" t="inlineStr">
        <is>
          <t>$1,980</t>
        </is>
      </c>
      <c r="D56" s="12" t="inlineStr">
        <is>
          <t>30</t>
        </is>
      </c>
      <c r="E56" s="12" t="inlineStr">
        <is>
          <t>35</t>
        </is>
      </c>
    </row>
    <row r="57">
      <c r="A57" s="11" t="inlineStr">
        <is>
          <t>Call-out CO-49240</t>
        </is>
      </c>
      <c r="B57" s="12" t="inlineStr">
        <is>
          <t>15 Sep</t>
        </is>
      </c>
      <c r="C57" s="12" t="inlineStr">
        <is>
          <t>$932</t>
        </is>
      </c>
      <c r="D57" s="12" t="inlineStr">
        <is>
          <t>7</t>
        </is>
      </c>
      <c r="E57" s="12" t="inlineStr">
        <is>
          <t>21</t>
        </is>
      </c>
    </row>
    <row r="58">
      <c r="A58" s="11" t="inlineStr">
        <is>
          <t>Call-out CO-49233</t>
        </is>
      </c>
      <c r="B58" s="12" t="inlineStr">
        <is>
          <t>22 Sep</t>
        </is>
      </c>
      <c r="C58" s="12" t="inlineStr">
        <is>
          <t>$917</t>
        </is>
      </c>
      <c r="D58" s="12" t="inlineStr">
        <is>
          <t>7</t>
        </is>
      </c>
      <c r="E58" s="12" t="inlineStr">
        <is>
          <t>14</t>
        </is>
      </c>
    </row>
    <row r="59">
      <c r="A59" s="11" t="inlineStr">
        <is>
          <t>Call-out CO-49260</t>
        </is>
      </c>
      <c r="B59" s="12" t="inlineStr">
        <is>
          <t>21 Sep</t>
        </is>
      </c>
      <c r="C59" s="12" t="inlineStr">
        <is>
          <t>$706</t>
        </is>
      </c>
      <c r="D59" s="12" t="inlineStr">
        <is>
          <t>7</t>
        </is>
      </c>
      <c r="E59" s="12" t="inlineStr">
        <is>
          <t>15</t>
        </is>
      </c>
    </row>
    <row r="60">
      <c r="A60" s="11" t="inlineStr">
        <is>
          <t>Call-out CO-49255</t>
        </is>
      </c>
      <c r="B60" s="12" t="inlineStr">
        <is>
          <t>25 Sep</t>
        </is>
      </c>
      <c r="C60" s="12" t="inlineStr">
        <is>
          <t>$659</t>
        </is>
      </c>
      <c r="D60" s="12" t="inlineStr">
        <is>
          <t>7</t>
        </is>
      </c>
      <c r="E60" s="12" t="inlineStr">
        <is>
          <t>11</t>
        </is>
      </c>
    </row>
    <row r="61">
      <c r="A61" s="11" t="inlineStr">
        <is>
          <t>Call-out CO-49280</t>
        </is>
      </c>
      <c r="B61" s="12" t="inlineStr">
        <is>
          <t>27 Sep</t>
        </is>
      </c>
      <c r="C61" s="12" t="inlineStr">
        <is>
          <t>$645</t>
        </is>
      </c>
      <c r="D61" s="12" t="inlineStr">
        <is>
          <t>7</t>
        </is>
      </c>
      <c r="E61" s="12" t="inlineStr">
        <is>
          <t>9</t>
        </is>
      </c>
    </row>
    <row r="62">
      <c r="A62" s="11" t="inlineStr">
        <is>
          <t>Call-out CO-49296</t>
        </is>
      </c>
      <c r="B62" s="12" t="inlineStr">
        <is>
          <t>15 Sep</t>
        </is>
      </c>
      <c r="C62" s="12" t="inlineStr">
        <is>
          <t>$635</t>
        </is>
      </c>
      <c r="D62" s="12" t="inlineStr">
        <is>
          <t>7</t>
        </is>
      </c>
      <c r="E62" s="12" t="inlineStr">
        <is>
          <t>21</t>
        </is>
      </c>
    </row>
    <row r="63">
      <c r="A63" s="11" t="inlineStr">
        <is>
          <t>Call-out CO-49281</t>
        </is>
      </c>
      <c r="B63" s="12" t="inlineStr">
        <is>
          <t>28 Sep</t>
        </is>
      </c>
      <c r="C63" s="12" t="inlineStr">
        <is>
          <t>$598</t>
        </is>
      </c>
      <c r="D63" s="12" t="inlineStr">
        <is>
          <t>7</t>
        </is>
      </c>
      <c r="E63" s="12" t="inlineStr">
        <is>
          <t>8</t>
        </is>
      </c>
    </row>
    <row r="64">
      <c r="A64" s="11" t="inlineStr">
        <is>
          <t>Call-out CO-49248</t>
        </is>
      </c>
      <c r="B64" s="12" t="inlineStr">
        <is>
          <t>17 Sep</t>
        </is>
      </c>
      <c r="C64" s="12" t="inlineStr">
        <is>
          <t>$535</t>
        </is>
      </c>
      <c r="D64" s="12" t="inlineStr">
        <is>
          <t>7</t>
        </is>
      </c>
      <c r="E64" s="12" t="inlineStr">
        <is>
          <t>19</t>
        </is>
      </c>
    </row>
    <row r="65">
      <c r="A65" s="11" t="inlineStr">
        <is>
          <t>Call-out CO-49267</t>
        </is>
      </c>
      <c r="B65" s="12" t="inlineStr">
        <is>
          <t>23 Sep</t>
        </is>
      </c>
      <c r="C65" s="12" t="inlineStr">
        <is>
          <t>$459</t>
        </is>
      </c>
      <c r="D65" s="12" t="inlineStr">
        <is>
          <t>7</t>
        </is>
      </c>
      <c r="E65" s="12" t="inlineStr">
        <is>
          <t>13</t>
        </is>
      </c>
    </row>
    <row r="66">
      <c r="A66" s="11" t="inlineStr">
        <is>
          <t>Call-out CO-49253</t>
        </is>
      </c>
      <c r="B66" s="12" t="inlineStr">
        <is>
          <t>26 Sep</t>
        </is>
      </c>
      <c r="C66" s="12" t="inlineStr">
        <is>
          <t>$441</t>
        </is>
      </c>
      <c r="D66" s="12" t="inlineStr">
        <is>
          <t>7</t>
        </is>
      </c>
      <c r="E66" s="12" t="inlineStr">
        <is>
          <t>10</t>
        </is>
      </c>
    </row>
    <row r="67">
      <c r="A67" s="11" t="inlineStr">
        <is>
          <t>Call-out CO-49259</t>
        </is>
      </c>
      <c r="B67" s="12" t="inlineStr">
        <is>
          <t>13 Sep</t>
        </is>
      </c>
      <c r="C67" s="12" t="inlineStr">
        <is>
          <t>$416</t>
        </is>
      </c>
      <c r="D67" s="12" t="inlineStr">
        <is>
          <t>7</t>
        </is>
      </c>
      <c r="E67" s="12" t="inlineStr">
        <is>
          <t>23</t>
        </is>
      </c>
    </row>
    <row r="68">
      <c r="A68" s="11" t="inlineStr">
        <is>
          <t>Call-out CO-49273</t>
        </is>
      </c>
      <c r="B68" s="12" t="inlineStr">
        <is>
          <t>16 Sep</t>
        </is>
      </c>
      <c r="C68" s="12" t="inlineStr">
        <is>
          <t>$327</t>
        </is>
      </c>
      <c r="D68" s="12" t="inlineStr">
        <is>
          <t>7</t>
        </is>
      </c>
      <c r="E68" s="12" t="inlineStr">
        <is>
          <t>20</t>
        </is>
      </c>
    </row>
    <row r="69"/>
    <row r="70">
      <c r="A70" s="13" t="inlineStr">
        <is>
          <t>How the 30 September forecast has done so far</t>
        </is>
      </c>
    </row>
    <row r="71" ht="45" customHeight="1">
      <c r="A71" s="4" t="inlineStr">
        <is>
          <t>For 5 October it said $133,401; the bank says $104,453, $28,948 less. $31,304 of it is 11 invoices expected by then and not yet paid, the largest Milton office tower ($5,170). (Workings sheet: "From gross margin to profit".)</t>
        </is>
      </c>
    </row>
    <row r="72"/>
    <row r="73">
      <c r="A73" s="13" t="inlineStr">
        <is>
          <t>What it shows</t>
        </is>
      </c>
    </row>
    <row r="74" ht="45" customHeight="1">
      <c r="A74" s="4" t="inlineStr">
        <is>
          <t>Cash at bank was $115,211 at 2pm on 6 October. November has 2 pay runs ($73,222). The tightest is 26 November: $98,068 left after paying wages, $61,457 more than a pay run in reserve. The lowest point in the 13 weeks is $55,452 on 30 November.</t>
        </is>
      </c>
    </row>
    <row r="75"/>
    <row r="76">
      <c r="A76" s="13" t="inlineStr">
        <is>
          <t>What you'd do about it</t>
        </is>
      </c>
    </row>
    <row r="77" ht="60" customHeight="1">
      <c r="A77" s="4" t="inlineStr">
        <is>
          <t>19 invoices ($86,470) are already past the customer's usual payment date; the forecast assumes they arrive within a week. Without them, the lowest point would be ($31,018). The July to September BAS ($86,253) is due 28 October: GST $32,817, PAYG withheld $47,754 and the PAYG instalment $5,682.</t>
        </is>
      </c>
    </row>
    <row r="78"/>
    <row r="79"/>
  </sheetData>
  <mergeCells count="5">
    <mergeCell ref="A5:D5"/>
    <mergeCell ref="A6:D6"/>
    <mergeCell ref="A74:D74"/>
    <mergeCell ref="A77:D77"/>
    <mergeCell ref="A71:D71"/>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10 Oct 2026, 9:55pm&amp;R&amp;"Roboto,Regular"&amp;8 Page &amp;P of &amp;N</oddFooter>
    <evenHeader/>
    <evenFooter/>
    <firstHeader/>
    <firstFooter/>
  </headerFooter>
  <rowBreaks count="2" manualBreakCount="2">
    <brk id="31" min="0" max="16383" man="1"/>
    <brk id="72"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B11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October 2026 to date · Data status: Sep 2026 locked · Oct 2026 incomplete (data retrieved 2pm, Tue 6 Oct 2026) · Generated 10 Oct 2026, 9:55pm</t>
        </is>
      </c>
    </row>
    <row r="4"/>
    <row r="5">
      <c r="A5" s="14" t="inlineStr">
        <is>
          <t>Cash at bank, 2pm on 6 October</t>
        </is>
      </c>
    </row>
    <row r="6">
      <c r="A6" s="10" t="inlineStr">
        <is>
          <t>Opening balance + every day's money in − money out</t>
        </is>
      </c>
    </row>
    <row r="7">
      <c r="A7" s="5" t="inlineStr"/>
      <c r="B7" s="6" t="inlineStr">
        <is>
          <t>6 Oct</t>
        </is>
      </c>
    </row>
    <row r="8">
      <c r="A8" t="inlineStr">
        <is>
          <t>Cash at bank, 31 July (opening balance)</t>
        </is>
      </c>
      <c r="B8" s="15" t="n">
        <v>88000</v>
      </c>
    </row>
    <row r="9">
      <c r="A9" t="inlineStr">
        <is>
          <t>Money in, 1 August to 6 October</t>
        </is>
      </c>
      <c r="B9" s="15" t="n">
        <v>445130</v>
      </c>
    </row>
    <row r="10">
      <c r="A10" t="inlineStr">
        <is>
          <t>Money out, 1 August to 6 October</t>
        </is>
      </c>
      <c r="B10" s="15" t="n">
        <v>-417919</v>
      </c>
    </row>
    <row r="11">
      <c r="A11" s="16" t="inlineStr">
        <is>
          <t>Cash at bank</t>
        </is>
      </c>
      <c r="B11" s="17">
        <f>B8+B9+B10</f>
        <v/>
      </c>
    </row>
    <row r="12">
      <c r="A12" s="2" t="inlineStr">
        <is>
          <t>From the bank feed; ties to the ledger.</t>
        </is>
      </c>
    </row>
    <row r="13"/>
    <row r="14"/>
    <row r="15">
      <c r="A15" s="14" t="inlineStr">
        <is>
          <t>Pay runs in November</t>
        </is>
      </c>
    </row>
    <row r="16">
      <c r="A16" s="10" t="inlineStr">
        <is>
          <t>Number of fortnightly pay runs × the cash each one takes</t>
        </is>
      </c>
    </row>
    <row r="17">
      <c r="A17" s="5" t="inlineStr"/>
      <c r="B17" s="6" t="inlineStr">
        <is>
          <t>November</t>
        </is>
      </c>
    </row>
    <row r="18">
      <c r="A18" t="inlineStr">
        <is>
          <t>Last pay run, net pay + super (1 October)</t>
        </is>
      </c>
      <c r="B18" s="15" t="n">
        <v>36611</v>
      </c>
    </row>
    <row r="19">
      <c r="A19" t="inlineStr">
        <is>
          <t>Pay runs in November (12 Nov, 26 Nov)</t>
        </is>
      </c>
      <c r="B19" s="15" t="n">
        <v>2</v>
      </c>
    </row>
    <row r="20">
      <c r="A20" s="16" t="inlineStr">
        <is>
          <t>Paid to employees and their super funds in November</t>
        </is>
      </c>
      <c r="B20" s="17">
        <f>B18*B19</f>
        <v/>
      </c>
    </row>
    <row r="21">
      <c r="A21" s="2" t="inlineStr">
        <is>
          <t>Each pay run is a 26th of the year's gross wages: net pay and super leave the bank on pay day, and the PAYG withheld goes to the ATO with the BAS. Fortnightly pay means two months a year have three pay runs.</t>
        </is>
      </c>
    </row>
    <row r="22"/>
    <row r="23"/>
    <row r="24">
      <c r="A24" s="14" t="inlineStr">
        <is>
          <t>Forecast cash at bank, 26 Nov 2026</t>
        </is>
      </c>
    </row>
    <row r="25">
      <c r="A25" s="10" t="inlineStr">
        <is>
          <t>Yesterday's cash + money in − money out</t>
        </is>
      </c>
    </row>
    <row r="26">
      <c r="A26" s="5" t="inlineStr"/>
      <c r="B26" s="6" t="inlineStr">
        <is>
          <t>26 Nov</t>
        </is>
      </c>
    </row>
    <row r="27">
      <c r="A27" t="inlineStr">
        <is>
          <t>Cash at bank, end of the day before</t>
        </is>
      </c>
      <c r="B27" s="15" t="n">
        <v>126140</v>
      </c>
    </row>
    <row r="28">
      <c r="A28" t="inlineStr">
        <is>
          <t>Unpaid invoices expected (incl. GST)</t>
        </is>
      </c>
      <c r="B28" s="15" t="n">
        <v>0</v>
      </c>
    </row>
    <row r="29">
      <c r="A29" t="inlineStr">
        <is>
          <t>New work expected to be paid (incl. GST)</t>
        </is>
      </c>
      <c r="B29" s="15" t="n">
        <v>8539</v>
      </c>
    </row>
    <row r="30">
      <c r="A30" t="inlineStr">
        <is>
          <t>Pay run (net pay + super)</t>
        </is>
      </c>
      <c r="B30" s="15" t="n">
        <v>-36611</v>
      </c>
    </row>
    <row r="31">
      <c r="A31" t="inlineStr">
        <is>
          <t>Suppliers and overheads (incl. GST)</t>
        </is>
      </c>
      <c r="B31" s="15" t="n">
        <v>0</v>
      </c>
    </row>
    <row r="32">
      <c r="A32" t="inlineStr">
        <is>
          <t>BAS: GST, PAYG withheld and PAYG instalment</t>
        </is>
      </c>
      <c r="B32" s="15" t="n">
        <v>0</v>
      </c>
    </row>
    <row r="33">
      <c r="A33" t="inlineStr">
        <is>
          <t>Interest and equipment finance</t>
        </is>
      </c>
      <c r="B33" s="15" t="n">
        <v>0</v>
      </c>
    </row>
    <row r="34">
      <c r="A34" s="16" t="inlineStr">
        <is>
          <t>Cash at bank, end of the day</t>
        </is>
      </c>
      <c r="B34" s="17">
        <f>B27+B28+B29+B30+B31+B32+B33</f>
        <v/>
      </c>
    </row>
    <row r="35">
      <c r="A35" s="2" t="inlineStr">
        <is>
          <t>Forecast.</t>
        </is>
      </c>
    </row>
    <row r="36"/>
    <row r="37"/>
    <row r="38">
      <c r="A38" s="14" t="inlineStr">
        <is>
          <t>Forecast cash at bank, 30 Nov 2026</t>
        </is>
      </c>
    </row>
    <row r="39">
      <c r="A39" s="10" t="inlineStr">
        <is>
          <t>Yesterday's cash + money in − money out</t>
        </is>
      </c>
    </row>
    <row r="40">
      <c r="A40" s="5" t="inlineStr"/>
      <c r="B40" s="6" t="inlineStr">
        <is>
          <t>30 Nov</t>
        </is>
      </c>
    </row>
    <row r="41">
      <c r="A41" t="inlineStr">
        <is>
          <t>Cash at bank, end of the day before</t>
        </is>
      </c>
      <c r="B41" s="15" t="n">
        <v>106607</v>
      </c>
    </row>
    <row r="42">
      <c r="A42" t="inlineStr">
        <is>
          <t>Unpaid invoices expected (incl. GST)</t>
        </is>
      </c>
      <c r="B42" s="15" t="n">
        <v>0</v>
      </c>
    </row>
    <row r="43">
      <c r="A43" t="inlineStr">
        <is>
          <t>New work expected to be paid (incl. GST)</t>
        </is>
      </c>
      <c r="B43" s="15" t="n">
        <v>15513</v>
      </c>
    </row>
    <row r="44">
      <c r="A44" t="inlineStr">
        <is>
          <t>Pay run (net pay + super)</t>
        </is>
      </c>
      <c r="B44" s="15" t="n">
        <v>0</v>
      </c>
    </row>
    <row r="45">
      <c r="A45" t="inlineStr">
        <is>
          <t>Suppliers and overheads (incl. GST)</t>
        </is>
      </c>
      <c r="B45" s="15" t="n">
        <v>-60588</v>
      </c>
    </row>
    <row r="46">
      <c r="A46" t="inlineStr">
        <is>
          <t>BAS: GST, PAYG withheld and PAYG instalment</t>
        </is>
      </c>
      <c r="B46" s="15" t="n">
        <v>0</v>
      </c>
    </row>
    <row r="47">
      <c r="A47" t="inlineStr">
        <is>
          <t>Interest and equipment finance</t>
        </is>
      </c>
      <c r="B47" s="15" t="n">
        <v>-6080</v>
      </c>
    </row>
    <row r="48">
      <c r="A48" s="16" t="inlineStr">
        <is>
          <t>Cash at bank, end of the day</t>
        </is>
      </c>
      <c r="B48" s="17">
        <f>B41+B42+B43+B44+B45+B46+B47</f>
        <v/>
      </c>
    </row>
    <row r="49">
      <c r="A49" s="2" t="inlineStr">
        <is>
          <t>Forecast.</t>
        </is>
      </c>
    </row>
    <row r="50"/>
    <row r="51"/>
    <row r="52">
      <c r="A52" s="14" t="inlineStr">
        <is>
          <t>Unpaid invoices collected in November</t>
        </is>
      </c>
    </row>
    <row r="53">
      <c r="A53" s="10" t="inlineStr">
        <is>
          <t>Each invoice unpaid at the start, on its customer's usual payment date (next banking day)</t>
        </is>
      </c>
    </row>
    <row r="54">
      <c r="A54" s="5" t="inlineStr"/>
      <c r="B54" s="6" t="inlineStr">
        <is>
          <t>November</t>
        </is>
      </c>
    </row>
    <row r="55">
      <c r="A55" s="16" t="inlineStr">
        <is>
          <t>Expected in the month (incl. GST)</t>
        </is>
      </c>
      <c r="B55" s="17" t="n">
        <v>90585</v>
      </c>
    </row>
    <row r="56">
      <c r="A56" s="2" t="inlineStr">
        <is>
          <t>42 invoices unpaid at 2pm on 6 October; overdue ones assumed a week from then.</t>
        </is>
      </c>
    </row>
    <row r="57"/>
    <row r="58"/>
    <row r="59">
      <c r="A59" s="14" t="inlineStr">
        <is>
          <t>New work collected in November</t>
        </is>
      </c>
    </row>
    <row r="60">
      <c r="A60" s="10" t="inlineStr">
        <is>
          <t>Contract fees (1st of the month, on each contract's terms) + installations and call-outs at the last three months' run rate</t>
        </is>
      </c>
    </row>
    <row r="61">
      <c r="A61" s="5" t="inlineStr"/>
      <c r="B61" s="6" t="inlineStr">
        <is>
          <t>November</t>
        </is>
      </c>
    </row>
    <row r="62">
      <c r="A62" s="16" t="inlineStr">
        <is>
          <t>Expected in the month (incl. GST)</t>
        </is>
      </c>
      <c r="B62" s="17" t="n">
        <v>158391</v>
      </c>
    </row>
    <row r="63">
      <c r="A63" s="2" t="inlineStr">
        <is>
          <t>Run rate from July, August, September. Every day's amount is in whole dollars, so the days add up to this.</t>
        </is>
      </c>
    </row>
    <row r="64"/>
    <row r="65"/>
    <row r="66">
      <c r="A66" s="14" t="inlineStr">
        <is>
          <t>Pay runs in November</t>
        </is>
      </c>
    </row>
    <row r="67">
      <c r="A67" s="10" t="inlineStr">
        <is>
          <t>Number of fortnightly pay runs × the cash each one takes</t>
        </is>
      </c>
    </row>
    <row r="68">
      <c r="A68" s="5" t="inlineStr"/>
      <c r="B68" s="6" t="inlineStr">
        <is>
          <t>November</t>
        </is>
      </c>
    </row>
    <row r="69">
      <c r="A69" t="inlineStr">
        <is>
          <t>Last pay run, net pay + super (1 October)</t>
        </is>
      </c>
      <c r="B69" s="15" t="n">
        <v>36611</v>
      </c>
    </row>
    <row r="70">
      <c r="A70" t="inlineStr">
        <is>
          <t>Pay runs in November (12 Nov, 26 Nov)</t>
        </is>
      </c>
      <c r="B70" s="15" t="n">
        <v>2</v>
      </c>
    </row>
    <row r="71">
      <c r="A71" s="16" t="inlineStr">
        <is>
          <t>Paid to employees and their super funds in November</t>
        </is>
      </c>
      <c r="B71" s="17">
        <f>B69*B70</f>
        <v/>
      </c>
    </row>
    <row r="72">
      <c r="A72" s="2" t="inlineStr">
        <is>
          <t>Each pay run is a 26th of the year's gross wages: net pay and super leave the bank on pay day, and the PAYG withheld goes to the ATO with the BAS. Fortnightly pay means two months a year have three pay runs.</t>
        </is>
      </c>
    </row>
    <row r="73"/>
    <row r="74"/>
    <row r="75">
      <c r="A75" s="14" t="inlineStr">
        <is>
          <t>Suppliers and overheads in November</t>
        </is>
      </c>
    </row>
    <row r="76">
      <c r="A76" s="10" t="inlineStr">
        <is>
          <t>Last month's bills (trade creditors) + the month's overheads, half on the 15th and half at month end, on banking days</t>
        </is>
      </c>
    </row>
    <row r="77">
      <c r="A77" s="5" t="inlineStr"/>
      <c r="B77" s="6" t="inlineStr">
        <is>
          <t>November</t>
        </is>
      </c>
    </row>
    <row r="78">
      <c r="A78" t="inlineStr">
        <is>
          <t>October's bills for materials and subcontractors, incl. GST (estimate: the latest month's)</t>
        </is>
      </c>
      <c r="B78" s="15" t="n">
        <v>85866</v>
      </c>
    </row>
    <row r="79">
      <c r="A79" t="inlineStr">
        <is>
          <t>Overheads, incl. GST (at September's level)</t>
        </is>
      </c>
      <c r="B79" s="15" t="n">
        <v>35310</v>
      </c>
    </row>
    <row r="80">
      <c r="A80" t="inlineStr">
        <is>
          <t>November's supplier bills</t>
        </is>
      </c>
      <c r="B80" s="15">
        <f>B78+B79</f>
        <v/>
      </c>
    </row>
    <row r="81">
      <c r="A81" t="inlineStr">
        <is>
          <t>October run due 31 October, lands Mon 2 Nov (31 Oct isn't a banking day): paid in November</t>
        </is>
      </c>
      <c r="B81" s="15" t="n">
        <v>-60588</v>
      </c>
    </row>
    <row r="82">
      <c r="A82" t="inlineStr">
        <is>
          <t>November run due 15 November, lands Mon 16 Nov (15 Nov isn't a banking day): paid in November</t>
        </is>
      </c>
      <c r="B82" s="15" t="n">
        <v>-60588</v>
      </c>
    </row>
    <row r="83">
      <c r="A83" t="inlineStr">
        <is>
          <t>November run due 30 November: paid in November</t>
        </is>
      </c>
      <c r="B83" s="15" t="n">
        <v>-60588</v>
      </c>
    </row>
    <row r="84">
      <c r="A84" s="16" t="inlineStr">
        <is>
          <t>Paid in November</t>
        </is>
      </c>
      <c r="B84" s="17">
        <f>B81+B82+B83</f>
        <v/>
      </c>
    </row>
    <row r="85"/>
    <row r="86"/>
    <row r="87">
      <c r="A87" s="14" t="inlineStr">
        <is>
          <t>BAS in November</t>
        </is>
      </c>
    </row>
    <row r="88">
      <c r="A88" s="10" t="inlineStr">
        <is>
          <t>GST on sales − GST credits + PAYG withheld + PAYG instalment, for the quarter, due on the 28th (quarterly, self-lodged)</t>
        </is>
      </c>
    </row>
    <row r="89">
      <c r="A89" s="5" t="inlineStr"/>
      <c r="B89" s="6" t="inlineStr">
        <is>
          <t>November</t>
        </is>
      </c>
    </row>
    <row r="90">
      <c r="A90" s="16" t="inlineStr">
        <is>
          <t>BAS paid in November</t>
        </is>
      </c>
      <c r="B90" s="17" t="n">
        <v>0</v>
      </c>
    </row>
    <row r="91">
      <c r="A91" s="2" t="inlineStr">
        <is>
          <t>No BAS falls due in November. The October to December BAS is due 28 February.</t>
        </is>
      </c>
    </row>
    <row r="92"/>
    <row r="93"/>
    <row r="94">
      <c r="A94" s="14" t="inlineStr">
        <is>
          <t>Interest and equipment finance in November</t>
        </is>
      </c>
    </row>
    <row r="95">
      <c r="A95" s="10" t="inlineStr">
        <is>
          <t>Interest at month end + the equipment finance repayment on the 28th (no GST on either)</t>
        </is>
      </c>
    </row>
    <row r="96">
      <c r="A96" s="5" t="inlineStr"/>
      <c r="B96" s="6" t="inlineStr">
        <is>
          <t>November</t>
        </is>
      </c>
    </row>
    <row r="97">
      <c r="A97" s="16" t="inlineStr">
        <is>
          <t>Paid in the month</t>
        </is>
      </c>
      <c r="B97" s="17" t="n">
        <v>7160</v>
      </c>
    </row>
    <row r="98"/>
    <row r="99"/>
    <row r="100">
      <c r="A100" s="14" t="inlineStr">
        <is>
          <t>Forecast made 30 September against the bank, 5 October</t>
        </is>
      </c>
    </row>
    <row r="101">
      <c r="A101" s="10" t="inlineStr">
        <is>
          <t>Actual cash − forecast cash</t>
        </is>
      </c>
    </row>
    <row r="102">
      <c r="A102" s="5" t="inlineStr"/>
      <c r="B102" s="6" t="inlineStr">
        <is>
          <t>5 Oct</t>
        </is>
      </c>
    </row>
    <row r="103">
      <c r="A103" t="inlineStr">
        <is>
          <t>Forecast for 5 October</t>
        </is>
      </c>
      <c r="B103" s="15" t="n">
        <v>133401</v>
      </c>
    </row>
    <row r="104">
      <c r="A104" t="inlineStr">
        <is>
          <t>Actual, 5 October</t>
        </is>
      </c>
      <c r="B104" s="15" t="n">
        <v>104453</v>
      </c>
    </row>
    <row r="105">
      <c r="A105" t="inlineStr">
        <is>
          <t>Actual − forecast</t>
        </is>
      </c>
      <c r="B105" s="15">
        <f>B104-B103</f>
        <v/>
      </c>
    </row>
    <row r="106">
      <c r="A106" t="inlineStr">
        <is>
          <t>Of which: invoices expected by then, not yet paid</t>
        </is>
      </c>
      <c r="B106" s="15" t="n">
        <v>-31304</v>
      </c>
    </row>
    <row r="107">
      <c r="A107" s="16" t="inlineStr">
        <is>
          <t>Everything else (timing of other money in and out)</t>
        </is>
      </c>
      <c r="B107" s="17">
        <f>B105-B106</f>
        <v/>
      </c>
    </row>
    <row r="108">
      <c r="A108" s="2" t="inlineStr">
        <is>
          <t>Not yet paid: Milton office tower $5,170; Chermside retail centre $5,060; Rocklea factory $4,785; Bulimba school $3,465; West End brewery $3,190….</t>
        </is>
      </c>
    </row>
    <row r="109"/>
    <row r="110"/>
    <row r="111"/>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10 Oct 2026, 9:55pm&amp;R&amp;"Roboto,Regular"&amp;8 Page &amp;P of &amp;N</oddFooter>
    <evenHeader/>
    <evenFooter/>
    <firstHeader/>
    <firstFooter/>
  </headerFooter>
  <rowBreaks count="4" manualBreakCount="4">
    <brk id="23" min="0" max="16383" man="1"/>
    <brk id="51" min="0" max="16383" man="1"/>
    <brk id="74" min="0" max="16383" man="1"/>
    <brk id="99" min="0" max="16383" man="1"/>
  </rowBreaks>
</worksheet>
</file>

<file path=xl/worksheets/sheet3.xml><?xml version="1.0" encoding="utf-8"?>
<worksheet xmlns="http://schemas.openxmlformats.org/spreadsheetml/2006/main">
  <sheetPr>
    <outlinePr summaryBelow="1" summaryRight="1"/>
    <pageSetUpPr fitToPage="1"/>
  </sheetPr>
  <dimension ref="A1:E9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s>
  <sheetData>
    <row r="1">
      <c r="A1" s="1" t="inlineStr">
        <is>
          <t>Data</t>
        </is>
      </c>
    </row>
    <row r="2">
      <c r="A2" s="2" t="inlineStr">
        <is>
          <t>Sample Electrical &amp; Air Pty Ltd · SAMPLE DATA (invented) · The Fourth Sheet · Made with Python (openpyxl)</t>
        </is>
      </c>
    </row>
    <row r="3">
      <c r="A3" s="2" t="inlineStr">
        <is>
          <t>Period: October 2026 to date · Data status: Sep 2026 locked · Oct 2026 incomplete (data retrieved 2pm, Tue 6 Oct 2026) · Generated 10 Oct 2026, 9:55pm</t>
        </is>
      </c>
    </row>
    <row r="4"/>
    <row r="5">
      <c r="A5" s="5" t="inlineStr">
        <is>
          <t>Date</t>
        </is>
      </c>
      <c r="B5" s="6" t="inlineStr">
        <is>
          <t>Actual or forecast</t>
        </is>
      </c>
      <c r="C5" s="6" t="inlineStr">
        <is>
          <t>Money in</t>
        </is>
      </c>
      <c r="D5" s="6" t="inlineStr">
        <is>
          <t>Money out</t>
        </is>
      </c>
      <c r="E5" s="6" t="inlineStr">
        <is>
          <t>Cash at bank</t>
        </is>
      </c>
    </row>
    <row r="6">
      <c r="A6" s="18" t="inlineStr">
        <is>
          <t>2026-10-07</t>
        </is>
      </c>
      <c r="B6" s="18" t="inlineStr">
        <is>
          <t>Forecast</t>
        </is>
      </c>
      <c r="C6" s="15" t="n">
        <v>0</v>
      </c>
      <c r="D6" s="15" t="n">
        <v>0</v>
      </c>
      <c r="E6" s="15" t="n">
        <v>115211</v>
      </c>
    </row>
    <row r="7">
      <c r="A7" s="18" t="inlineStr">
        <is>
          <t>2026-10-08</t>
        </is>
      </c>
      <c r="B7" s="18" t="inlineStr">
        <is>
          <t>Forecast</t>
        </is>
      </c>
      <c r="C7" s="15" t="n">
        <v>832</v>
      </c>
      <c r="D7" s="15" t="n">
        <v>0</v>
      </c>
      <c r="E7" s="15" t="n">
        <v>116043</v>
      </c>
    </row>
    <row r="8">
      <c r="A8" s="18" t="inlineStr">
        <is>
          <t>2026-10-09</t>
        </is>
      </c>
      <c r="B8" s="18" t="inlineStr">
        <is>
          <t>Forecast</t>
        </is>
      </c>
      <c r="C8" s="15" t="n">
        <v>23599</v>
      </c>
      <c r="D8" s="15" t="n">
        <v>0</v>
      </c>
      <c r="E8" s="15" t="n">
        <v>139642</v>
      </c>
    </row>
    <row r="9">
      <c r="A9" s="18" t="inlineStr">
        <is>
          <t>2026-10-10</t>
        </is>
      </c>
      <c r="B9" s="18" t="inlineStr">
        <is>
          <t>Forecast</t>
        </is>
      </c>
      <c r="C9" s="15" t="n">
        <v>0</v>
      </c>
      <c r="D9" s="15" t="n">
        <v>0</v>
      </c>
      <c r="E9" s="15" t="n">
        <v>139642</v>
      </c>
    </row>
    <row r="10">
      <c r="A10" s="18" t="inlineStr">
        <is>
          <t>2026-10-11</t>
        </is>
      </c>
      <c r="B10" s="18" t="inlineStr">
        <is>
          <t>Forecast</t>
        </is>
      </c>
      <c r="C10" s="15" t="n">
        <v>0</v>
      </c>
      <c r="D10" s="15" t="n">
        <v>0</v>
      </c>
      <c r="E10" s="15" t="n">
        <v>139642</v>
      </c>
    </row>
    <row r="11">
      <c r="A11" s="18" t="inlineStr">
        <is>
          <t>2026-10-12</t>
        </is>
      </c>
      <c r="B11" s="18" t="inlineStr">
        <is>
          <t>Forecast</t>
        </is>
      </c>
      <c r="C11" s="15" t="n">
        <v>592</v>
      </c>
      <c r="D11" s="15" t="n">
        <v>0</v>
      </c>
      <c r="E11" s="15" t="n">
        <v>140234</v>
      </c>
    </row>
    <row r="12">
      <c r="A12" s="18" t="inlineStr">
        <is>
          <t>2026-10-13</t>
        </is>
      </c>
      <c r="B12" s="18" t="inlineStr">
        <is>
          <t>Forecast</t>
        </is>
      </c>
      <c r="C12" s="15" t="n">
        <v>86470</v>
      </c>
      <c r="D12" s="15" t="n">
        <v>0</v>
      </c>
      <c r="E12" s="15" t="n">
        <v>226704</v>
      </c>
    </row>
    <row r="13">
      <c r="A13" s="18" t="inlineStr">
        <is>
          <t>2026-10-14</t>
        </is>
      </c>
      <c r="B13" s="18" t="inlineStr">
        <is>
          <t>Forecast</t>
        </is>
      </c>
      <c r="C13" s="15" t="n">
        <v>1565</v>
      </c>
      <c r="D13" s="15" t="n">
        <v>0</v>
      </c>
      <c r="E13" s="15" t="n">
        <v>228269</v>
      </c>
    </row>
    <row r="14">
      <c r="A14" s="18" t="inlineStr">
        <is>
          <t>2026-10-15</t>
        </is>
      </c>
      <c r="B14" s="18" t="inlineStr">
        <is>
          <t>Forecast</t>
        </is>
      </c>
      <c r="C14" s="15" t="n">
        <v>1564</v>
      </c>
      <c r="D14" s="15" t="n">
        <v>-97199</v>
      </c>
      <c r="E14" s="15" t="n">
        <v>132634</v>
      </c>
    </row>
    <row r="15">
      <c r="A15" s="18" t="inlineStr">
        <is>
          <t>2026-10-16</t>
        </is>
      </c>
      <c r="B15" s="18" t="inlineStr">
        <is>
          <t>Forecast</t>
        </is>
      </c>
      <c r="C15" s="15" t="n">
        <v>1565</v>
      </c>
      <c r="D15" s="15" t="n">
        <v>0</v>
      </c>
      <c r="E15" s="15" t="n">
        <v>134199</v>
      </c>
    </row>
    <row r="16">
      <c r="A16" s="18" t="inlineStr">
        <is>
          <t>2026-10-17</t>
        </is>
      </c>
      <c r="B16" s="18" t="inlineStr">
        <is>
          <t>Forecast</t>
        </is>
      </c>
      <c r="C16" s="15" t="n">
        <v>0</v>
      </c>
      <c r="D16" s="15" t="n">
        <v>0</v>
      </c>
      <c r="E16" s="15" t="n">
        <v>134199</v>
      </c>
    </row>
    <row r="17">
      <c r="A17" s="18" t="inlineStr">
        <is>
          <t>2026-10-18</t>
        </is>
      </c>
      <c r="B17" s="18" t="inlineStr">
        <is>
          <t>Forecast</t>
        </is>
      </c>
      <c r="C17" s="15" t="n">
        <v>0</v>
      </c>
      <c r="D17" s="15" t="n">
        <v>0</v>
      </c>
      <c r="E17" s="15" t="n">
        <v>134199</v>
      </c>
    </row>
    <row r="18">
      <c r="A18" s="18" t="inlineStr">
        <is>
          <t>2026-10-19</t>
        </is>
      </c>
      <c r="B18" s="18" t="inlineStr">
        <is>
          <t>Forecast</t>
        </is>
      </c>
      <c r="C18" s="15" t="n">
        <v>17405</v>
      </c>
      <c r="D18" s="15" t="n">
        <v>0</v>
      </c>
      <c r="E18" s="15" t="n">
        <v>151604</v>
      </c>
    </row>
    <row r="19">
      <c r="A19" s="18" t="inlineStr">
        <is>
          <t>2026-10-20</t>
        </is>
      </c>
      <c r="B19" s="18" t="inlineStr">
        <is>
          <t>Forecast</t>
        </is>
      </c>
      <c r="C19" s="15" t="n">
        <v>1564</v>
      </c>
      <c r="D19" s="15" t="n">
        <v>0</v>
      </c>
      <c r="E19" s="15" t="n">
        <v>153168</v>
      </c>
    </row>
    <row r="20">
      <c r="A20" s="18" t="inlineStr">
        <is>
          <t>2026-10-21</t>
        </is>
      </c>
      <c r="B20" s="18" t="inlineStr">
        <is>
          <t>Forecast</t>
        </is>
      </c>
      <c r="C20" s="15" t="n">
        <v>1565</v>
      </c>
      <c r="D20" s="15" t="n">
        <v>0</v>
      </c>
      <c r="E20" s="15" t="n">
        <v>154733</v>
      </c>
    </row>
    <row r="21">
      <c r="A21" s="18" t="inlineStr">
        <is>
          <t>2026-10-22</t>
        </is>
      </c>
      <c r="B21" s="18" t="inlineStr">
        <is>
          <t>Forecast</t>
        </is>
      </c>
      <c r="C21" s="15" t="n">
        <v>1565</v>
      </c>
      <c r="D21" s="15" t="n">
        <v>0</v>
      </c>
      <c r="E21" s="15" t="n">
        <v>156298</v>
      </c>
    </row>
    <row r="22">
      <c r="A22" s="18" t="inlineStr">
        <is>
          <t>2026-10-23</t>
        </is>
      </c>
      <c r="B22" s="18" t="inlineStr">
        <is>
          <t>Forecast</t>
        </is>
      </c>
      <c r="C22" s="15" t="n">
        <v>13665</v>
      </c>
      <c r="D22" s="15" t="n">
        <v>0</v>
      </c>
      <c r="E22" s="15" t="n">
        <v>169963</v>
      </c>
    </row>
    <row r="23">
      <c r="A23" s="18" t="inlineStr">
        <is>
          <t>2026-10-24</t>
        </is>
      </c>
      <c r="B23" s="18" t="inlineStr">
        <is>
          <t>Forecast</t>
        </is>
      </c>
      <c r="C23" s="15" t="n">
        <v>0</v>
      </c>
      <c r="D23" s="15" t="n">
        <v>0</v>
      </c>
      <c r="E23" s="15" t="n">
        <v>169963</v>
      </c>
    </row>
    <row r="24">
      <c r="A24" s="18" t="inlineStr">
        <is>
          <t>2026-10-25</t>
        </is>
      </c>
      <c r="B24" s="18" t="inlineStr">
        <is>
          <t>Forecast</t>
        </is>
      </c>
      <c r="C24" s="15" t="n">
        <v>0</v>
      </c>
      <c r="D24" s="15" t="n">
        <v>0</v>
      </c>
      <c r="E24" s="15" t="n">
        <v>169963</v>
      </c>
    </row>
    <row r="25">
      <c r="A25" s="18" t="inlineStr">
        <is>
          <t>2026-10-26</t>
        </is>
      </c>
      <c r="B25" s="18" t="inlineStr">
        <is>
          <t>Forecast</t>
        </is>
      </c>
      <c r="C25" s="15" t="n">
        <v>1564</v>
      </c>
      <c r="D25" s="15" t="n">
        <v>0</v>
      </c>
      <c r="E25" s="15" t="n">
        <v>171527</v>
      </c>
    </row>
    <row r="26">
      <c r="A26" s="18" t="inlineStr">
        <is>
          <t>2026-10-27</t>
        </is>
      </c>
      <c r="B26" s="18" t="inlineStr">
        <is>
          <t>Forecast</t>
        </is>
      </c>
      <c r="C26" s="15" t="n">
        <v>1565</v>
      </c>
      <c r="D26" s="15" t="n">
        <v>0</v>
      </c>
      <c r="E26" s="15" t="n">
        <v>173092</v>
      </c>
    </row>
    <row r="27">
      <c r="A27" s="18" t="inlineStr">
        <is>
          <t>2026-10-28</t>
        </is>
      </c>
      <c r="B27" s="18" t="inlineStr">
        <is>
          <t>Forecast</t>
        </is>
      </c>
      <c r="C27" s="15" t="n">
        <v>1565</v>
      </c>
      <c r="D27" s="15" t="n">
        <v>-91253</v>
      </c>
      <c r="E27" s="15" t="n">
        <v>83404</v>
      </c>
    </row>
    <row r="28">
      <c r="A28" s="18" t="inlineStr">
        <is>
          <t>2026-10-29</t>
        </is>
      </c>
      <c r="B28" s="18" t="inlineStr">
        <is>
          <t>Forecast</t>
        </is>
      </c>
      <c r="C28" s="15" t="n">
        <v>20264</v>
      </c>
      <c r="D28" s="15" t="n">
        <v>-36611</v>
      </c>
      <c r="E28" s="15" t="n">
        <v>67057</v>
      </c>
    </row>
    <row r="29">
      <c r="A29" s="18" t="inlineStr">
        <is>
          <t>2026-10-30</t>
        </is>
      </c>
      <c r="B29" s="18" t="inlineStr">
        <is>
          <t>Forecast</t>
        </is>
      </c>
      <c r="C29" s="15" t="n">
        <v>1565</v>
      </c>
      <c r="D29" s="15" t="n">
        <v>0</v>
      </c>
      <c r="E29" s="15" t="n">
        <v>68622</v>
      </c>
    </row>
    <row r="30">
      <c r="A30" s="18" t="inlineStr">
        <is>
          <t>2026-10-31</t>
        </is>
      </c>
      <c r="B30" s="18" t="inlineStr">
        <is>
          <t>Forecast</t>
        </is>
      </c>
      <c r="C30" s="15" t="n">
        <v>0</v>
      </c>
      <c r="D30" s="15" t="n">
        <v>0</v>
      </c>
      <c r="E30" s="15" t="n">
        <v>68622</v>
      </c>
    </row>
    <row r="31">
      <c r="A31" s="18" t="inlineStr">
        <is>
          <t>2026-11-01</t>
        </is>
      </c>
      <c r="B31" s="18" t="inlineStr">
        <is>
          <t>Forecast</t>
        </is>
      </c>
      <c r="C31" s="15" t="n">
        <v>0</v>
      </c>
      <c r="D31" s="15" t="n">
        <v>0</v>
      </c>
      <c r="E31" s="15" t="n">
        <v>68622</v>
      </c>
    </row>
    <row r="32">
      <c r="A32" s="18" t="inlineStr">
        <is>
          <t>2026-11-02</t>
        </is>
      </c>
      <c r="B32" s="18" t="inlineStr">
        <is>
          <t>Forecast</t>
        </is>
      </c>
      <c r="C32" s="15" t="n">
        <v>92150</v>
      </c>
      <c r="D32" s="15" t="n">
        <v>-61668</v>
      </c>
      <c r="E32" s="15" t="n">
        <v>99104</v>
      </c>
    </row>
    <row r="33">
      <c r="A33" s="18" t="inlineStr">
        <is>
          <t>2026-11-03</t>
        </is>
      </c>
      <c r="B33" s="18" t="inlineStr">
        <is>
          <t>Forecast</t>
        </is>
      </c>
      <c r="C33" s="15" t="n">
        <v>1564</v>
      </c>
      <c r="D33" s="15" t="n">
        <v>0</v>
      </c>
      <c r="E33" s="15" t="n">
        <v>100668</v>
      </c>
    </row>
    <row r="34">
      <c r="A34" s="18" t="inlineStr">
        <is>
          <t>2026-11-04</t>
        </is>
      </c>
      <c r="B34" s="18" t="inlineStr">
        <is>
          <t>Forecast</t>
        </is>
      </c>
      <c r="C34" s="15" t="n">
        <v>1565</v>
      </c>
      <c r="D34" s="15" t="n">
        <v>0</v>
      </c>
      <c r="E34" s="15" t="n">
        <v>102233</v>
      </c>
    </row>
    <row r="35">
      <c r="A35" s="18" t="inlineStr">
        <is>
          <t>2026-11-05</t>
        </is>
      </c>
      <c r="B35" s="18" t="inlineStr">
        <is>
          <t>Forecast</t>
        </is>
      </c>
      <c r="C35" s="15" t="n">
        <v>1565</v>
      </c>
      <c r="D35" s="15" t="n">
        <v>0</v>
      </c>
      <c r="E35" s="15" t="n">
        <v>103798</v>
      </c>
    </row>
    <row r="36">
      <c r="A36" s="18" t="inlineStr">
        <is>
          <t>2026-11-06</t>
        </is>
      </c>
      <c r="B36" s="18" t="inlineStr">
        <is>
          <t>Forecast</t>
        </is>
      </c>
      <c r="C36" s="15" t="n">
        <v>8538</v>
      </c>
      <c r="D36" s="15" t="n">
        <v>0</v>
      </c>
      <c r="E36" s="15" t="n">
        <v>112336</v>
      </c>
    </row>
    <row r="37">
      <c r="A37" s="18" t="inlineStr">
        <is>
          <t>2026-11-07</t>
        </is>
      </c>
      <c r="B37" s="18" t="inlineStr">
        <is>
          <t>Forecast</t>
        </is>
      </c>
      <c r="C37" s="15" t="n">
        <v>0</v>
      </c>
      <c r="D37" s="15" t="n">
        <v>0</v>
      </c>
      <c r="E37" s="15" t="n">
        <v>112336</v>
      </c>
    </row>
    <row r="38">
      <c r="A38" s="18" t="inlineStr">
        <is>
          <t>2026-11-08</t>
        </is>
      </c>
      <c r="B38" s="18" t="inlineStr">
        <is>
          <t>Forecast</t>
        </is>
      </c>
      <c r="C38" s="15" t="n">
        <v>0</v>
      </c>
      <c r="D38" s="15" t="n">
        <v>0</v>
      </c>
      <c r="E38" s="15" t="n">
        <v>112336</v>
      </c>
    </row>
    <row r="39">
      <c r="A39" s="18" t="inlineStr">
        <is>
          <t>2026-11-09</t>
        </is>
      </c>
      <c r="B39" s="18" t="inlineStr">
        <is>
          <t>Forecast</t>
        </is>
      </c>
      <c r="C39" s="15" t="n">
        <v>15513</v>
      </c>
      <c r="D39" s="15" t="n">
        <v>0</v>
      </c>
      <c r="E39" s="15" t="n">
        <v>127849</v>
      </c>
    </row>
    <row r="40">
      <c r="A40" s="18" t="inlineStr">
        <is>
          <t>2026-11-10</t>
        </is>
      </c>
      <c r="B40" s="18" t="inlineStr">
        <is>
          <t>Forecast</t>
        </is>
      </c>
      <c r="C40" s="15" t="n">
        <v>1565</v>
      </c>
      <c r="D40" s="15" t="n">
        <v>0</v>
      </c>
      <c r="E40" s="15" t="n">
        <v>129414</v>
      </c>
    </row>
    <row r="41">
      <c r="A41" s="18" t="inlineStr">
        <is>
          <t>2026-11-11</t>
        </is>
      </c>
      <c r="B41" s="18" t="inlineStr">
        <is>
          <t>Forecast</t>
        </is>
      </c>
      <c r="C41" s="15" t="n">
        <v>8539</v>
      </c>
      <c r="D41" s="15" t="n">
        <v>0</v>
      </c>
      <c r="E41" s="15" t="n">
        <v>137953</v>
      </c>
    </row>
    <row r="42">
      <c r="A42" s="18" t="inlineStr">
        <is>
          <t>2026-11-12</t>
        </is>
      </c>
      <c r="B42" s="18" t="inlineStr">
        <is>
          <t>Forecast</t>
        </is>
      </c>
      <c r="C42" s="15" t="n">
        <v>8538</v>
      </c>
      <c r="D42" s="15" t="n">
        <v>-36611</v>
      </c>
      <c r="E42" s="15" t="n">
        <v>109880</v>
      </c>
    </row>
    <row r="43">
      <c r="A43" s="18" t="inlineStr">
        <is>
          <t>2026-11-13</t>
        </is>
      </c>
      <c r="B43" s="18" t="inlineStr">
        <is>
          <t>Forecast</t>
        </is>
      </c>
      <c r="C43" s="15" t="n">
        <v>8539</v>
      </c>
      <c r="D43" s="15" t="n">
        <v>0</v>
      </c>
      <c r="E43" s="15" t="n">
        <v>118419</v>
      </c>
    </row>
    <row r="44">
      <c r="A44" s="18" t="inlineStr">
        <is>
          <t>2026-11-14</t>
        </is>
      </c>
      <c r="B44" s="18" t="inlineStr">
        <is>
          <t>Forecast</t>
        </is>
      </c>
      <c r="C44" s="15" t="n">
        <v>0</v>
      </c>
      <c r="D44" s="15" t="n">
        <v>0</v>
      </c>
      <c r="E44" s="15" t="n">
        <v>118419</v>
      </c>
    </row>
    <row r="45">
      <c r="A45" s="18" t="inlineStr">
        <is>
          <t>2026-11-15</t>
        </is>
      </c>
      <c r="B45" s="18" t="inlineStr">
        <is>
          <t>Forecast</t>
        </is>
      </c>
      <c r="C45" s="15" t="n">
        <v>0</v>
      </c>
      <c r="D45" s="15" t="n">
        <v>0</v>
      </c>
      <c r="E45" s="15" t="n">
        <v>118419</v>
      </c>
    </row>
    <row r="46">
      <c r="A46" s="18" t="inlineStr">
        <is>
          <t>2026-11-16</t>
        </is>
      </c>
      <c r="B46" s="18" t="inlineStr">
        <is>
          <t>Forecast</t>
        </is>
      </c>
      <c r="C46" s="15" t="n">
        <v>15513</v>
      </c>
      <c r="D46" s="15" t="n">
        <v>-60588</v>
      </c>
      <c r="E46" s="15" t="n">
        <v>73344</v>
      </c>
    </row>
    <row r="47">
      <c r="A47" s="18" t="inlineStr">
        <is>
          <t>2026-11-17</t>
        </is>
      </c>
      <c r="B47" s="18" t="inlineStr">
        <is>
          <t>Forecast</t>
        </is>
      </c>
      <c r="C47" s="15" t="n">
        <v>1564</v>
      </c>
      <c r="D47" s="15" t="n">
        <v>0</v>
      </c>
      <c r="E47" s="15" t="n">
        <v>74908</v>
      </c>
    </row>
    <row r="48">
      <c r="A48" s="18" t="inlineStr">
        <is>
          <t>2026-11-18</t>
        </is>
      </c>
      <c r="B48" s="18" t="inlineStr">
        <is>
          <t>Forecast</t>
        </is>
      </c>
      <c r="C48" s="15" t="n">
        <v>8539</v>
      </c>
      <c r="D48" s="15" t="n">
        <v>0</v>
      </c>
      <c r="E48" s="15" t="n">
        <v>83447</v>
      </c>
    </row>
    <row r="49">
      <c r="A49" s="18" t="inlineStr">
        <is>
          <t>2026-11-19</t>
        </is>
      </c>
      <c r="B49" s="18" t="inlineStr">
        <is>
          <t>Forecast</t>
        </is>
      </c>
      <c r="C49" s="15" t="n">
        <v>8539</v>
      </c>
      <c r="D49" s="15" t="n">
        <v>0</v>
      </c>
      <c r="E49" s="15" t="n">
        <v>91986</v>
      </c>
    </row>
    <row r="50">
      <c r="A50" s="18" t="inlineStr">
        <is>
          <t>2026-11-20</t>
        </is>
      </c>
      <c r="B50" s="18" t="inlineStr">
        <is>
          <t>Forecast</t>
        </is>
      </c>
      <c r="C50" s="15" t="n">
        <v>8538</v>
      </c>
      <c r="D50" s="15" t="n">
        <v>0</v>
      </c>
      <c r="E50" s="15" t="n">
        <v>100524</v>
      </c>
    </row>
    <row r="51">
      <c r="A51" s="18" t="inlineStr">
        <is>
          <t>2026-11-21</t>
        </is>
      </c>
      <c r="B51" s="18" t="inlineStr">
        <is>
          <t>Forecast</t>
        </is>
      </c>
      <c r="C51" s="15" t="n">
        <v>0</v>
      </c>
      <c r="D51" s="15" t="n">
        <v>0</v>
      </c>
      <c r="E51" s="15" t="n">
        <v>100524</v>
      </c>
    </row>
    <row r="52">
      <c r="A52" s="18" t="inlineStr">
        <is>
          <t>2026-11-22</t>
        </is>
      </c>
      <c r="B52" s="18" t="inlineStr">
        <is>
          <t>Forecast</t>
        </is>
      </c>
      <c r="C52" s="15" t="n">
        <v>0</v>
      </c>
      <c r="D52" s="15" t="n">
        <v>0</v>
      </c>
      <c r="E52" s="15" t="n">
        <v>100524</v>
      </c>
    </row>
    <row r="53">
      <c r="A53" s="18" t="inlineStr">
        <is>
          <t>2026-11-23</t>
        </is>
      </c>
      <c r="B53" s="18" t="inlineStr">
        <is>
          <t>Forecast</t>
        </is>
      </c>
      <c r="C53" s="15" t="n">
        <v>15513</v>
      </c>
      <c r="D53" s="15" t="n">
        <v>0</v>
      </c>
      <c r="E53" s="15" t="n">
        <v>116037</v>
      </c>
    </row>
    <row r="54">
      <c r="A54" s="18" t="inlineStr">
        <is>
          <t>2026-11-24</t>
        </is>
      </c>
      <c r="B54" s="18" t="inlineStr">
        <is>
          <t>Forecast</t>
        </is>
      </c>
      <c r="C54" s="15" t="n">
        <v>1565</v>
      </c>
      <c r="D54" s="15" t="n">
        <v>0</v>
      </c>
      <c r="E54" s="15" t="n">
        <v>117602</v>
      </c>
    </row>
    <row r="55">
      <c r="A55" s="18" t="inlineStr">
        <is>
          <t>2026-11-25</t>
        </is>
      </c>
      <c r="B55" s="18" t="inlineStr">
        <is>
          <t>Forecast</t>
        </is>
      </c>
      <c r="C55" s="15" t="n">
        <v>8538</v>
      </c>
      <c r="D55" s="15" t="n">
        <v>0</v>
      </c>
      <c r="E55" s="15" t="n">
        <v>126140</v>
      </c>
    </row>
    <row r="56">
      <c r="A56" s="18" t="inlineStr">
        <is>
          <t>2026-11-26</t>
        </is>
      </c>
      <c r="B56" s="18" t="inlineStr">
        <is>
          <t>Forecast</t>
        </is>
      </c>
      <c r="C56" s="15" t="n">
        <v>8539</v>
      </c>
      <c r="D56" s="15" t="n">
        <v>-36611</v>
      </c>
      <c r="E56" s="15" t="n">
        <v>98068</v>
      </c>
    </row>
    <row r="57">
      <c r="A57" s="18" t="inlineStr">
        <is>
          <t>2026-11-27</t>
        </is>
      </c>
      <c r="B57" s="18" t="inlineStr">
        <is>
          <t>Forecast</t>
        </is>
      </c>
      <c r="C57" s="15" t="n">
        <v>8539</v>
      </c>
      <c r="D57" s="15" t="n">
        <v>0</v>
      </c>
      <c r="E57" s="15" t="n">
        <v>106607</v>
      </c>
    </row>
    <row r="58">
      <c r="A58" s="18" t="inlineStr">
        <is>
          <t>2026-11-28</t>
        </is>
      </c>
      <c r="B58" s="18" t="inlineStr">
        <is>
          <t>Forecast</t>
        </is>
      </c>
      <c r="C58" s="15" t="n">
        <v>0</v>
      </c>
      <c r="D58" s="15" t="n">
        <v>0</v>
      </c>
      <c r="E58" s="15" t="n">
        <v>106607</v>
      </c>
    </row>
    <row r="59">
      <c r="A59" s="18" t="inlineStr">
        <is>
          <t>2026-11-29</t>
        </is>
      </c>
      <c r="B59" s="18" t="inlineStr">
        <is>
          <t>Forecast</t>
        </is>
      </c>
      <c r="C59" s="15" t="n">
        <v>0</v>
      </c>
      <c r="D59" s="15" t="n">
        <v>0</v>
      </c>
      <c r="E59" s="15" t="n">
        <v>106607</v>
      </c>
    </row>
    <row r="60">
      <c r="A60" s="18" t="inlineStr">
        <is>
          <t>2026-11-30</t>
        </is>
      </c>
      <c r="B60" s="18" t="inlineStr">
        <is>
          <t>Forecast</t>
        </is>
      </c>
      <c r="C60" s="15" t="n">
        <v>15513</v>
      </c>
      <c r="D60" s="15" t="n">
        <v>-66668</v>
      </c>
      <c r="E60" s="15" t="n">
        <v>55452</v>
      </c>
    </row>
    <row r="61">
      <c r="A61" s="18" t="inlineStr">
        <is>
          <t>2026-12-01</t>
        </is>
      </c>
      <c r="B61" s="18" t="inlineStr">
        <is>
          <t>Forecast</t>
        </is>
      </c>
      <c r="C61" s="15" t="n">
        <v>51449</v>
      </c>
      <c r="D61" s="15" t="n">
        <v>0</v>
      </c>
      <c r="E61" s="15" t="n">
        <v>106901</v>
      </c>
    </row>
    <row r="62">
      <c r="A62" s="18" t="inlineStr">
        <is>
          <t>2026-12-02</t>
        </is>
      </c>
      <c r="B62" s="18" t="inlineStr">
        <is>
          <t>Forecast</t>
        </is>
      </c>
      <c r="C62" s="15" t="n">
        <v>8539</v>
      </c>
      <c r="D62" s="15" t="n">
        <v>0</v>
      </c>
      <c r="E62" s="15" t="n">
        <v>115440</v>
      </c>
    </row>
    <row r="63">
      <c r="A63" s="18" t="inlineStr">
        <is>
          <t>2026-12-03</t>
        </is>
      </c>
      <c r="B63" s="18" t="inlineStr">
        <is>
          <t>Forecast</t>
        </is>
      </c>
      <c r="C63" s="15" t="n">
        <v>8539</v>
      </c>
      <c r="D63" s="15" t="n">
        <v>0</v>
      </c>
      <c r="E63" s="15" t="n">
        <v>123979</v>
      </c>
    </row>
    <row r="64">
      <c r="A64" s="18" t="inlineStr">
        <is>
          <t>2026-12-04</t>
        </is>
      </c>
      <c r="B64" s="18" t="inlineStr">
        <is>
          <t>Forecast</t>
        </is>
      </c>
      <c r="C64" s="15" t="n">
        <v>8538</v>
      </c>
      <c r="D64" s="15" t="n">
        <v>0</v>
      </c>
      <c r="E64" s="15" t="n">
        <v>132517</v>
      </c>
    </row>
    <row r="65">
      <c r="A65" s="18" t="inlineStr">
        <is>
          <t>2026-12-05</t>
        </is>
      </c>
      <c r="B65" s="18" t="inlineStr">
        <is>
          <t>Forecast</t>
        </is>
      </c>
      <c r="C65" s="15" t="n">
        <v>0</v>
      </c>
      <c r="D65" s="15" t="n">
        <v>0</v>
      </c>
      <c r="E65" s="15" t="n">
        <v>132517</v>
      </c>
    </row>
    <row r="66">
      <c r="A66" s="18" t="inlineStr">
        <is>
          <t>2026-12-06</t>
        </is>
      </c>
      <c r="B66" s="18" t="inlineStr">
        <is>
          <t>Forecast</t>
        </is>
      </c>
      <c r="C66" s="15" t="n">
        <v>0</v>
      </c>
      <c r="D66" s="15" t="n">
        <v>0</v>
      </c>
      <c r="E66" s="15" t="n">
        <v>132517</v>
      </c>
    </row>
    <row r="67">
      <c r="A67" s="18" t="inlineStr">
        <is>
          <t>2026-12-07</t>
        </is>
      </c>
      <c r="B67" s="18" t="inlineStr">
        <is>
          <t>Forecast</t>
        </is>
      </c>
      <c r="C67" s="15" t="n">
        <v>15513</v>
      </c>
      <c r="D67" s="15" t="n">
        <v>0</v>
      </c>
      <c r="E67" s="15" t="n">
        <v>148030</v>
      </c>
    </row>
    <row r="68">
      <c r="A68" s="18" t="inlineStr">
        <is>
          <t>2026-12-08</t>
        </is>
      </c>
      <c r="B68" s="18" t="inlineStr">
        <is>
          <t>Forecast</t>
        </is>
      </c>
      <c r="C68" s="15" t="n">
        <v>1565</v>
      </c>
      <c r="D68" s="15" t="n">
        <v>0</v>
      </c>
      <c r="E68" s="15" t="n">
        <v>149595</v>
      </c>
    </row>
    <row r="69">
      <c r="A69" s="18" t="inlineStr">
        <is>
          <t>2026-12-09</t>
        </is>
      </c>
      <c r="B69" s="18" t="inlineStr">
        <is>
          <t>Forecast</t>
        </is>
      </c>
      <c r="C69" s="15" t="n">
        <v>8538</v>
      </c>
      <c r="D69" s="15" t="n">
        <v>0</v>
      </c>
      <c r="E69" s="15" t="n">
        <v>158133</v>
      </c>
    </row>
    <row r="70">
      <c r="A70" s="18" t="inlineStr">
        <is>
          <t>2026-12-10</t>
        </is>
      </c>
      <c r="B70" s="18" t="inlineStr">
        <is>
          <t>Forecast</t>
        </is>
      </c>
      <c r="C70" s="15" t="n">
        <v>8539</v>
      </c>
      <c r="D70" s="15" t="n">
        <v>-36611</v>
      </c>
      <c r="E70" s="15" t="n">
        <v>130061</v>
      </c>
    </row>
    <row r="71">
      <c r="A71" s="18" t="inlineStr">
        <is>
          <t>2026-12-11</t>
        </is>
      </c>
      <c r="B71" s="18" t="inlineStr">
        <is>
          <t>Forecast</t>
        </is>
      </c>
      <c r="C71" s="15" t="n">
        <v>8539</v>
      </c>
      <c r="D71" s="15" t="n">
        <v>0</v>
      </c>
      <c r="E71" s="15" t="n">
        <v>138600</v>
      </c>
    </row>
    <row r="72">
      <c r="A72" s="18" t="inlineStr">
        <is>
          <t>2026-12-12</t>
        </is>
      </c>
      <c r="B72" s="18" t="inlineStr">
        <is>
          <t>Forecast</t>
        </is>
      </c>
      <c r="C72" s="15" t="n">
        <v>0</v>
      </c>
      <c r="D72" s="15" t="n">
        <v>0</v>
      </c>
      <c r="E72" s="15" t="n">
        <v>138600</v>
      </c>
    </row>
    <row r="73">
      <c r="A73" s="18" t="inlineStr">
        <is>
          <t>2026-12-13</t>
        </is>
      </c>
      <c r="B73" s="18" t="inlineStr">
        <is>
          <t>Forecast</t>
        </is>
      </c>
      <c r="C73" s="15" t="n">
        <v>0</v>
      </c>
      <c r="D73" s="15" t="n">
        <v>0</v>
      </c>
      <c r="E73" s="15" t="n">
        <v>138600</v>
      </c>
    </row>
    <row r="74">
      <c r="A74" s="18" t="inlineStr">
        <is>
          <t>2026-12-14</t>
        </is>
      </c>
      <c r="B74" s="18" t="inlineStr">
        <is>
          <t>Forecast</t>
        </is>
      </c>
      <c r="C74" s="15" t="n">
        <v>15512</v>
      </c>
      <c r="D74" s="15" t="n">
        <v>0</v>
      </c>
      <c r="E74" s="15" t="n">
        <v>154112</v>
      </c>
    </row>
    <row r="75">
      <c r="A75" s="18" t="inlineStr">
        <is>
          <t>2026-12-15</t>
        </is>
      </c>
      <c r="B75" s="18" t="inlineStr">
        <is>
          <t>Forecast</t>
        </is>
      </c>
      <c r="C75" s="15" t="n">
        <v>1565</v>
      </c>
      <c r="D75" s="15" t="n">
        <v>-60588</v>
      </c>
      <c r="E75" s="15" t="n">
        <v>95089</v>
      </c>
    </row>
    <row r="76">
      <c r="A76" s="18" t="inlineStr">
        <is>
          <t>2026-12-16</t>
        </is>
      </c>
      <c r="B76" s="18" t="inlineStr">
        <is>
          <t>Forecast</t>
        </is>
      </c>
      <c r="C76" s="15" t="n">
        <v>8539</v>
      </c>
      <c r="D76" s="15" t="n">
        <v>0</v>
      </c>
      <c r="E76" s="15" t="n">
        <v>103628</v>
      </c>
    </row>
    <row r="77">
      <c r="A77" s="18" t="inlineStr">
        <is>
          <t>2026-12-17</t>
        </is>
      </c>
      <c r="B77" s="18" t="inlineStr">
        <is>
          <t>Forecast</t>
        </is>
      </c>
      <c r="C77" s="15" t="n">
        <v>8539</v>
      </c>
      <c r="D77" s="15" t="n">
        <v>0</v>
      </c>
      <c r="E77" s="15" t="n">
        <v>112167</v>
      </c>
    </row>
    <row r="78">
      <c r="A78" s="18" t="inlineStr">
        <is>
          <t>2026-12-18</t>
        </is>
      </c>
      <c r="B78" s="18" t="inlineStr">
        <is>
          <t>Forecast</t>
        </is>
      </c>
      <c r="C78" s="15" t="n">
        <v>8538</v>
      </c>
      <c r="D78" s="15" t="n">
        <v>0</v>
      </c>
      <c r="E78" s="15" t="n">
        <v>120705</v>
      </c>
    </row>
    <row r="79">
      <c r="A79" s="18" t="inlineStr">
        <is>
          <t>2026-12-19</t>
        </is>
      </c>
      <c r="B79" s="18" t="inlineStr">
        <is>
          <t>Forecast</t>
        </is>
      </c>
      <c r="C79" s="15" t="n">
        <v>0</v>
      </c>
      <c r="D79" s="15" t="n">
        <v>0</v>
      </c>
      <c r="E79" s="15" t="n">
        <v>120705</v>
      </c>
    </row>
    <row r="80">
      <c r="A80" s="18" t="inlineStr">
        <is>
          <t>2026-12-20</t>
        </is>
      </c>
      <c r="B80" s="18" t="inlineStr">
        <is>
          <t>Forecast</t>
        </is>
      </c>
      <c r="C80" s="15" t="n">
        <v>0</v>
      </c>
      <c r="D80" s="15" t="n">
        <v>0</v>
      </c>
      <c r="E80" s="15" t="n">
        <v>120705</v>
      </c>
    </row>
    <row r="81">
      <c r="A81" s="18" t="inlineStr">
        <is>
          <t>2026-12-21</t>
        </is>
      </c>
      <c r="B81" s="18" t="inlineStr">
        <is>
          <t>Forecast</t>
        </is>
      </c>
      <c r="C81" s="15" t="n">
        <v>15513</v>
      </c>
      <c r="D81" s="15" t="n">
        <v>0</v>
      </c>
      <c r="E81" s="15" t="n">
        <v>136218</v>
      </c>
    </row>
    <row r="82">
      <c r="A82" s="18" t="inlineStr">
        <is>
          <t>2026-12-22</t>
        </is>
      </c>
      <c r="B82" s="18" t="inlineStr">
        <is>
          <t>Forecast</t>
        </is>
      </c>
      <c r="C82" s="15" t="n">
        <v>1565</v>
      </c>
      <c r="D82" s="15" t="n">
        <v>0</v>
      </c>
      <c r="E82" s="15" t="n">
        <v>137783</v>
      </c>
    </row>
    <row r="83">
      <c r="A83" s="18" t="inlineStr">
        <is>
          <t>2026-12-23</t>
        </is>
      </c>
      <c r="B83" s="18" t="inlineStr">
        <is>
          <t>Forecast</t>
        </is>
      </c>
      <c r="C83" s="15" t="n">
        <v>8538</v>
      </c>
      <c r="D83" s="15" t="n">
        <v>0</v>
      </c>
      <c r="E83" s="15" t="n">
        <v>146321</v>
      </c>
    </row>
    <row r="84">
      <c r="A84" s="18" t="inlineStr">
        <is>
          <t>2026-12-24</t>
        </is>
      </c>
      <c r="B84" s="18" t="inlineStr">
        <is>
          <t>Forecast</t>
        </is>
      </c>
      <c r="C84" s="15" t="n">
        <v>8539</v>
      </c>
      <c r="D84" s="15" t="n">
        <v>-36611</v>
      </c>
      <c r="E84" s="15" t="n">
        <v>118249</v>
      </c>
    </row>
    <row r="85">
      <c r="A85" s="18" t="inlineStr">
        <is>
          <t>2026-12-25</t>
        </is>
      </c>
      <c r="B85" s="18" t="inlineStr">
        <is>
          <t>Forecast</t>
        </is>
      </c>
      <c r="C85" s="15" t="n">
        <v>0</v>
      </c>
      <c r="D85" s="15" t="n">
        <v>0</v>
      </c>
      <c r="E85" s="15" t="n">
        <v>118249</v>
      </c>
    </row>
    <row r="86">
      <c r="A86" s="18" t="inlineStr">
        <is>
          <t>2026-12-26</t>
        </is>
      </c>
      <c r="B86" s="18" t="inlineStr">
        <is>
          <t>Forecast</t>
        </is>
      </c>
      <c r="C86" s="15" t="n">
        <v>0</v>
      </c>
      <c r="D86" s="15" t="n">
        <v>0</v>
      </c>
      <c r="E86" s="15" t="n">
        <v>118249</v>
      </c>
    </row>
    <row r="87">
      <c r="A87" s="18" t="inlineStr">
        <is>
          <t>2026-12-27</t>
        </is>
      </c>
      <c r="B87" s="18" t="inlineStr">
        <is>
          <t>Forecast</t>
        </is>
      </c>
      <c r="C87" s="15" t="n">
        <v>0</v>
      </c>
      <c r="D87" s="15" t="n">
        <v>0</v>
      </c>
      <c r="E87" s="15" t="n">
        <v>118249</v>
      </c>
    </row>
    <row r="88">
      <c r="A88" s="18" t="inlineStr">
        <is>
          <t>2026-12-28</t>
        </is>
      </c>
      <c r="B88" s="18" t="inlineStr">
        <is>
          <t>Forecast</t>
        </is>
      </c>
      <c r="C88" s="15" t="n">
        <v>0</v>
      </c>
      <c r="D88" s="15" t="n">
        <v>0</v>
      </c>
      <c r="E88" s="15" t="n">
        <v>118249</v>
      </c>
    </row>
    <row r="89">
      <c r="A89" s="18" t="inlineStr">
        <is>
          <t>2026-12-29</t>
        </is>
      </c>
      <c r="B89" s="18" t="inlineStr">
        <is>
          <t>Forecast</t>
        </is>
      </c>
      <c r="C89" s="15" t="n">
        <v>25616</v>
      </c>
      <c r="D89" s="15" t="n">
        <v>-5000</v>
      </c>
      <c r="E89" s="15" t="n">
        <v>138865</v>
      </c>
    </row>
    <row r="90">
      <c r="A90" s="18" t="inlineStr">
        <is>
          <t>2026-12-30</t>
        </is>
      </c>
      <c r="B90" s="18" t="inlineStr">
        <is>
          <t>Forecast</t>
        </is>
      </c>
      <c r="C90" s="15" t="n">
        <v>8539</v>
      </c>
      <c r="D90" s="15" t="n">
        <v>0</v>
      </c>
      <c r="E90" s="15" t="n">
        <v>147404</v>
      </c>
    </row>
    <row r="91">
      <c r="A91" s="18" t="inlineStr">
        <is>
          <t>2026-12-31</t>
        </is>
      </c>
      <c r="B91" s="18" t="inlineStr">
        <is>
          <t>Forecast</t>
        </is>
      </c>
      <c r="C91" s="15" t="n">
        <v>58423</v>
      </c>
      <c r="D91" s="15" t="n">
        <v>-61668</v>
      </c>
      <c r="E91" s="15" t="n">
        <v>144159</v>
      </c>
    </row>
    <row r="92">
      <c r="A92" s="18" t="inlineStr">
        <is>
          <t>2027-01-01</t>
        </is>
      </c>
      <c r="B92" s="18" t="inlineStr">
        <is>
          <t>Forecast</t>
        </is>
      </c>
      <c r="C92" s="15" t="n">
        <v>0</v>
      </c>
      <c r="D92" s="15" t="n">
        <v>0</v>
      </c>
      <c r="E92" s="15" t="n">
        <v>144159</v>
      </c>
    </row>
    <row r="93">
      <c r="A93" s="18" t="inlineStr">
        <is>
          <t>2027-01-02</t>
        </is>
      </c>
      <c r="B93" s="18" t="inlineStr">
        <is>
          <t>Forecast</t>
        </is>
      </c>
      <c r="C93" s="15" t="n">
        <v>0</v>
      </c>
      <c r="D93" s="15" t="n">
        <v>0</v>
      </c>
      <c r="E93" s="15" t="n">
        <v>144159</v>
      </c>
    </row>
    <row r="94">
      <c r="A94" s="18" t="inlineStr">
        <is>
          <t>2027-01-03</t>
        </is>
      </c>
      <c r="B94" s="18" t="inlineStr">
        <is>
          <t>Forecast</t>
        </is>
      </c>
      <c r="C94" s="15" t="n">
        <v>0</v>
      </c>
      <c r="D94" s="15" t="n">
        <v>0</v>
      </c>
      <c r="E94" s="15" t="n">
        <v>144159</v>
      </c>
    </row>
    <row r="95">
      <c r="A95" s="18" t="inlineStr">
        <is>
          <t>2027-01-04</t>
        </is>
      </c>
      <c r="B95" s="18" t="inlineStr">
        <is>
          <t>Forecast</t>
        </is>
      </c>
      <c r="C95" s="15" t="n">
        <v>20922</v>
      </c>
      <c r="D95" s="15" t="n">
        <v>0</v>
      </c>
      <c r="E95" s="15" t="n">
        <v>165081</v>
      </c>
    </row>
    <row r="96">
      <c r="A96" s="18" t="inlineStr">
        <is>
          <t>2027-01-05</t>
        </is>
      </c>
      <c r="B96" s="18" t="inlineStr">
        <is>
          <t>Forecast</t>
        </is>
      </c>
      <c r="C96" s="15" t="n">
        <v>1565</v>
      </c>
      <c r="D96" s="15" t="n">
        <v>0</v>
      </c>
      <c r="E96" s="15" t="n">
        <v>166646</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10 Oct 2026, 9:55pm&amp;R&amp;"Roboto,Regular"&amp;8 Page &amp;P of &amp;N</oddFooter>
    <evenHeader/>
    <evenFooter/>
    <firstHeader/>
    <firstFooter/>
  </headerFooter>
  <rowBreaks count="3" manualBreakCount="3">
    <brk id="31" min="0" max="16383" man="1"/>
    <brk id="61" min="0" max="16383" man="1"/>
    <brk id="91"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2026-10-10T11:56:54Z</dcterms:created>
  <dcterms:modified xmlns:dcterms="http://purl.org/dc/terms/" xmlns:xsi="http://www.w3.org/2001/XMLSchema-instance" xsi:type="dcterms:W3CDTF">2026-10-10T11:56:54Z</dcterms:modified>
</cp:coreProperties>
</file>