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F7A5D"/>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pivotButton="0" quotePrefix="0" xfId="0"/>
    <xf numFmtId="0" fontId="9" fillId="0" borderId="0" pivotButton="0" quotePrefix="0" xfId="0"/>
    <xf numFmtId="0" fontId="6" fillId="0" borderId="0" pivotButton="0" quotePrefix="0" xfId="0"/>
    <xf numFmtId="0" fontId="10"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5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s>
  <sheetData>
    <row r="1">
      <c r="A1" s="1" t="inlineStr">
        <is>
          <t>Will cash cover payroll next month?</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ht="32" customHeight="1">
      <c r="A5" s="3" t="inlineStr">
        <is>
          <t>A 13-week cash forecast from 2pm on 6 October: cash at bank, plus what customers owe on their usual payment dates and new work at its recent rate, less pay runs, supplier bills, tax and finance on their due dates. Every day opens its workings.</t>
        </is>
      </c>
    </row>
    <row r="6"/>
    <row r="7">
      <c r="A7" s="4" t="inlineStr">
        <is>
          <t>Headline number</t>
        </is>
      </c>
      <c r="B7" s="5" t="inlineStr">
        <is>
          <t>Value</t>
        </is>
      </c>
      <c r="C7" s="5" t="inlineStr">
        <is>
          <t>Compared with</t>
        </is>
      </c>
    </row>
    <row r="8">
      <c r="A8" t="inlineStr">
        <is>
          <t>Cash at bank, 6 Oct</t>
        </is>
      </c>
      <c r="B8" s="6">
        <f>Workings!B11</f>
        <v/>
      </c>
      <c r="C8" s="7" t="inlineStr">
        <is>
          <t>2pm, still moving</t>
        </is>
      </c>
    </row>
    <row r="9">
      <c r="A9" t="inlineStr">
        <is>
          <t>Wages to pay in November</t>
        </is>
      </c>
      <c r="B9" s="6">
        <f>Workings!B20</f>
        <v/>
      </c>
      <c r="C9" s="7" t="inlineStr">
        <is>
          <t>2 fortnightly pay runs</t>
        </is>
      </c>
    </row>
    <row r="10">
      <c r="A10" t="inlineStr">
        <is>
          <t>After the tightest pay run, 26 Nov</t>
        </is>
      </c>
      <c r="B10" s="6">
        <f>Workings!B33</f>
        <v/>
      </c>
      <c r="C10" s="7" t="inlineStr">
        <is>
          <t>buffer: one pay run, $38,250</t>
        </is>
      </c>
    </row>
    <row r="11">
      <c r="A11" t="inlineStr">
        <is>
          <t>Lowest point, next 13 weeks</t>
        </is>
      </c>
      <c r="B11" s="6">
        <f>Workings!B46</f>
        <v/>
      </c>
      <c r="C11" s="7" t="inlineStr">
        <is>
          <t>30 November</t>
        </is>
      </c>
    </row>
    <row r="12"/>
    <row r="13">
      <c r="A13" s="8" t="inlineStr">
        <is>
          <t>What it shows</t>
        </is>
      </c>
    </row>
    <row r="14" ht="45" customHeight="1">
      <c r="A14" s="3" t="inlineStr">
        <is>
          <t>Cash at bank was $47,244 at 2pm on 6 October. November has 2 pay runs ($76,500). The tightest is 26 November: $43,014 left after paying wages, $4,764 more than a pay run in reserve. The lowest point in the 13 weeks is $1,159 on 30 November.</t>
        </is>
      </c>
    </row>
    <row r="15"/>
    <row r="16">
      <c r="A16" s="8" t="inlineStr">
        <is>
          <t>What you'd do about it</t>
        </is>
      </c>
    </row>
    <row r="17" ht="30" customHeight="1">
      <c r="A17" s="3" t="inlineStr">
        <is>
          <t>19 invoices ($70,404) are already past the customer's usual payment date; the forecast assumes they arrive within a week. Without them, 26 November would be ($27,390).</t>
        </is>
      </c>
    </row>
    <row r="18"/>
    <row r="19">
      <c r="A19" s="9" t="inlineStr">
        <is>
          <t>Cash at bank, every day: actual to 6 Oct, then forecast to 5 Jan: every month is on the Data sheet.</t>
        </is>
      </c>
    </row>
    <row r="20"/>
    <row r="21">
      <c r="A21" s="10" t="inlineStr">
        <is>
          <t>November: where the cash comes from and goes (forecast)</t>
        </is>
      </c>
    </row>
    <row r="22">
      <c r="A22" s="4" t="inlineStr"/>
      <c r="B22" s="5" t="inlineStr">
        <is>
          <t>Value</t>
        </is>
      </c>
    </row>
    <row r="23">
      <c r="A23" t="inlineStr">
        <is>
          <t>Unpaid invoices collected</t>
        </is>
      </c>
      <c r="B23" s="6">
        <f>Workings!B53</f>
        <v/>
      </c>
    </row>
    <row r="24">
      <c r="A24" t="inlineStr">
        <is>
          <t>New work collected</t>
        </is>
      </c>
      <c r="B24" s="6">
        <f>Workings!B60</f>
        <v/>
      </c>
    </row>
    <row r="25">
      <c r="A25" t="inlineStr">
        <is>
          <t>Wages (2 pay runs)</t>
        </is>
      </c>
      <c r="B25" s="6">
        <f>Workings!B69</f>
        <v/>
      </c>
    </row>
    <row r="26">
      <c r="A26" t="inlineStr">
        <is>
          <t>Suppliers and overheads</t>
        </is>
      </c>
      <c r="B26" s="6">
        <f>Workings!B78</f>
        <v/>
      </c>
    </row>
    <row r="27">
      <c r="A27" t="inlineStr">
        <is>
          <t>Tax, interest and equipment finance</t>
        </is>
      </c>
      <c r="B27" s="6">
        <f>Workings!B84</f>
        <v/>
      </c>
    </row>
    <row r="28"/>
    <row r="29">
      <c r="A29" s="10" t="inlineStr">
        <is>
          <t>13 weeks, week by week</t>
        </is>
      </c>
    </row>
    <row r="30">
      <c r="A30" s="4" t="inlineStr">
        <is>
          <t>Week ending</t>
        </is>
      </c>
      <c r="B30" s="5" t="inlineStr">
        <is>
          <t>Cash at start</t>
        </is>
      </c>
      <c r="C30" s="5" t="inlineStr">
        <is>
          <t>Unpaid invoices collected</t>
        </is>
      </c>
      <c r="D30" s="5" t="inlineStr">
        <is>
          <t>New work collected</t>
        </is>
      </c>
      <c r="E30" s="5" t="inlineStr">
        <is>
          <t>Wages</t>
        </is>
      </c>
      <c r="F30" s="5" t="inlineStr">
        <is>
          <t>Suppliers and overheads</t>
        </is>
      </c>
      <c r="G30" s="5" t="inlineStr">
        <is>
          <t>Tax, interest and finance</t>
        </is>
      </c>
      <c r="H30" s="5" t="inlineStr">
        <is>
          <t>Cash at end</t>
        </is>
      </c>
      <c r="I30" s="5" t="inlineStr">
        <is>
          <t>Lowest in the week</t>
        </is>
      </c>
    </row>
    <row r="31">
      <c r="A31" s="11" t="inlineStr">
        <is>
          <t>13 Oct</t>
        </is>
      </c>
      <c r="B31" s="12" t="inlineStr">
        <is>
          <t>$47,244</t>
        </is>
      </c>
      <c r="C31" s="12" t="inlineStr">
        <is>
          <t>$90,790</t>
        </is>
      </c>
      <c r="D31" s="12" t="inlineStr">
        <is>
          <t>$0</t>
        </is>
      </c>
      <c r="E31" s="12" t="inlineStr">
        <is>
          <t>$0</t>
        </is>
      </c>
      <c r="F31" s="12" t="inlineStr">
        <is>
          <t>$0</t>
        </is>
      </c>
      <c r="G31" s="12" t="inlineStr">
        <is>
          <t>$0</t>
        </is>
      </c>
      <c r="H31" s="12" t="inlineStr">
        <is>
          <t>$138,034</t>
        </is>
      </c>
      <c r="I31" s="12" t="inlineStr">
        <is>
          <t>$47,244</t>
        </is>
      </c>
    </row>
    <row r="32">
      <c r="A32" s="11" t="inlineStr">
        <is>
          <t>20 Oct</t>
        </is>
      </c>
      <c r="B32" s="12" t="inlineStr">
        <is>
          <t>$138,034</t>
        </is>
      </c>
      <c r="C32" s="12" t="inlineStr">
        <is>
          <t>$12,900</t>
        </is>
      </c>
      <c r="D32" s="12" t="inlineStr">
        <is>
          <t>$6,454</t>
        </is>
      </c>
      <c r="E32" s="12" t="inlineStr">
        <is>
          <t>($38,250)</t>
        </is>
      </c>
      <c r="F32" s="12" t="inlineStr">
        <is>
          <t>($55,080)</t>
        </is>
      </c>
      <c r="G32" s="12" t="inlineStr">
        <is>
          <t>$0</t>
        </is>
      </c>
      <c r="H32" s="12" t="inlineStr">
        <is>
          <t>$64,058</t>
        </is>
      </c>
      <c r="I32" s="12" t="inlineStr">
        <is>
          <t>$47,285</t>
        </is>
      </c>
    </row>
    <row r="33">
      <c r="A33" s="11" t="inlineStr">
        <is>
          <t>27 Oct</t>
        </is>
      </c>
      <c r="B33" s="12" t="inlineStr">
        <is>
          <t>$64,058</t>
        </is>
      </c>
      <c r="C33" s="12" t="inlineStr">
        <is>
          <t>$9,800</t>
        </is>
      </c>
      <c r="D33" s="12" t="inlineStr">
        <is>
          <t>$6,454</t>
        </is>
      </c>
      <c r="E33" s="12" t="inlineStr">
        <is>
          <t>$0</t>
        </is>
      </c>
      <c r="F33" s="12" t="inlineStr">
        <is>
          <t>$0</t>
        </is>
      </c>
      <c r="G33" s="12" t="inlineStr">
        <is>
          <t>$0</t>
        </is>
      </c>
      <c r="H33" s="12" t="inlineStr">
        <is>
          <t>$80,311</t>
        </is>
      </c>
      <c r="I33" s="12" t="inlineStr">
        <is>
          <t>$65,348</t>
        </is>
      </c>
    </row>
    <row r="34">
      <c r="A34" s="11" t="inlineStr">
        <is>
          <t>3 Nov</t>
        </is>
      </c>
      <c r="B34" s="12" t="inlineStr">
        <is>
          <t>$80,311</t>
        </is>
      </c>
      <c r="C34" s="12" t="inlineStr">
        <is>
          <t>$88,700</t>
        </is>
      </c>
      <c r="D34" s="12" t="inlineStr">
        <is>
          <t>$6,454</t>
        </is>
      </c>
      <c r="E34" s="12" t="inlineStr">
        <is>
          <t>($38,250)</t>
        </is>
      </c>
      <c r="F34" s="12" t="inlineStr">
        <is>
          <t>($55,080)</t>
        </is>
      </c>
      <c r="G34" s="12" t="inlineStr">
        <is>
          <t>($13,097)</t>
        </is>
      </c>
      <c r="H34" s="12" t="inlineStr">
        <is>
          <t>$69,038</t>
        </is>
      </c>
      <c r="I34" s="12" t="inlineStr">
        <is>
          <t>$47,826</t>
        </is>
      </c>
    </row>
    <row r="35">
      <c r="A35" s="11" t="inlineStr">
        <is>
          <t>10 Nov</t>
        </is>
      </c>
      <c r="B35" s="12" t="inlineStr">
        <is>
          <t>$69,038</t>
        </is>
      </c>
      <c r="C35" s="12" t="inlineStr">
        <is>
          <t>$0</t>
        </is>
      </c>
      <c r="D35" s="12" t="inlineStr">
        <is>
          <t>$23,176</t>
        </is>
      </c>
      <c r="E35" s="12" t="inlineStr">
        <is>
          <t>$0</t>
        </is>
      </c>
      <c r="F35" s="12" t="inlineStr">
        <is>
          <t>$0</t>
        </is>
      </c>
      <c r="G35" s="12" t="inlineStr">
        <is>
          <t>$0</t>
        </is>
      </c>
      <c r="H35" s="12" t="inlineStr">
        <is>
          <t>$92,215</t>
        </is>
      </c>
      <c r="I35" s="12" t="inlineStr">
        <is>
          <t>$70,329</t>
        </is>
      </c>
    </row>
    <row r="36">
      <c r="A36" s="11" t="inlineStr">
        <is>
          <t>17 Nov</t>
        </is>
      </c>
      <c r="B36" s="12" t="inlineStr">
        <is>
          <t>$92,215</t>
        </is>
      </c>
      <c r="C36" s="12" t="inlineStr">
        <is>
          <t>$0</t>
        </is>
      </c>
      <c r="D36" s="12" t="inlineStr">
        <is>
          <t>$34,325</t>
        </is>
      </c>
      <c r="E36" s="12" t="inlineStr">
        <is>
          <t>($38,250)</t>
        </is>
      </c>
      <c r="F36" s="12" t="inlineStr">
        <is>
          <t>($55,080)</t>
        </is>
      </c>
      <c r="G36" s="12" t="inlineStr">
        <is>
          <t>$0</t>
        </is>
      </c>
      <c r="H36" s="12" t="inlineStr">
        <is>
          <t>$33,210</t>
        </is>
      </c>
      <c r="I36" s="12" t="inlineStr">
        <is>
          <t>$31,919</t>
        </is>
      </c>
    </row>
    <row r="37">
      <c r="A37" s="11" t="inlineStr">
        <is>
          <t>24 Nov</t>
        </is>
      </c>
      <c r="B37" s="12" t="inlineStr">
        <is>
          <t>$33,210</t>
        </is>
      </c>
      <c r="C37" s="12" t="inlineStr">
        <is>
          <t>$0</t>
        </is>
      </c>
      <c r="D37" s="12" t="inlineStr">
        <is>
          <t>$34,325</t>
        </is>
      </c>
      <c r="E37" s="12" t="inlineStr">
        <is>
          <t>$0</t>
        </is>
      </c>
      <c r="F37" s="12" t="inlineStr">
        <is>
          <t>$0</t>
        </is>
      </c>
      <c r="G37" s="12" t="inlineStr">
        <is>
          <t>$0</t>
        </is>
      </c>
      <c r="H37" s="12" t="inlineStr">
        <is>
          <t>$67,534</t>
        </is>
      </c>
      <c r="I37" s="12" t="inlineStr">
        <is>
          <t>$40,074</t>
        </is>
      </c>
    </row>
    <row r="38">
      <c r="A38" s="11" t="inlineStr">
        <is>
          <t>1 Dec</t>
        </is>
      </c>
      <c r="B38" s="12" t="inlineStr">
        <is>
          <t>$67,534</t>
        </is>
      </c>
      <c r="C38" s="12" t="inlineStr">
        <is>
          <t>$0</t>
        </is>
      </c>
      <c r="D38" s="12" t="inlineStr">
        <is>
          <t>$74,825</t>
        </is>
      </c>
      <c r="E38" s="12" t="inlineStr">
        <is>
          <t>($38,250)</t>
        </is>
      </c>
      <c r="F38" s="12" t="inlineStr">
        <is>
          <t>($55,080)</t>
        </is>
      </c>
      <c r="G38" s="12" t="inlineStr">
        <is>
          <t>($6,080)</t>
        </is>
      </c>
      <c r="H38" s="12" t="inlineStr">
        <is>
          <t>$42,949</t>
        </is>
      </c>
      <c r="I38" s="12" t="inlineStr">
        <is>
          <t>$1,159</t>
        </is>
      </c>
    </row>
    <row r="39">
      <c r="A39" s="11" t="inlineStr">
        <is>
          <t>8 Dec</t>
        </is>
      </c>
      <c r="B39" s="12" t="inlineStr">
        <is>
          <t>$42,949</t>
        </is>
      </c>
      <c r="C39" s="12" t="inlineStr">
        <is>
          <t>$0</t>
        </is>
      </c>
      <c r="D39" s="12" t="inlineStr">
        <is>
          <t>$34,325</t>
        </is>
      </c>
      <c r="E39" s="12" t="inlineStr">
        <is>
          <t>$0</t>
        </is>
      </c>
      <c r="F39" s="12" t="inlineStr">
        <is>
          <t>$0</t>
        </is>
      </c>
      <c r="G39" s="12" t="inlineStr">
        <is>
          <t>$0</t>
        </is>
      </c>
      <c r="H39" s="12" t="inlineStr">
        <is>
          <t>$77,274</t>
        </is>
      </c>
      <c r="I39" s="12" t="inlineStr">
        <is>
          <t>$49,814</t>
        </is>
      </c>
    </row>
    <row r="40">
      <c r="A40" s="11" t="inlineStr">
        <is>
          <t>15 Dec</t>
        </is>
      </c>
      <c r="B40" s="12" t="inlineStr">
        <is>
          <t>$77,274</t>
        </is>
      </c>
      <c r="C40" s="12" t="inlineStr">
        <is>
          <t>$0</t>
        </is>
      </c>
      <c r="D40" s="12" t="inlineStr">
        <is>
          <t>$34,325</t>
        </is>
      </c>
      <c r="E40" s="12" t="inlineStr">
        <is>
          <t>($38,250)</t>
        </is>
      </c>
      <c r="F40" s="12" t="inlineStr">
        <is>
          <t>($55,080)</t>
        </is>
      </c>
      <c r="G40" s="12" t="inlineStr">
        <is>
          <t>$0</t>
        </is>
      </c>
      <c r="H40" s="12" t="inlineStr">
        <is>
          <t>$18,269</t>
        </is>
      </c>
      <c r="I40" s="12" t="inlineStr">
        <is>
          <t>$18,269</t>
        </is>
      </c>
    </row>
    <row r="41">
      <c r="A41" s="11" t="inlineStr">
        <is>
          <t>22 Dec</t>
        </is>
      </c>
      <c r="B41" s="12" t="inlineStr">
        <is>
          <t>$18,269</t>
        </is>
      </c>
      <c r="C41" s="12" t="inlineStr">
        <is>
          <t>$0</t>
        </is>
      </c>
      <c r="D41" s="12" t="inlineStr">
        <is>
          <t>$34,325</t>
        </is>
      </c>
      <c r="E41" s="12" t="inlineStr">
        <is>
          <t>$0</t>
        </is>
      </c>
      <c r="F41" s="12" t="inlineStr">
        <is>
          <t>$0</t>
        </is>
      </c>
      <c r="G41" s="12" t="inlineStr">
        <is>
          <t>$0</t>
        </is>
      </c>
      <c r="H41" s="12" t="inlineStr">
        <is>
          <t>$52,594</t>
        </is>
      </c>
      <c r="I41" s="12" t="inlineStr">
        <is>
          <t>$25,134</t>
        </is>
      </c>
    </row>
    <row r="42">
      <c r="A42" s="11" t="inlineStr">
        <is>
          <t>29 Dec</t>
        </is>
      </c>
      <c r="B42" s="12" t="inlineStr">
        <is>
          <t>$52,594</t>
        </is>
      </c>
      <c r="C42" s="12" t="inlineStr">
        <is>
          <t>$0</t>
        </is>
      </c>
      <c r="D42" s="12" t="inlineStr">
        <is>
          <t>$34,325</t>
        </is>
      </c>
      <c r="E42" s="12" t="inlineStr">
        <is>
          <t>($38,250)</t>
        </is>
      </c>
      <c r="F42" s="12" t="inlineStr">
        <is>
          <t>$0</t>
        </is>
      </c>
      <c r="G42" s="12" t="inlineStr">
        <is>
          <t>($5,000)</t>
        </is>
      </c>
      <c r="H42" s="12" t="inlineStr">
        <is>
          <t>$43,669</t>
        </is>
      </c>
      <c r="I42" s="12" t="inlineStr">
        <is>
          <t>$28,074</t>
        </is>
      </c>
    </row>
    <row r="43">
      <c r="A43" s="11" t="inlineStr">
        <is>
          <t>5 Jan</t>
        </is>
      </c>
      <c r="B43" s="12" t="inlineStr">
        <is>
          <t>$43,669</t>
        </is>
      </c>
      <c r="C43" s="12" t="inlineStr">
        <is>
          <t>$0</t>
        </is>
      </c>
      <c r="D43" s="12" t="inlineStr">
        <is>
          <t>$74,825</t>
        </is>
      </c>
      <c r="E43" s="12" t="inlineStr">
        <is>
          <t>$0</t>
        </is>
      </c>
      <c r="F43" s="12" t="inlineStr">
        <is>
          <t>($55,080)</t>
        </is>
      </c>
      <c r="G43" s="12" t="inlineStr">
        <is>
          <t>($1,080)</t>
        </is>
      </c>
      <c r="H43" s="12" t="inlineStr">
        <is>
          <t>$62,334</t>
        </is>
      </c>
      <c r="I43" s="12" t="inlineStr">
        <is>
          <t>$41,739</t>
        </is>
      </c>
    </row>
    <row r="44"/>
    <row r="45">
      <c r="A45" s="10" t="inlineStr">
        <is>
          <t>Invoices past the customer's usual payment date ($70,404)</t>
        </is>
      </c>
    </row>
    <row r="46">
      <c r="A46" s="4" t="inlineStr">
        <is>
          <t>Customer or job</t>
        </is>
      </c>
      <c r="B46" s="5" t="inlineStr">
        <is>
          <t>Invoiced</t>
        </is>
      </c>
      <c r="C46" s="5" t="inlineStr">
        <is>
          <t>Amount</t>
        </is>
      </c>
      <c r="D46" s="5" t="inlineStr">
        <is>
          <t>Usually pays in (days)</t>
        </is>
      </c>
      <c r="E46" s="5" t="inlineStr">
        <is>
          <t>Days since invoiced</t>
        </is>
      </c>
    </row>
    <row r="47">
      <c r="A47" s="11" t="inlineStr">
        <is>
          <t>Wacol warehouse switchboard</t>
        </is>
      </c>
      <c r="B47" s="12" t="inlineStr">
        <is>
          <t>4 Sep</t>
        </is>
      </c>
      <c r="C47" s="12" t="inlineStr">
        <is>
          <t>$46,800</t>
        </is>
      </c>
      <c r="D47" s="12" t="inlineStr">
        <is>
          <t>30</t>
        </is>
      </c>
      <c r="E47" s="12" t="inlineStr">
        <is>
          <t>32</t>
        </is>
      </c>
    </row>
    <row r="48">
      <c r="A48" s="11" t="inlineStr">
        <is>
          <t>Milton office tower</t>
        </is>
      </c>
      <c r="B48" s="12" t="inlineStr">
        <is>
          <t>1 Sep</t>
        </is>
      </c>
      <c r="C48" s="12" t="inlineStr">
        <is>
          <t>$4,200</t>
        </is>
      </c>
      <c r="D48" s="12" t="inlineStr">
        <is>
          <t>30</t>
        </is>
      </c>
      <c r="E48" s="12" t="inlineStr">
        <is>
          <t>35</t>
        </is>
      </c>
    </row>
    <row r="49">
      <c r="A49" s="11" t="inlineStr">
        <is>
          <t>Rocklea factory</t>
        </is>
      </c>
      <c r="B49" s="12" t="inlineStr">
        <is>
          <t>1 Sep</t>
        </is>
      </c>
      <c r="C49" s="12" t="inlineStr">
        <is>
          <t>$3,900</t>
        </is>
      </c>
      <c r="D49" s="12" t="inlineStr">
        <is>
          <t>30</t>
        </is>
      </c>
      <c r="E49" s="12" t="inlineStr">
        <is>
          <t>35</t>
        </is>
      </c>
    </row>
    <row r="50">
      <c r="A50" s="11" t="inlineStr">
        <is>
          <t>Bulimba school</t>
        </is>
      </c>
      <c r="B50" s="12" t="inlineStr">
        <is>
          <t>1 Sep</t>
        </is>
      </c>
      <c r="C50" s="12" t="inlineStr">
        <is>
          <t>$2,800</t>
        </is>
      </c>
      <c r="D50" s="12" t="inlineStr">
        <is>
          <t>30</t>
        </is>
      </c>
      <c r="E50" s="12" t="inlineStr">
        <is>
          <t>35</t>
        </is>
      </c>
    </row>
    <row r="51">
      <c r="A51" s="11" t="inlineStr">
        <is>
          <t>West End brewery</t>
        </is>
      </c>
      <c r="B51" s="12" t="inlineStr">
        <is>
          <t>1 Sep</t>
        </is>
      </c>
      <c r="C51" s="12" t="inlineStr">
        <is>
          <t>$2,600</t>
        </is>
      </c>
      <c r="D51" s="12" t="inlineStr">
        <is>
          <t>30</t>
        </is>
      </c>
      <c r="E51" s="12" t="inlineStr">
        <is>
          <t>35</t>
        </is>
      </c>
    </row>
    <row r="52">
      <c r="A52" s="11" t="inlineStr">
        <is>
          <t>Kangaroo Point townhouses</t>
        </is>
      </c>
      <c r="B52" s="12" t="inlineStr">
        <is>
          <t>1 Sep</t>
        </is>
      </c>
      <c r="C52" s="12" t="inlineStr">
        <is>
          <t>$2,400</t>
        </is>
      </c>
      <c r="D52" s="12" t="inlineStr">
        <is>
          <t>30</t>
        </is>
      </c>
      <c r="E52" s="12" t="inlineStr">
        <is>
          <t>35</t>
        </is>
      </c>
    </row>
    <row r="53">
      <c r="A53" s="11" t="inlineStr">
        <is>
          <t>Newstead gym</t>
        </is>
      </c>
      <c r="B53" s="12" t="inlineStr">
        <is>
          <t>1 Sep</t>
        </is>
      </c>
      <c r="C53" s="12" t="inlineStr">
        <is>
          <t>$1,600</t>
        </is>
      </c>
      <c r="D53" s="12" t="inlineStr">
        <is>
          <t>30</t>
        </is>
      </c>
      <c r="E53" s="12" t="inlineStr">
        <is>
          <t>35</t>
        </is>
      </c>
    </row>
    <row r="54">
      <c r="A54" s="11" t="inlineStr">
        <is>
          <t>Call-out 15, September</t>
        </is>
      </c>
      <c r="B54" s="12" t="inlineStr">
        <is>
          <t>15 Sep</t>
        </is>
      </c>
      <c r="C54" s="12" t="inlineStr">
        <is>
          <t>$775</t>
        </is>
      </c>
      <c r="D54" s="12" t="inlineStr">
        <is>
          <t>7</t>
        </is>
      </c>
      <c r="E54" s="12" t="inlineStr">
        <is>
          <t>21</t>
        </is>
      </c>
    </row>
    <row r="55">
      <c r="A55" s="11" t="inlineStr">
        <is>
          <t>Call-out 9, September</t>
        </is>
      </c>
      <c r="B55" s="12" t="inlineStr">
        <is>
          <t>22 Sep</t>
        </is>
      </c>
      <c r="C55" s="12" t="inlineStr">
        <is>
          <t>$762</t>
        </is>
      </c>
      <c r="D55" s="12" t="inlineStr">
        <is>
          <t>7</t>
        </is>
      </c>
      <c r="E55" s="12" t="inlineStr">
        <is>
          <t>14</t>
        </is>
      </c>
    </row>
    <row r="56">
      <c r="A56" s="11" t="inlineStr">
        <is>
          <t>Call-out 32, September</t>
        </is>
      </c>
      <c r="B56" s="12" t="inlineStr">
        <is>
          <t>21 Sep</t>
        </is>
      </c>
      <c r="C56" s="12" t="inlineStr">
        <is>
          <t>$597</t>
        </is>
      </c>
      <c r="D56" s="12" t="inlineStr">
        <is>
          <t>7</t>
        </is>
      </c>
      <c r="E56" s="12" t="inlineStr">
        <is>
          <t>15</t>
        </is>
      </c>
    </row>
    <row r="57"/>
    <row r="58"/>
  </sheetData>
  <mergeCells count="3">
    <mergeCell ref="A5:D5"/>
    <mergeCell ref="A17:D17"/>
    <mergeCell ref="A14:D14"/>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1" manualBreakCount="1">
    <brk id="28" min="0" max="16383" man="1"/>
  </rowBreaks>
</worksheet>
</file>

<file path=xl/worksheets/sheet2.xml><?xml version="1.0" encoding="utf-8"?>
<worksheet xmlns="http://schemas.openxmlformats.org/spreadsheetml/2006/main">
  <sheetPr>
    <outlinePr summaryBelow="1" summaryRight="1"/>
    <pageSetUpPr fitToPage="1"/>
  </sheetPr>
  <dimension ref="A1:B8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13" t="inlineStr">
        <is>
          <t>Cash at bank, 2pm on 6 October</t>
        </is>
      </c>
    </row>
    <row r="6">
      <c r="A6" s="9" t="inlineStr">
        <is>
          <t>Opening balance + every day's money in − money out</t>
        </is>
      </c>
    </row>
    <row r="7">
      <c r="A7" s="4" t="inlineStr"/>
      <c r="B7" s="5" t="inlineStr">
        <is>
          <t>6 Oct</t>
        </is>
      </c>
    </row>
    <row r="8">
      <c r="A8" t="inlineStr">
        <is>
          <t>Cash at bank, 31 July (opening balance)</t>
        </is>
      </c>
      <c r="B8" s="14" t="n">
        <v>88000</v>
      </c>
    </row>
    <row r="9">
      <c r="A9" t="inlineStr">
        <is>
          <t>Money in, 1 August to 6 October</t>
        </is>
      </c>
      <c r="B9" s="14" t="n">
        <v>363114</v>
      </c>
    </row>
    <row r="10">
      <c r="A10" t="inlineStr">
        <is>
          <t>Money out, 1 August to 6 October</t>
        </is>
      </c>
      <c r="B10" s="14" t="n">
        <v>-403870</v>
      </c>
    </row>
    <row r="11">
      <c r="A11" s="15" t="inlineStr">
        <is>
          <t>Cash at bank</t>
        </is>
      </c>
      <c r="B11" s="16">
        <f>B8+B9+B10</f>
        <v/>
      </c>
    </row>
    <row r="12">
      <c r="A12" s="2" t="inlineStr">
        <is>
          <t>From the bank feed; ties to the ledger.</t>
        </is>
      </c>
    </row>
    <row r="13"/>
    <row r="14"/>
    <row r="15">
      <c r="A15" s="13" t="inlineStr">
        <is>
          <t>Pay runs in November</t>
        </is>
      </c>
    </row>
    <row r="16">
      <c r="A16" s="9" t="inlineStr">
        <is>
          <t>Number of fortnightly pay runs × the last pay run</t>
        </is>
      </c>
    </row>
    <row r="17">
      <c r="A17" s="4" t="inlineStr"/>
      <c r="B17" s="5" t="inlineStr">
        <is>
          <t>November</t>
        </is>
      </c>
    </row>
    <row r="18">
      <c r="A18" t="inlineStr">
        <is>
          <t>Last pay run (1 October)</t>
        </is>
      </c>
      <c r="B18" s="14" t="n">
        <v>38250</v>
      </c>
    </row>
    <row r="19">
      <c r="A19" t="inlineStr">
        <is>
          <t>Pay runs in November (12 Nov, 26 Nov)</t>
        </is>
      </c>
      <c r="B19" s="14" t="n">
        <v>2</v>
      </c>
    </row>
    <row r="20">
      <c r="A20" s="15" t="inlineStr">
        <is>
          <t>Wages paid in November</t>
        </is>
      </c>
      <c r="B20" s="16">
        <f>B18*B19</f>
        <v/>
      </c>
    </row>
    <row r="21">
      <c r="A21" s="2" t="inlineStr">
        <is>
          <t>Wages include all on-costs. Fortnightly pay means two months a year have three pay runs.</t>
        </is>
      </c>
    </row>
    <row r="22"/>
    <row r="23"/>
    <row r="24">
      <c r="A24" s="13" t="inlineStr">
        <is>
          <t>Forecast cash at bank, 26 Nov 2026</t>
        </is>
      </c>
    </row>
    <row r="25">
      <c r="A25" s="9" t="inlineStr">
        <is>
          <t>Yesterday's cash + money in − money out</t>
        </is>
      </c>
    </row>
    <row r="26">
      <c r="A26" s="4" t="inlineStr"/>
      <c r="B26" s="5" t="inlineStr">
        <is>
          <t>26 Nov</t>
        </is>
      </c>
    </row>
    <row r="27">
      <c r="A27" t="inlineStr">
        <is>
          <t>Cash at bank, end of the day before</t>
        </is>
      </c>
      <c r="B27" s="14" t="n">
        <v>74399.4090909092</v>
      </c>
    </row>
    <row r="28">
      <c r="A28" t="inlineStr">
        <is>
          <t>Unpaid invoices expected</t>
        </is>
      </c>
      <c r="B28" s="14" t="n">
        <v>0</v>
      </c>
    </row>
    <row r="29">
      <c r="A29" t="inlineStr">
        <is>
          <t>New work expected to be paid</t>
        </is>
      </c>
      <c r="B29" s="14" t="n">
        <v>6864.984848484848</v>
      </c>
    </row>
    <row r="30">
      <c r="A30" t="inlineStr">
        <is>
          <t>Pay run</t>
        </is>
      </c>
      <c r="B30" s="14" t="n">
        <v>-38250</v>
      </c>
    </row>
    <row r="31">
      <c r="A31" t="inlineStr">
        <is>
          <t>Suppliers and overheads</t>
        </is>
      </c>
      <c r="B31" s="14" t="n">
        <v>0</v>
      </c>
    </row>
    <row r="32">
      <c r="A32" t="inlineStr">
        <is>
          <t>Tax, interest and equipment finance</t>
        </is>
      </c>
      <c r="B32" s="14" t="n">
        <v>0</v>
      </c>
    </row>
    <row r="33">
      <c r="A33" s="15" t="inlineStr">
        <is>
          <t>Cash at bank, end of the day</t>
        </is>
      </c>
      <c r="B33" s="16">
        <f>B27+B28+B29+B30+B31+B32</f>
        <v/>
      </c>
    </row>
    <row r="34">
      <c r="A34" s="2" t="inlineStr">
        <is>
          <t>Forecast.</t>
        </is>
      </c>
    </row>
    <row r="35"/>
    <row r="36"/>
    <row r="37">
      <c r="A37" s="13" t="inlineStr">
        <is>
          <t>Forecast cash at bank, 30 Nov 2026</t>
        </is>
      </c>
    </row>
    <row r="38">
      <c r="A38" s="9" t="inlineStr">
        <is>
          <t>Yesterday's cash + money in − money out</t>
        </is>
      </c>
    </row>
    <row r="39">
      <c r="A39" s="4" t="inlineStr"/>
      <c r="B39" s="5" t="inlineStr">
        <is>
          <t>30 Nov</t>
        </is>
      </c>
    </row>
    <row r="40">
      <c r="A40" t="inlineStr">
        <is>
          <t>Cash at bank, end of the day before</t>
        </is>
      </c>
      <c r="B40" s="14" t="n">
        <v>61027.86363636375</v>
      </c>
    </row>
    <row r="41">
      <c r="A41" t="inlineStr">
        <is>
          <t>Unpaid invoices expected</t>
        </is>
      </c>
      <c r="B41" s="14" t="n">
        <v>0</v>
      </c>
    </row>
    <row r="42">
      <c r="A42" t="inlineStr">
        <is>
          <t>New work expected to be paid</t>
        </is>
      </c>
      <c r="B42" s="14" t="n">
        <v>1290.742424242424</v>
      </c>
    </row>
    <row r="43">
      <c r="A43" t="inlineStr">
        <is>
          <t>Pay run</t>
        </is>
      </c>
      <c r="B43" s="14" t="n">
        <v>0</v>
      </c>
    </row>
    <row r="44">
      <c r="A44" t="inlineStr">
        <is>
          <t>Suppliers and overheads</t>
        </is>
      </c>
      <c r="B44" s="14" t="n">
        <v>-55080</v>
      </c>
    </row>
    <row r="45">
      <c r="A45" t="inlineStr">
        <is>
          <t>Tax, interest and equipment finance</t>
        </is>
      </c>
      <c r="B45" s="14" t="n">
        <v>-6080</v>
      </c>
    </row>
    <row r="46">
      <c r="A46" s="15" t="inlineStr">
        <is>
          <t>Cash at bank, end of the day</t>
        </is>
      </c>
      <c r="B46" s="16">
        <f>B40+B41+B42+B43+B44+B45</f>
        <v/>
      </c>
    </row>
    <row r="47">
      <c r="A47" s="2" t="inlineStr">
        <is>
          <t>Forecast.</t>
        </is>
      </c>
    </row>
    <row r="48"/>
    <row r="49"/>
    <row r="50">
      <c r="A50" s="13" t="inlineStr">
        <is>
          <t>Unpaid invoices collected in November</t>
        </is>
      </c>
    </row>
    <row r="51">
      <c r="A51" s="9" t="inlineStr">
        <is>
          <t>Each invoice unpaid at the start, on its customer's usual payment date</t>
        </is>
      </c>
    </row>
    <row r="52">
      <c r="A52" s="4" t="inlineStr"/>
      <c r="B52" s="5" t="inlineStr">
        <is>
          <t>November</t>
        </is>
      </c>
    </row>
    <row r="53">
      <c r="A53" s="15" t="inlineStr">
        <is>
          <t>Expected in the month</t>
        </is>
      </c>
      <c r="B53" s="16" t="n">
        <v>33000</v>
      </c>
    </row>
    <row r="54">
      <c r="A54" s="2" t="inlineStr">
        <is>
          <t>42 invoices unpaid at 2pm on 6 October; overdue ones assumed a week from then.</t>
        </is>
      </c>
    </row>
    <row r="55"/>
    <row r="56"/>
    <row r="57">
      <c r="A57" s="13" t="inlineStr">
        <is>
          <t>New work collected in November</t>
        </is>
      </c>
    </row>
    <row r="58">
      <c r="A58" s="9" t="inlineStr">
        <is>
          <t>Contract fees (1st of the month, on each contract's terms) + installations and call-outs at the last three months' run rate</t>
        </is>
      </c>
    </row>
    <row r="59">
      <c r="A59" s="4" t="inlineStr"/>
      <c r="B59" s="5" t="inlineStr">
        <is>
          <t>November</t>
        </is>
      </c>
    </row>
    <row r="60">
      <c r="A60" s="15" t="inlineStr">
        <is>
          <t>Expected in the month</t>
        </is>
      </c>
      <c r="B60" s="16" t="n">
        <v>127442</v>
      </c>
    </row>
    <row r="61">
      <c r="A61" s="2" t="inlineStr">
        <is>
          <t>Run rate from July, August, September.</t>
        </is>
      </c>
    </row>
    <row r="62"/>
    <row r="63"/>
    <row r="64">
      <c r="A64" s="13" t="inlineStr">
        <is>
          <t>Pay runs in November</t>
        </is>
      </c>
    </row>
    <row r="65">
      <c r="A65" s="9" t="inlineStr">
        <is>
          <t>Number of fortnightly pay runs × the last pay run</t>
        </is>
      </c>
    </row>
    <row r="66">
      <c r="A66" s="4" t="inlineStr"/>
      <c r="B66" s="5" t="inlineStr">
        <is>
          <t>November</t>
        </is>
      </c>
    </row>
    <row r="67">
      <c r="A67" t="inlineStr">
        <is>
          <t>Last pay run (1 October)</t>
        </is>
      </c>
      <c r="B67" s="14" t="n">
        <v>38250</v>
      </c>
    </row>
    <row r="68">
      <c r="A68" t="inlineStr">
        <is>
          <t>Pay runs in November (12 Nov, 26 Nov)</t>
        </is>
      </c>
      <c r="B68" s="14" t="n">
        <v>2</v>
      </c>
    </row>
    <row r="69">
      <c r="A69" s="15" t="inlineStr">
        <is>
          <t>Wages paid in November</t>
        </is>
      </c>
      <c r="B69" s="16">
        <f>B67*B68</f>
        <v/>
      </c>
    </row>
    <row r="70">
      <c r="A70" s="2" t="inlineStr">
        <is>
          <t>Wages include all on-costs. Fortnightly pay means two months a year have three pay runs.</t>
        </is>
      </c>
    </row>
    <row r="71"/>
    <row r="72"/>
    <row r="73">
      <c r="A73" s="13" t="inlineStr">
        <is>
          <t>Suppliers and overheads in November</t>
        </is>
      </c>
    </row>
    <row r="74">
      <c r="A74" s="9" t="inlineStr">
        <is>
          <t>Last month's bills (trade creditors) + the month's overheads, paid on the 15th and at month end</t>
        </is>
      </c>
    </row>
    <row r="75">
      <c r="A75" s="4" t="inlineStr"/>
      <c r="B75" s="5" t="inlineStr">
        <is>
          <t>November</t>
        </is>
      </c>
    </row>
    <row r="76">
      <c r="A76" t="inlineStr">
        <is>
          <t>Bills owed for October's materials and subcontractors (estimate: the latest month's)</t>
        </is>
      </c>
      <c r="B76" s="14" t="n">
        <v>78060</v>
      </c>
    </row>
    <row r="77">
      <c r="A77" t="inlineStr">
        <is>
          <t>Overheads (at September's level)</t>
        </is>
      </c>
      <c r="B77" s="14" t="n">
        <v>32100</v>
      </c>
    </row>
    <row r="78">
      <c r="A78" s="15" t="inlineStr">
        <is>
          <t>Paid in the month</t>
        </is>
      </c>
      <c r="B78" s="16">
        <f>B76+B77</f>
        <v/>
      </c>
    </row>
    <row r="79"/>
    <row r="80"/>
    <row r="81">
      <c r="A81" s="13" t="inlineStr">
        <is>
          <t>Tax, interest and equipment finance in November</t>
        </is>
      </c>
    </row>
    <row r="82">
      <c r="A82" s="9" t="inlineStr">
        <is>
          <t>Interest + equipment finance repayment (+ the PAYG instalment in Jan, Apr, Jul, Oct)</t>
        </is>
      </c>
    </row>
    <row r="83">
      <c r="A83" s="4" t="inlineStr"/>
      <c r="B83" s="5" t="inlineStr">
        <is>
          <t>November</t>
        </is>
      </c>
    </row>
    <row r="84">
      <c r="A84" s="15" t="inlineStr">
        <is>
          <t>Paid in the month</t>
        </is>
      </c>
      <c r="B84" s="16" t="n">
        <v>7160</v>
      </c>
    </row>
    <row r="85"/>
    <row r="86"/>
    <row r="87"/>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3" manualBreakCount="3">
    <brk id="23" min="0" max="16383" man="1"/>
    <brk id="49" min="0" max="16383" man="1"/>
    <brk id="80"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t>
        </is>
      </c>
    </row>
    <row r="3">
      <c r="A3" s="2" t="inlineStr">
        <is>
          <t>Period: October 2026 to date · Data status: Sep 2026 locked · Oct 2026 incomplete (data retrieved 2pm, Tue 6 Oct 2026)</t>
        </is>
      </c>
    </row>
    <row r="4"/>
    <row r="5">
      <c r="A5" s="4" t="inlineStr">
        <is>
          <t>Date</t>
        </is>
      </c>
      <c r="B5" s="5" t="inlineStr">
        <is>
          <t>Actual or forecast</t>
        </is>
      </c>
      <c r="C5" s="5" t="inlineStr">
        <is>
          <t>Money in</t>
        </is>
      </c>
      <c r="D5" s="5" t="inlineStr">
        <is>
          <t>Money out</t>
        </is>
      </c>
      <c r="E5" s="5" t="inlineStr">
        <is>
          <t>Cash at bank</t>
        </is>
      </c>
    </row>
    <row r="6">
      <c r="A6" s="17" t="inlineStr">
        <is>
          <t>2026-10-07</t>
        </is>
      </c>
      <c r="B6" s="17" t="inlineStr">
        <is>
          <t>Forecast</t>
        </is>
      </c>
      <c r="C6" s="14" t="n">
        <v>0</v>
      </c>
      <c r="D6" s="14" t="n">
        <v>0</v>
      </c>
      <c r="E6" s="14" t="n">
        <v>47244</v>
      </c>
    </row>
    <row r="7">
      <c r="A7" s="17" t="inlineStr">
        <is>
          <t>2026-10-08</t>
        </is>
      </c>
      <c r="B7" s="17" t="inlineStr">
        <is>
          <t>Forecast</t>
        </is>
      </c>
      <c r="C7" s="14" t="n">
        <v>684</v>
      </c>
      <c r="D7" s="14" t="n">
        <v>0</v>
      </c>
      <c r="E7" s="14" t="n">
        <v>47928</v>
      </c>
    </row>
    <row r="8">
      <c r="A8" s="17" t="inlineStr">
        <is>
          <t>2026-10-09</t>
        </is>
      </c>
      <c r="B8" s="17" t="inlineStr">
        <is>
          <t>Forecast</t>
        </is>
      </c>
      <c r="C8" s="14" t="n">
        <v>19210</v>
      </c>
      <c r="D8" s="14" t="n">
        <v>0</v>
      </c>
      <c r="E8" s="14" t="n">
        <v>67138</v>
      </c>
    </row>
    <row r="9">
      <c r="A9" s="17" t="inlineStr">
        <is>
          <t>2026-10-10</t>
        </is>
      </c>
      <c r="B9" s="17" t="inlineStr">
        <is>
          <t>Forecast</t>
        </is>
      </c>
      <c r="C9" s="14" t="n">
        <v>492</v>
      </c>
      <c r="D9" s="14" t="n">
        <v>0</v>
      </c>
      <c r="E9" s="14" t="n">
        <v>67630</v>
      </c>
    </row>
    <row r="10">
      <c r="A10" s="17" t="inlineStr">
        <is>
          <t>2026-10-11</t>
        </is>
      </c>
      <c r="B10" s="17" t="inlineStr">
        <is>
          <t>Forecast</t>
        </is>
      </c>
      <c r="C10" s="14" t="n">
        <v>0</v>
      </c>
      <c r="D10" s="14" t="n">
        <v>0</v>
      </c>
      <c r="E10" s="14" t="n">
        <v>67630</v>
      </c>
    </row>
    <row r="11">
      <c r="A11" s="17" t="inlineStr">
        <is>
          <t>2026-10-12</t>
        </is>
      </c>
      <c r="B11" s="17" t="inlineStr">
        <is>
          <t>Forecast</t>
        </is>
      </c>
      <c r="C11" s="14" t="n">
        <v>0</v>
      </c>
      <c r="D11" s="14" t="n">
        <v>0</v>
      </c>
      <c r="E11" s="14" t="n">
        <v>67630</v>
      </c>
    </row>
    <row r="12">
      <c r="A12" s="17" t="inlineStr">
        <is>
          <t>2026-10-13</t>
        </is>
      </c>
      <c r="B12" s="17" t="inlineStr">
        <is>
          <t>Forecast</t>
        </is>
      </c>
      <c r="C12" s="14" t="n">
        <v>70404</v>
      </c>
      <c r="D12" s="14" t="n">
        <v>0</v>
      </c>
      <c r="E12" s="14" t="n">
        <v>138034</v>
      </c>
    </row>
    <row r="13">
      <c r="A13" s="17" t="inlineStr">
        <is>
          <t>2026-10-14</t>
        </is>
      </c>
      <c r="B13" s="17" t="inlineStr">
        <is>
          <t>Forecast</t>
        </is>
      </c>
      <c r="C13" s="14" t="n">
        <v>1291</v>
      </c>
      <c r="D13" s="14" t="n">
        <v>0</v>
      </c>
      <c r="E13" s="14" t="n">
        <v>139325</v>
      </c>
    </row>
    <row r="14">
      <c r="A14" s="17" t="inlineStr">
        <is>
          <t>2026-10-15</t>
        </is>
      </c>
      <c r="B14" s="17" t="inlineStr">
        <is>
          <t>Forecast</t>
        </is>
      </c>
      <c r="C14" s="14" t="n">
        <v>1291</v>
      </c>
      <c r="D14" s="14" t="n">
        <v>-93330</v>
      </c>
      <c r="E14" s="14" t="n">
        <v>47285</v>
      </c>
    </row>
    <row r="15">
      <c r="A15" s="17" t="inlineStr">
        <is>
          <t>2026-10-16</t>
        </is>
      </c>
      <c r="B15" s="17" t="inlineStr">
        <is>
          <t>Forecast</t>
        </is>
      </c>
      <c r="C15" s="14" t="n">
        <v>1291</v>
      </c>
      <c r="D15" s="14" t="n">
        <v>0</v>
      </c>
      <c r="E15" s="14" t="n">
        <v>48576</v>
      </c>
    </row>
    <row r="16">
      <c r="A16" s="17" t="inlineStr">
        <is>
          <t>2026-10-17</t>
        </is>
      </c>
      <c r="B16" s="17" t="inlineStr">
        <is>
          <t>Forecast</t>
        </is>
      </c>
      <c r="C16" s="14" t="n">
        <v>0</v>
      </c>
      <c r="D16" s="14" t="n">
        <v>0</v>
      </c>
      <c r="E16" s="14" t="n">
        <v>48576</v>
      </c>
    </row>
    <row r="17">
      <c r="A17" s="17" t="inlineStr">
        <is>
          <t>2026-10-18</t>
        </is>
      </c>
      <c r="B17" s="17" t="inlineStr">
        <is>
          <t>Forecast</t>
        </is>
      </c>
      <c r="C17" s="14" t="n">
        <v>12900</v>
      </c>
      <c r="D17" s="14" t="n">
        <v>0</v>
      </c>
      <c r="E17" s="14" t="n">
        <v>61476</v>
      </c>
    </row>
    <row r="18">
      <c r="A18" s="17" t="inlineStr">
        <is>
          <t>2026-10-19</t>
        </is>
      </c>
      <c r="B18" s="17" t="inlineStr">
        <is>
          <t>Forecast</t>
        </is>
      </c>
      <c r="C18" s="14" t="n">
        <v>1291</v>
      </c>
      <c r="D18" s="14" t="n">
        <v>0</v>
      </c>
      <c r="E18" s="14" t="n">
        <v>62767</v>
      </c>
    </row>
    <row r="19">
      <c r="A19" s="17" t="inlineStr">
        <is>
          <t>2026-10-20</t>
        </is>
      </c>
      <c r="B19" s="17" t="inlineStr">
        <is>
          <t>Forecast</t>
        </is>
      </c>
      <c r="C19" s="14" t="n">
        <v>1291</v>
      </c>
      <c r="D19" s="14" t="n">
        <v>0</v>
      </c>
      <c r="E19" s="14" t="n">
        <v>64058</v>
      </c>
    </row>
    <row r="20">
      <c r="A20" s="17" t="inlineStr">
        <is>
          <t>2026-10-21</t>
        </is>
      </c>
      <c r="B20" s="17" t="inlineStr">
        <is>
          <t>Forecast</t>
        </is>
      </c>
      <c r="C20" s="14" t="n">
        <v>1291</v>
      </c>
      <c r="D20" s="14" t="n">
        <v>0</v>
      </c>
      <c r="E20" s="14" t="n">
        <v>65348</v>
      </c>
    </row>
    <row r="21">
      <c r="A21" s="17" t="inlineStr">
        <is>
          <t>2026-10-22</t>
        </is>
      </c>
      <c r="B21" s="17" t="inlineStr">
        <is>
          <t>Forecast</t>
        </is>
      </c>
      <c r="C21" s="14" t="n">
        <v>1291</v>
      </c>
      <c r="D21" s="14" t="n">
        <v>0</v>
      </c>
      <c r="E21" s="14" t="n">
        <v>66639</v>
      </c>
    </row>
    <row r="22">
      <c r="A22" s="17" t="inlineStr">
        <is>
          <t>2026-10-23</t>
        </is>
      </c>
      <c r="B22" s="17" t="inlineStr">
        <is>
          <t>Forecast</t>
        </is>
      </c>
      <c r="C22" s="14" t="n">
        <v>11091</v>
      </c>
      <c r="D22" s="14" t="n">
        <v>0</v>
      </c>
      <c r="E22" s="14" t="n">
        <v>77730</v>
      </c>
    </row>
    <row r="23">
      <c r="A23" s="17" t="inlineStr">
        <is>
          <t>2026-10-24</t>
        </is>
      </c>
      <c r="B23" s="17" t="inlineStr">
        <is>
          <t>Forecast</t>
        </is>
      </c>
      <c r="C23" s="14" t="n">
        <v>0</v>
      </c>
      <c r="D23" s="14" t="n">
        <v>0</v>
      </c>
      <c r="E23" s="14" t="n">
        <v>77730</v>
      </c>
    </row>
    <row r="24">
      <c r="A24" s="17" t="inlineStr">
        <is>
          <t>2026-10-25</t>
        </is>
      </c>
      <c r="B24" s="17" t="inlineStr">
        <is>
          <t>Forecast</t>
        </is>
      </c>
      <c r="C24" s="14" t="n">
        <v>0</v>
      </c>
      <c r="D24" s="14" t="n">
        <v>0</v>
      </c>
      <c r="E24" s="14" t="n">
        <v>77730</v>
      </c>
    </row>
    <row r="25">
      <c r="A25" s="17" t="inlineStr">
        <is>
          <t>2026-10-26</t>
        </is>
      </c>
      <c r="B25" s="17" t="inlineStr">
        <is>
          <t>Forecast</t>
        </is>
      </c>
      <c r="C25" s="14" t="n">
        <v>1291</v>
      </c>
      <c r="D25" s="14" t="n">
        <v>0</v>
      </c>
      <c r="E25" s="14" t="n">
        <v>79021</v>
      </c>
    </row>
    <row r="26">
      <c r="A26" s="17" t="inlineStr">
        <is>
          <t>2026-10-27</t>
        </is>
      </c>
      <c r="B26" s="17" t="inlineStr">
        <is>
          <t>Forecast</t>
        </is>
      </c>
      <c r="C26" s="14" t="n">
        <v>1291</v>
      </c>
      <c r="D26" s="14" t="n">
        <v>0</v>
      </c>
      <c r="E26" s="14" t="n">
        <v>80311</v>
      </c>
    </row>
    <row r="27">
      <c r="A27" s="17" t="inlineStr">
        <is>
          <t>2026-10-28</t>
        </is>
      </c>
      <c r="B27" s="17" t="inlineStr">
        <is>
          <t>Forecast</t>
        </is>
      </c>
      <c r="C27" s="14" t="n">
        <v>1291</v>
      </c>
      <c r="D27" s="14" t="n">
        <v>-12017</v>
      </c>
      <c r="E27" s="14" t="n">
        <v>69585</v>
      </c>
    </row>
    <row r="28">
      <c r="A28" s="17" t="inlineStr">
        <is>
          <t>2026-10-29</t>
        </is>
      </c>
      <c r="B28" s="17" t="inlineStr">
        <is>
          <t>Forecast</t>
        </is>
      </c>
      <c r="C28" s="14" t="n">
        <v>16491</v>
      </c>
      <c r="D28" s="14" t="n">
        <v>-38250</v>
      </c>
      <c r="E28" s="14" t="n">
        <v>47826</v>
      </c>
    </row>
    <row r="29">
      <c r="A29" s="17" t="inlineStr">
        <is>
          <t>2026-10-30</t>
        </is>
      </c>
      <c r="B29" s="17" t="inlineStr">
        <is>
          <t>Forecast</t>
        </is>
      </c>
      <c r="C29" s="14" t="n">
        <v>1291</v>
      </c>
      <c r="D29" s="14" t="n">
        <v>0</v>
      </c>
      <c r="E29" s="14" t="n">
        <v>49117</v>
      </c>
    </row>
    <row r="30">
      <c r="A30" s="17" t="inlineStr">
        <is>
          <t>2026-10-31</t>
        </is>
      </c>
      <c r="B30" s="17" t="inlineStr">
        <is>
          <t>Forecast</t>
        </is>
      </c>
      <c r="C30" s="14" t="n">
        <v>40500</v>
      </c>
      <c r="D30" s="14" t="n">
        <v>0</v>
      </c>
      <c r="E30" s="14" t="n">
        <v>89617</v>
      </c>
    </row>
    <row r="31">
      <c r="A31" s="17" t="inlineStr">
        <is>
          <t>2026-11-01</t>
        </is>
      </c>
      <c r="B31" s="17" t="inlineStr">
        <is>
          <t>Forecast</t>
        </is>
      </c>
      <c r="C31" s="14" t="n">
        <v>33000</v>
      </c>
      <c r="D31" s="14" t="n">
        <v>0</v>
      </c>
      <c r="E31" s="14" t="n">
        <v>122617</v>
      </c>
    </row>
    <row r="32">
      <c r="A32" s="17" t="inlineStr">
        <is>
          <t>2026-11-02</t>
        </is>
      </c>
      <c r="B32" s="17" t="inlineStr">
        <is>
          <t>Forecast</t>
        </is>
      </c>
      <c r="C32" s="14" t="n">
        <v>1291</v>
      </c>
      <c r="D32" s="14" t="n">
        <v>-56160</v>
      </c>
      <c r="E32" s="14" t="n">
        <v>67747</v>
      </c>
    </row>
    <row r="33">
      <c r="A33" s="17" t="inlineStr">
        <is>
          <t>2026-11-03</t>
        </is>
      </c>
      <c r="B33" s="17" t="inlineStr">
        <is>
          <t>Forecast</t>
        </is>
      </c>
      <c r="C33" s="14" t="n">
        <v>1291</v>
      </c>
      <c r="D33" s="14" t="n">
        <v>0</v>
      </c>
      <c r="E33" s="14" t="n">
        <v>69038</v>
      </c>
    </row>
    <row r="34">
      <c r="A34" s="17" t="inlineStr">
        <is>
          <t>2026-11-04</t>
        </is>
      </c>
      <c r="B34" s="17" t="inlineStr">
        <is>
          <t>Forecast</t>
        </is>
      </c>
      <c r="C34" s="14" t="n">
        <v>1291</v>
      </c>
      <c r="D34" s="14" t="n">
        <v>0</v>
      </c>
      <c r="E34" s="14" t="n">
        <v>70329</v>
      </c>
    </row>
    <row r="35">
      <c r="A35" s="17" t="inlineStr">
        <is>
          <t>2026-11-05</t>
        </is>
      </c>
      <c r="B35" s="17" t="inlineStr">
        <is>
          <t>Forecast</t>
        </is>
      </c>
      <c r="C35" s="14" t="n">
        <v>1291</v>
      </c>
      <c r="D35" s="14" t="n">
        <v>0</v>
      </c>
      <c r="E35" s="14" t="n">
        <v>71620</v>
      </c>
    </row>
    <row r="36">
      <c r="A36" s="17" t="inlineStr">
        <is>
          <t>2026-11-06</t>
        </is>
      </c>
      <c r="B36" s="17" t="inlineStr">
        <is>
          <t>Forecast</t>
        </is>
      </c>
      <c r="C36" s="14" t="n">
        <v>6865</v>
      </c>
      <c r="D36" s="14" t="n">
        <v>0</v>
      </c>
      <c r="E36" s="14" t="n">
        <v>78485</v>
      </c>
    </row>
    <row r="37">
      <c r="A37" s="17" t="inlineStr">
        <is>
          <t>2026-11-07</t>
        </is>
      </c>
      <c r="B37" s="17" t="inlineStr">
        <is>
          <t>Forecast</t>
        </is>
      </c>
      <c r="C37" s="14" t="n">
        <v>5574</v>
      </c>
      <c r="D37" s="14" t="n">
        <v>0</v>
      </c>
      <c r="E37" s="14" t="n">
        <v>84059</v>
      </c>
    </row>
    <row r="38">
      <c r="A38" s="17" t="inlineStr">
        <is>
          <t>2026-11-08</t>
        </is>
      </c>
      <c r="B38" s="17" t="inlineStr">
        <is>
          <t>Forecast</t>
        </is>
      </c>
      <c r="C38" s="14" t="n">
        <v>5574</v>
      </c>
      <c r="D38" s="14" t="n">
        <v>0</v>
      </c>
      <c r="E38" s="14" t="n">
        <v>89633</v>
      </c>
    </row>
    <row r="39">
      <c r="A39" s="17" t="inlineStr">
        <is>
          <t>2026-11-09</t>
        </is>
      </c>
      <c r="B39" s="17" t="inlineStr">
        <is>
          <t>Forecast</t>
        </is>
      </c>
      <c r="C39" s="14" t="n">
        <v>1291</v>
      </c>
      <c r="D39" s="14" t="n">
        <v>0</v>
      </c>
      <c r="E39" s="14" t="n">
        <v>90924</v>
      </c>
    </row>
    <row r="40">
      <c r="A40" s="17" t="inlineStr">
        <is>
          <t>2026-11-10</t>
        </is>
      </c>
      <c r="B40" s="17" t="inlineStr">
        <is>
          <t>Forecast</t>
        </is>
      </c>
      <c r="C40" s="14" t="n">
        <v>1291</v>
      </c>
      <c r="D40" s="14" t="n">
        <v>0</v>
      </c>
      <c r="E40" s="14" t="n">
        <v>92215</v>
      </c>
    </row>
    <row r="41">
      <c r="A41" s="17" t="inlineStr">
        <is>
          <t>2026-11-11</t>
        </is>
      </c>
      <c r="B41" s="17" t="inlineStr">
        <is>
          <t>Forecast</t>
        </is>
      </c>
      <c r="C41" s="14" t="n">
        <v>6865</v>
      </c>
      <c r="D41" s="14" t="n">
        <v>0</v>
      </c>
      <c r="E41" s="14" t="n">
        <v>99080</v>
      </c>
    </row>
    <row r="42">
      <c r="A42" s="17" t="inlineStr">
        <is>
          <t>2026-11-12</t>
        </is>
      </c>
      <c r="B42" s="17" t="inlineStr">
        <is>
          <t>Forecast</t>
        </is>
      </c>
      <c r="C42" s="14" t="n">
        <v>6865</v>
      </c>
      <c r="D42" s="14" t="n">
        <v>-38250</v>
      </c>
      <c r="E42" s="14" t="n">
        <v>67695</v>
      </c>
    </row>
    <row r="43">
      <c r="A43" s="17" t="inlineStr">
        <is>
          <t>2026-11-13</t>
        </is>
      </c>
      <c r="B43" s="17" t="inlineStr">
        <is>
          <t>Forecast</t>
        </is>
      </c>
      <c r="C43" s="14" t="n">
        <v>6865</v>
      </c>
      <c r="D43" s="14" t="n">
        <v>0</v>
      </c>
      <c r="E43" s="14" t="n">
        <v>74560</v>
      </c>
    </row>
    <row r="44">
      <c r="A44" s="17" t="inlineStr">
        <is>
          <t>2026-11-14</t>
        </is>
      </c>
      <c r="B44" s="17" t="inlineStr">
        <is>
          <t>Forecast</t>
        </is>
      </c>
      <c r="C44" s="14" t="n">
        <v>5574</v>
      </c>
      <c r="D44" s="14" t="n">
        <v>0</v>
      </c>
      <c r="E44" s="14" t="n">
        <v>80134</v>
      </c>
    </row>
    <row r="45">
      <c r="A45" s="17" t="inlineStr">
        <is>
          <t>2026-11-15</t>
        </is>
      </c>
      <c r="B45" s="17" t="inlineStr">
        <is>
          <t>Forecast</t>
        </is>
      </c>
      <c r="C45" s="14" t="n">
        <v>5574</v>
      </c>
      <c r="D45" s="14" t="n">
        <v>0</v>
      </c>
      <c r="E45" s="14" t="n">
        <v>85708</v>
      </c>
    </row>
    <row r="46">
      <c r="A46" s="17" t="inlineStr">
        <is>
          <t>2026-11-16</t>
        </is>
      </c>
      <c r="B46" s="17" t="inlineStr">
        <is>
          <t>Forecast</t>
        </is>
      </c>
      <c r="C46" s="14" t="n">
        <v>1291</v>
      </c>
      <c r="D46" s="14" t="n">
        <v>-55080</v>
      </c>
      <c r="E46" s="14" t="n">
        <v>31919</v>
      </c>
    </row>
    <row r="47">
      <c r="A47" s="17" t="inlineStr">
        <is>
          <t>2026-11-17</t>
        </is>
      </c>
      <c r="B47" s="17" t="inlineStr">
        <is>
          <t>Forecast</t>
        </is>
      </c>
      <c r="C47" s="14" t="n">
        <v>1291</v>
      </c>
      <c r="D47" s="14" t="n">
        <v>0</v>
      </c>
      <c r="E47" s="14" t="n">
        <v>33210</v>
      </c>
    </row>
    <row r="48">
      <c r="A48" s="17" t="inlineStr">
        <is>
          <t>2026-11-18</t>
        </is>
      </c>
      <c r="B48" s="17" t="inlineStr">
        <is>
          <t>Forecast</t>
        </is>
      </c>
      <c r="C48" s="14" t="n">
        <v>6865</v>
      </c>
      <c r="D48" s="14" t="n">
        <v>0</v>
      </c>
      <c r="E48" s="14" t="n">
        <v>40074</v>
      </c>
    </row>
    <row r="49">
      <c r="A49" s="17" t="inlineStr">
        <is>
          <t>2026-11-19</t>
        </is>
      </c>
      <c r="B49" s="17" t="inlineStr">
        <is>
          <t>Forecast</t>
        </is>
      </c>
      <c r="C49" s="14" t="n">
        <v>6865</v>
      </c>
      <c r="D49" s="14" t="n">
        <v>0</v>
      </c>
      <c r="E49" s="14" t="n">
        <v>46939</v>
      </c>
    </row>
    <row r="50">
      <c r="A50" s="17" t="inlineStr">
        <is>
          <t>2026-11-20</t>
        </is>
      </c>
      <c r="B50" s="17" t="inlineStr">
        <is>
          <t>Forecast</t>
        </is>
      </c>
      <c r="C50" s="14" t="n">
        <v>6865</v>
      </c>
      <c r="D50" s="14" t="n">
        <v>0</v>
      </c>
      <c r="E50" s="14" t="n">
        <v>53804</v>
      </c>
    </row>
    <row r="51">
      <c r="A51" s="17" t="inlineStr">
        <is>
          <t>2026-11-21</t>
        </is>
      </c>
      <c r="B51" s="17" t="inlineStr">
        <is>
          <t>Forecast</t>
        </is>
      </c>
      <c r="C51" s="14" t="n">
        <v>5574</v>
      </c>
      <c r="D51" s="14" t="n">
        <v>0</v>
      </c>
      <c r="E51" s="14" t="n">
        <v>59379</v>
      </c>
    </row>
    <row r="52">
      <c r="A52" s="17" t="inlineStr">
        <is>
          <t>2026-11-22</t>
        </is>
      </c>
      <c r="B52" s="17" t="inlineStr">
        <is>
          <t>Forecast</t>
        </is>
      </c>
      <c r="C52" s="14" t="n">
        <v>5574</v>
      </c>
      <c r="D52" s="14" t="n">
        <v>0</v>
      </c>
      <c r="E52" s="14" t="n">
        <v>64953</v>
      </c>
    </row>
    <row r="53">
      <c r="A53" s="17" t="inlineStr">
        <is>
          <t>2026-11-23</t>
        </is>
      </c>
      <c r="B53" s="17" t="inlineStr">
        <is>
          <t>Forecast</t>
        </is>
      </c>
      <c r="C53" s="14" t="n">
        <v>1291</v>
      </c>
      <c r="D53" s="14" t="n">
        <v>0</v>
      </c>
      <c r="E53" s="14" t="n">
        <v>66244</v>
      </c>
    </row>
    <row r="54">
      <c r="A54" s="17" t="inlineStr">
        <is>
          <t>2026-11-24</t>
        </is>
      </c>
      <c r="B54" s="17" t="inlineStr">
        <is>
          <t>Forecast</t>
        </is>
      </c>
      <c r="C54" s="14" t="n">
        <v>1291</v>
      </c>
      <c r="D54" s="14" t="n">
        <v>0</v>
      </c>
      <c r="E54" s="14" t="n">
        <v>67534</v>
      </c>
    </row>
    <row r="55">
      <c r="A55" s="17" t="inlineStr">
        <is>
          <t>2026-11-25</t>
        </is>
      </c>
      <c r="B55" s="17" t="inlineStr">
        <is>
          <t>Forecast</t>
        </is>
      </c>
      <c r="C55" s="14" t="n">
        <v>6865</v>
      </c>
      <c r="D55" s="14" t="n">
        <v>0</v>
      </c>
      <c r="E55" s="14" t="n">
        <v>74399</v>
      </c>
    </row>
    <row r="56">
      <c r="A56" s="17" t="inlineStr">
        <is>
          <t>2026-11-26</t>
        </is>
      </c>
      <c r="B56" s="17" t="inlineStr">
        <is>
          <t>Forecast</t>
        </is>
      </c>
      <c r="C56" s="14" t="n">
        <v>6865</v>
      </c>
      <c r="D56" s="14" t="n">
        <v>-38250</v>
      </c>
      <c r="E56" s="14" t="n">
        <v>43014</v>
      </c>
    </row>
    <row r="57">
      <c r="A57" s="17" t="inlineStr">
        <is>
          <t>2026-11-27</t>
        </is>
      </c>
      <c r="B57" s="17" t="inlineStr">
        <is>
          <t>Forecast</t>
        </is>
      </c>
      <c r="C57" s="14" t="n">
        <v>6865</v>
      </c>
      <c r="D57" s="14" t="n">
        <v>0</v>
      </c>
      <c r="E57" s="14" t="n">
        <v>49879</v>
      </c>
    </row>
    <row r="58">
      <c r="A58" s="17" t="inlineStr">
        <is>
          <t>2026-11-28</t>
        </is>
      </c>
      <c r="B58" s="17" t="inlineStr">
        <is>
          <t>Forecast</t>
        </is>
      </c>
      <c r="C58" s="14" t="n">
        <v>5574</v>
      </c>
      <c r="D58" s="14" t="n">
        <v>0</v>
      </c>
      <c r="E58" s="14" t="n">
        <v>55454</v>
      </c>
    </row>
    <row r="59">
      <c r="A59" s="17" t="inlineStr">
        <is>
          <t>2026-11-29</t>
        </is>
      </c>
      <c r="B59" s="17" t="inlineStr">
        <is>
          <t>Forecast</t>
        </is>
      </c>
      <c r="C59" s="14" t="n">
        <v>5574</v>
      </c>
      <c r="D59" s="14" t="n">
        <v>0</v>
      </c>
      <c r="E59" s="14" t="n">
        <v>61028</v>
      </c>
    </row>
    <row r="60">
      <c r="A60" s="17" t="inlineStr">
        <is>
          <t>2026-11-30</t>
        </is>
      </c>
      <c r="B60" s="17" t="inlineStr">
        <is>
          <t>Forecast</t>
        </is>
      </c>
      <c r="C60" s="14" t="n">
        <v>1291</v>
      </c>
      <c r="D60" s="14" t="n">
        <v>-61160</v>
      </c>
      <c r="E60" s="14" t="n">
        <v>1159</v>
      </c>
    </row>
    <row r="61">
      <c r="A61" s="17" t="inlineStr">
        <is>
          <t>2026-12-01</t>
        </is>
      </c>
      <c r="B61" s="17" t="inlineStr">
        <is>
          <t>Forecast</t>
        </is>
      </c>
      <c r="C61" s="14" t="n">
        <v>41791</v>
      </c>
      <c r="D61" s="14" t="n">
        <v>0</v>
      </c>
      <c r="E61" s="14" t="n">
        <v>42949</v>
      </c>
    </row>
    <row r="62">
      <c r="A62" s="17" t="inlineStr">
        <is>
          <t>2026-12-02</t>
        </is>
      </c>
      <c r="B62" s="17" t="inlineStr">
        <is>
          <t>Forecast</t>
        </is>
      </c>
      <c r="C62" s="14" t="n">
        <v>6865</v>
      </c>
      <c r="D62" s="14" t="n">
        <v>0</v>
      </c>
      <c r="E62" s="14" t="n">
        <v>49814</v>
      </c>
    </row>
    <row r="63">
      <c r="A63" s="17" t="inlineStr">
        <is>
          <t>2026-12-03</t>
        </is>
      </c>
      <c r="B63" s="17" t="inlineStr">
        <is>
          <t>Forecast</t>
        </is>
      </c>
      <c r="C63" s="14" t="n">
        <v>6865</v>
      </c>
      <c r="D63" s="14" t="n">
        <v>0</v>
      </c>
      <c r="E63" s="14" t="n">
        <v>56679</v>
      </c>
    </row>
    <row r="64">
      <c r="A64" s="17" t="inlineStr">
        <is>
          <t>2026-12-04</t>
        </is>
      </c>
      <c r="B64" s="17" t="inlineStr">
        <is>
          <t>Forecast</t>
        </is>
      </c>
      <c r="C64" s="14" t="n">
        <v>6865</v>
      </c>
      <c r="D64" s="14" t="n">
        <v>0</v>
      </c>
      <c r="E64" s="14" t="n">
        <v>63544</v>
      </c>
    </row>
    <row r="65">
      <c r="A65" s="17" t="inlineStr">
        <is>
          <t>2026-12-05</t>
        </is>
      </c>
      <c r="B65" s="17" t="inlineStr">
        <is>
          <t>Forecast</t>
        </is>
      </c>
      <c r="C65" s="14" t="n">
        <v>5574</v>
      </c>
      <c r="D65" s="14" t="n">
        <v>0</v>
      </c>
      <c r="E65" s="14" t="n">
        <v>69119</v>
      </c>
    </row>
    <row r="66">
      <c r="A66" s="17" t="inlineStr">
        <is>
          <t>2026-12-06</t>
        </is>
      </c>
      <c r="B66" s="17" t="inlineStr">
        <is>
          <t>Forecast</t>
        </is>
      </c>
      <c r="C66" s="14" t="n">
        <v>5574</v>
      </c>
      <c r="D66" s="14" t="n">
        <v>0</v>
      </c>
      <c r="E66" s="14" t="n">
        <v>74693</v>
      </c>
    </row>
    <row r="67">
      <c r="A67" s="17" t="inlineStr">
        <is>
          <t>2026-12-07</t>
        </is>
      </c>
      <c r="B67" s="17" t="inlineStr">
        <is>
          <t>Forecast</t>
        </is>
      </c>
      <c r="C67" s="14" t="n">
        <v>1291</v>
      </c>
      <c r="D67" s="14" t="n">
        <v>0</v>
      </c>
      <c r="E67" s="14" t="n">
        <v>75984</v>
      </c>
    </row>
    <row r="68">
      <c r="A68" s="17" t="inlineStr">
        <is>
          <t>2026-12-08</t>
        </is>
      </c>
      <c r="B68" s="17" t="inlineStr">
        <is>
          <t>Forecast</t>
        </is>
      </c>
      <c r="C68" s="14" t="n">
        <v>1291</v>
      </c>
      <c r="D68" s="14" t="n">
        <v>0</v>
      </c>
      <c r="E68" s="14" t="n">
        <v>77274</v>
      </c>
    </row>
    <row r="69">
      <c r="A69" s="17" t="inlineStr">
        <is>
          <t>2026-12-09</t>
        </is>
      </c>
      <c r="B69" s="17" t="inlineStr">
        <is>
          <t>Forecast</t>
        </is>
      </c>
      <c r="C69" s="14" t="n">
        <v>6865</v>
      </c>
      <c r="D69" s="14" t="n">
        <v>0</v>
      </c>
      <c r="E69" s="14" t="n">
        <v>84139</v>
      </c>
    </row>
    <row r="70">
      <c r="A70" s="17" t="inlineStr">
        <is>
          <t>2026-12-10</t>
        </is>
      </c>
      <c r="B70" s="17" t="inlineStr">
        <is>
          <t>Forecast</t>
        </is>
      </c>
      <c r="C70" s="14" t="n">
        <v>6865</v>
      </c>
      <c r="D70" s="14" t="n">
        <v>-38250</v>
      </c>
      <c r="E70" s="14" t="n">
        <v>52754</v>
      </c>
    </row>
    <row r="71">
      <c r="A71" s="17" t="inlineStr">
        <is>
          <t>2026-12-11</t>
        </is>
      </c>
      <c r="B71" s="17" t="inlineStr">
        <is>
          <t>Forecast</t>
        </is>
      </c>
      <c r="C71" s="14" t="n">
        <v>6865</v>
      </c>
      <c r="D71" s="14" t="n">
        <v>0</v>
      </c>
      <c r="E71" s="14" t="n">
        <v>59619</v>
      </c>
    </row>
    <row r="72">
      <c r="A72" s="17" t="inlineStr">
        <is>
          <t>2026-12-12</t>
        </is>
      </c>
      <c r="B72" s="17" t="inlineStr">
        <is>
          <t>Forecast</t>
        </is>
      </c>
      <c r="C72" s="14" t="n">
        <v>5574</v>
      </c>
      <c r="D72" s="14" t="n">
        <v>0</v>
      </c>
      <c r="E72" s="14" t="n">
        <v>65193</v>
      </c>
    </row>
    <row r="73">
      <c r="A73" s="17" t="inlineStr">
        <is>
          <t>2026-12-13</t>
        </is>
      </c>
      <c r="B73" s="17" t="inlineStr">
        <is>
          <t>Forecast</t>
        </is>
      </c>
      <c r="C73" s="14" t="n">
        <v>5574</v>
      </c>
      <c r="D73" s="14" t="n">
        <v>0</v>
      </c>
      <c r="E73" s="14" t="n">
        <v>70768</v>
      </c>
    </row>
    <row r="74">
      <c r="A74" s="17" t="inlineStr">
        <is>
          <t>2026-12-14</t>
        </is>
      </c>
      <c r="B74" s="17" t="inlineStr">
        <is>
          <t>Forecast</t>
        </is>
      </c>
      <c r="C74" s="14" t="n">
        <v>1291</v>
      </c>
      <c r="D74" s="14" t="n">
        <v>0</v>
      </c>
      <c r="E74" s="14" t="n">
        <v>72058</v>
      </c>
    </row>
    <row r="75">
      <c r="A75" s="17" t="inlineStr">
        <is>
          <t>2026-12-15</t>
        </is>
      </c>
      <c r="B75" s="17" t="inlineStr">
        <is>
          <t>Forecast</t>
        </is>
      </c>
      <c r="C75" s="14" t="n">
        <v>1291</v>
      </c>
      <c r="D75" s="14" t="n">
        <v>-55080</v>
      </c>
      <c r="E75" s="14" t="n">
        <v>18269</v>
      </c>
    </row>
    <row r="76">
      <c r="A76" s="17" t="inlineStr">
        <is>
          <t>2026-12-16</t>
        </is>
      </c>
      <c r="B76" s="17" t="inlineStr">
        <is>
          <t>Forecast</t>
        </is>
      </c>
      <c r="C76" s="14" t="n">
        <v>6865</v>
      </c>
      <c r="D76" s="14" t="n">
        <v>0</v>
      </c>
      <c r="E76" s="14" t="n">
        <v>25134</v>
      </c>
    </row>
    <row r="77">
      <c r="A77" s="17" t="inlineStr">
        <is>
          <t>2026-12-17</t>
        </is>
      </c>
      <c r="B77" s="17" t="inlineStr">
        <is>
          <t>Forecast</t>
        </is>
      </c>
      <c r="C77" s="14" t="n">
        <v>6865</v>
      </c>
      <c r="D77" s="14" t="n">
        <v>0</v>
      </c>
      <c r="E77" s="14" t="n">
        <v>31999</v>
      </c>
    </row>
    <row r="78">
      <c r="A78" s="17" t="inlineStr">
        <is>
          <t>2026-12-18</t>
        </is>
      </c>
      <c r="B78" s="17" t="inlineStr">
        <is>
          <t>Forecast</t>
        </is>
      </c>
      <c r="C78" s="14" t="n">
        <v>6865</v>
      </c>
      <c r="D78" s="14" t="n">
        <v>0</v>
      </c>
      <c r="E78" s="14" t="n">
        <v>38864</v>
      </c>
    </row>
    <row r="79">
      <c r="A79" s="17" t="inlineStr">
        <is>
          <t>2026-12-19</t>
        </is>
      </c>
      <c r="B79" s="17" t="inlineStr">
        <is>
          <t>Forecast</t>
        </is>
      </c>
      <c r="C79" s="14" t="n">
        <v>5574</v>
      </c>
      <c r="D79" s="14" t="n">
        <v>0</v>
      </c>
      <c r="E79" s="14" t="n">
        <v>44438</v>
      </c>
    </row>
    <row r="80">
      <c r="A80" s="17" t="inlineStr">
        <is>
          <t>2026-12-20</t>
        </is>
      </c>
      <c r="B80" s="17" t="inlineStr">
        <is>
          <t>Forecast</t>
        </is>
      </c>
      <c r="C80" s="14" t="n">
        <v>5574</v>
      </c>
      <c r="D80" s="14" t="n">
        <v>0</v>
      </c>
      <c r="E80" s="14" t="n">
        <v>50013</v>
      </c>
    </row>
    <row r="81">
      <c r="A81" s="17" t="inlineStr">
        <is>
          <t>2026-12-21</t>
        </is>
      </c>
      <c r="B81" s="17" t="inlineStr">
        <is>
          <t>Forecast</t>
        </is>
      </c>
      <c r="C81" s="14" t="n">
        <v>1291</v>
      </c>
      <c r="D81" s="14" t="n">
        <v>0</v>
      </c>
      <c r="E81" s="14" t="n">
        <v>51303</v>
      </c>
    </row>
    <row r="82">
      <c r="A82" s="17" t="inlineStr">
        <is>
          <t>2026-12-22</t>
        </is>
      </c>
      <c r="B82" s="17" t="inlineStr">
        <is>
          <t>Forecast</t>
        </is>
      </c>
      <c r="C82" s="14" t="n">
        <v>1291</v>
      </c>
      <c r="D82" s="14" t="n">
        <v>0</v>
      </c>
      <c r="E82" s="14" t="n">
        <v>52594</v>
      </c>
    </row>
    <row r="83">
      <c r="A83" s="17" t="inlineStr">
        <is>
          <t>2026-12-23</t>
        </is>
      </c>
      <c r="B83" s="17" t="inlineStr">
        <is>
          <t>Forecast</t>
        </is>
      </c>
      <c r="C83" s="14" t="n">
        <v>6865</v>
      </c>
      <c r="D83" s="14" t="n">
        <v>0</v>
      </c>
      <c r="E83" s="14" t="n">
        <v>59459</v>
      </c>
    </row>
    <row r="84">
      <c r="A84" s="17" t="inlineStr">
        <is>
          <t>2026-12-24</t>
        </is>
      </c>
      <c r="B84" s="17" t="inlineStr">
        <is>
          <t>Forecast</t>
        </is>
      </c>
      <c r="C84" s="14" t="n">
        <v>6865</v>
      </c>
      <c r="D84" s="14" t="n">
        <v>-38250</v>
      </c>
      <c r="E84" s="14" t="n">
        <v>28074</v>
      </c>
    </row>
    <row r="85">
      <c r="A85" s="17" t="inlineStr">
        <is>
          <t>2026-12-25</t>
        </is>
      </c>
      <c r="B85" s="17" t="inlineStr">
        <is>
          <t>Forecast</t>
        </is>
      </c>
      <c r="C85" s="14" t="n">
        <v>6865</v>
      </c>
      <c r="D85" s="14" t="n">
        <v>0</v>
      </c>
      <c r="E85" s="14" t="n">
        <v>34939</v>
      </c>
    </row>
    <row r="86">
      <c r="A86" s="17" t="inlineStr">
        <is>
          <t>2026-12-26</t>
        </is>
      </c>
      <c r="B86" s="17" t="inlineStr">
        <is>
          <t>Forecast</t>
        </is>
      </c>
      <c r="C86" s="14" t="n">
        <v>5574</v>
      </c>
      <c r="D86" s="14" t="n">
        <v>0</v>
      </c>
      <c r="E86" s="14" t="n">
        <v>40513</v>
      </c>
    </row>
    <row r="87">
      <c r="A87" s="17" t="inlineStr">
        <is>
          <t>2026-12-27</t>
        </is>
      </c>
      <c r="B87" s="17" t="inlineStr">
        <is>
          <t>Forecast</t>
        </is>
      </c>
      <c r="C87" s="14" t="n">
        <v>5574</v>
      </c>
      <c r="D87" s="14" t="n">
        <v>0</v>
      </c>
      <c r="E87" s="14" t="n">
        <v>46088</v>
      </c>
    </row>
    <row r="88">
      <c r="A88" s="17" t="inlineStr">
        <is>
          <t>2026-12-28</t>
        </is>
      </c>
      <c r="B88" s="17" t="inlineStr">
        <is>
          <t>Forecast</t>
        </is>
      </c>
      <c r="C88" s="14" t="n">
        <v>1291</v>
      </c>
      <c r="D88" s="14" t="n">
        <v>-5000</v>
      </c>
      <c r="E88" s="14" t="n">
        <v>42378</v>
      </c>
    </row>
    <row r="89">
      <c r="A89" s="17" t="inlineStr">
        <is>
          <t>2026-12-29</t>
        </is>
      </c>
      <c r="B89" s="17" t="inlineStr">
        <is>
          <t>Forecast</t>
        </is>
      </c>
      <c r="C89" s="14" t="n">
        <v>1291</v>
      </c>
      <c r="D89" s="14" t="n">
        <v>0</v>
      </c>
      <c r="E89" s="14" t="n">
        <v>43669</v>
      </c>
    </row>
    <row r="90">
      <c r="A90" s="17" t="inlineStr">
        <is>
          <t>2026-12-30</t>
        </is>
      </c>
      <c r="B90" s="17" t="inlineStr">
        <is>
          <t>Forecast</t>
        </is>
      </c>
      <c r="C90" s="14" t="n">
        <v>6865</v>
      </c>
      <c r="D90" s="14" t="n">
        <v>0</v>
      </c>
      <c r="E90" s="14" t="n">
        <v>50534</v>
      </c>
    </row>
    <row r="91">
      <c r="A91" s="17" t="inlineStr">
        <is>
          <t>2026-12-31</t>
        </is>
      </c>
      <c r="B91" s="17" t="inlineStr">
        <is>
          <t>Forecast</t>
        </is>
      </c>
      <c r="C91" s="14" t="n">
        <v>47365</v>
      </c>
      <c r="D91" s="14" t="n">
        <v>-56160</v>
      </c>
      <c r="E91" s="14" t="n">
        <v>41739</v>
      </c>
    </row>
    <row r="92">
      <c r="A92" s="17" t="inlineStr">
        <is>
          <t>2027-01-01</t>
        </is>
      </c>
      <c r="B92" s="17" t="inlineStr">
        <is>
          <t>Forecast</t>
        </is>
      </c>
      <c r="C92" s="14" t="n">
        <v>6865</v>
      </c>
      <c r="D92" s="14" t="n">
        <v>0</v>
      </c>
      <c r="E92" s="14" t="n">
        <v>48604</v>
      </c>
    </row>
    <row r="93">
      <c r="A93" s="17" t="inlineStr">
        <is>
          <t>2027-01-02</t>
        </is>
      </c>
      <c r="B93" s="17" t="inlineStr">
        <is>
          <t>Forecast</t>
        </is>
      </c>
      <c r="C93" s="14" t="n">
        <v>5574</v>
      </c>
      <c r="D93" s="14" t="n">
        <v>0</v>
      </c>
      <c r="E93" s="14" t="n">
        <v>54178</v>
      </c>
    </row>
    <row r="94">
      <c r="A94" s="17" t="inlineStr">
        <is>
          <t>2027-01-03</t>
        </is>
      </c>
      <c r="B94" s="17" t="inlineStr">
        <is>
          <t>Forecast</t>
        </is>
      </c>
      <c r="C94" s="14" t="n">
        <v>5574</v>
      </c>
      <c r="D94" s="14" t="n">
        <v>0</v>
      </c>
      <c r="E94" s="14" t="n">
        <v>59752</v>
      </c>
    </row>
    <row r="95">
      <c r="A95" s="17" t="inlineStr">
        <is>
          <t>2027-01-04</t>
        </is>
      </c>
      <c r="B95" s="17" t="inlineStr">
        <is>
          <t>Forecast</t>
        </is>
      </c>
      <c r="C95" s="14" t="n">
        <v>1291</v>
      </c>
      <c r="D95" s="14" t="n">
        <v>0</v>
      </c>
      <c r="E95" s="14" t="n">
        <v>61043</v>
      </c>
    </row>
    <row r="96">
      <c r="A96" s="17" t="inlineStr">
        <is>
          <t>2027-01-05</t>
        </is>
      </c>
      <c r="B96" s="17" t="inlineStr">
        <is>
          <t>Forecast</t>
        </is>
      </c>
      <c r="C96" s="14" t="n">
        <v>1291</v>
      </c>
      <c r="D96" s="14" t="n">
        <v>0</v>
      </c>
      <c r="E96" s="14" t="n">
        <v>62334</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2026&amp;R&amp;"Roboto,Regular"&amp;8 Page &amp;P of &amp;N</oddFooter>
    <evenHeader/>
    <evenFooter/>
    <firstHeader/>
    <firstFooter/>
  </headerFooter>
  <rowBreaks count="3" manualBreakCount="3">
    <brk id="31" min="0" max="16383" man="1"/>
    <brk id="61" min="0" max="16383" man="1"/>
    <brk id="9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2026-10-07T13:34:16Z</dcterms:created>
  <dcterms:modified xmlns:dcterms="http://purl.org/dc/terms/" xmlns:xsi="http://www.w3.org/2001/XMLSchema-instance" xsi:type="dcterms:W3CDTF">2026-10-07T13:34:16Z</dcterms:modified>
</cp:coreProperties>
</file>