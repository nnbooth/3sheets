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October_so_far">'Report'!$B$8</definedName>
    <definedName name="Median_wait_October_so_far">'Report'!$B$9</definedName>
    <definedName name="Enquiries_October_so_far">'Report'!$B$10</definedName>
    <definedName name="_xlnm.Print_Area" localSheetId="0">'Report'!$A$1:$D$32</definedName>
    <definedName name="_xlnm.Print_Area" localSheetId="1">'Workings'!$A$1:$C$54</definedName>
    <definedName name="_xlnm.Print_Titles" localSheetId="3">'Data'!$5:$5</definedName>
    <definedName name="_xlnm.Print_Area" localSheetId="3">'Data'!$A$1:$G$29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9" headerRowCount="1">
  <autoFilter ref="A5:G29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October so far</t>
        </is>
      </c>
      <c r="B8" s="6">
        <f>Workings!B10</f>
        <v/>
      </c>
      <c r="C8" s="7" t="inlineStr">
        <is>
          <t>target 80.0% · September 48.7%</t>
        </is>
      </c>
    </row>
    <row r="9">
      <c r="A9" t="inlineStr">
        <is>
          <t>Median wait, October so far</t>
        </is>
      </c>
      <c r="B9" s="8">
        <f>Workings!B18</f>
        <v/>
      </c>
      <c r="C9" s="7" t="inlineStr">
        <is>
          <t>September 122 min (working minutes)</t>
        </is>
      </c>
    </row>
    <row r="10">
      <c r="A10" t="inlineStr">
        <is>
          <t>Enquiries, October so far</t>
        </is>
      </c>
      <c r="B10" s="8">
        <f>Workings!B29</f>
        <v/>
      </c>
      <c r="C10" s="7" t="inlineStr">
        <is>
          <t>September 119</t>
        </is>
      </c>
    </row>
    <row r="11"/>
    <row r="12">
      <c r="A12" s="9" t="inlineStr">
        <is>
          <t>Called back within 2 working hours, by channel, October 2026 to date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Web form</t>
        </is>
      </c>
      <c r="B14" s="6">
        <f>Workings!B38</f>
        <v/>
      </c>
    </row>
    <row r="15">
      <c r="A15" t="inlineStr">
        <is>
          <t>Phone</t>
        </is>
      </c>
      <c r="B15" s="6">
        <f>Workings!B46</f>
        <v/>
      </c>
    </row>
    <row r="16">
      <c r="A16" t="inlineStr">
        <is>
          <t>Email</t>
        </is>
      </c>
      <c r="B16" s="6">
        <f>Workings!B54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61.5% of the 13 enquiries called back in October so far heard back within 2 working hours (target 80.0%), up from 48.7% in September. The median wait was 101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2 more enquiries would have needed a faster callback to reach the 80.0% target. Phone enquiries are the slowest: 40.0%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6:28pm</t>
        </is>
      </c>
    </row>
    <row r="4"/>
    <row r="5">
      <c r="A5" s="12" t="inlineStr">
        <is>
          <t>Callbacks within 2 working hours, October and September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Called back</t>
        </is>
      </c>
      <c r="B8" s="13" t="n">
        <v>13</v>
      </c>
      <c r="C8" s="13" t="n">
        <v>119</v>
      </c>
    </row>
    <row r="9">
      <c r="A9" t="inlineStr">
        <is>
          <t>Within 2 working hours</t>
        </is>
      </c>
      <c r="B9" s="13" t="n">
        <v>8</v>
      </c>
      <c r="C9" s="13" t="n">
        <v>58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2" t="inlineStr">
        <is>
          <t>Median wait for a callback, October and September</t>
        </is>
      </c>
    </row>
    <row r="15">
      <c r="A15" s="10" t="inlineStr">
        <is>
          <t>The middle wait, in working minutes</t>
        </is>
      </c>
    </row>
    <row r="16">
      <c r="A16" s="4" t="inlineStr"/>
      <c r="B16" s="5" t="inlineStr">
        <is>
          <t>Oct 26</t>
        </is>
      </c>
      <c r="C16" s="5" t="inlineStr">
        <is>
          <t>Sep 26</t>
        </is>
      </c>
    </row>
    <row r="17">
      <c r="A17" t="inlineStr">
        <is>
          <t>Median wait (working minutes)</t>
        </is>
      </c>
      <c r="B17" s="13" t="n">
        <v>101</v>
      </c>
      <c r="C17" s="13" t="n">
        <v>122</v>
      </c>
    </row>
    <row r="18">
      <c r="A18" s="14" t="inlineStr">
        <is>
          <t>Enquiries called back</t>
        </is>
      </c>
      <c r="B18" s="16" t="n">
        <v>13</v>
      </c>
      <c r="C18" s="16" t="n">
        <v>119</v>
      </c>
    </row>
    <row r="19">
      <c r="A19" s="2" t="inlineStr">
        <is>
          <t>Working minutes: 8:30am to 5pm on working days.</t>
        </is>
      </c>
    </row>
    <row r="20"/>
    <row r="21"/>
    <row r="22">
      <c r="A22" s="12" t="inlineStr">
        <is>
          <t>Callbacks, Oct 26</t>
        </is>
      </c>
    </row>
    <row r="23">
      <c r="A23" s="10" t="inlineStr">
        <is>
          <t>Enquiries called back within 2 working hours ÷ enquiries called back</t>
        </is>
      </c>
    </row>
    <row r="24">
      <c r="A24" s="4" t="inlineStr"/>
      <c r="B24" s="5" t="inlineStr">
        <is>
          <t>Oct 26</t>
        </is>
      </c>
    </row>
    <row r="25">
      <c r="A25" t="inlineStr">
        <is>
          <t>Enquiries</t>
        </is>
      </c>
      <c r="B25" s="13" t="n">
        <v>13</v>
      </c>
    </row>
    <row r="26">
      <c r="A26" t="inlineStr">
        <is>
          <t>Called back</t>
        </is>
      </c>
      <c r="B26" s="13" t="n">
        <v>13</v>
      </c>
    </row>
    <row r="27">
      <c r="A27" t="inlineStr">
        <is>
          <t>Called back within 2 working hours</t>
        </is>
      </c>
      <c r="B27" s="13" t="n">
        <v>8</v>
      </c>
    </row>
    <row r="28">
      <c r="A28" t="inlineStr">
        <is>
          <t>Share within 2 working hours</t>
        </is>
      </c>
      <c r="B28" s="17">
        <f>B27/B26</f>
        <v/>
      </c>
    </row>
    <row r="29">
      <c r="A29" s="14" t="inlineStr">
        <is>
          <t>Median wait (working minutes)</t>
        </is>
      </c>
      <c r="B29" s="16" t="n">
        <v>101</v>
      </c>
    </row>
    <row r="30">
      <c r="A30" s="2" t="inlineStr">
        <is>
          <t>Working minutes only: 8:30am to 5pm on working days. The median is the middle wait when every callback is lined up.</t>
        </is>
      </c>
    </row>
    <row r="31"/>
    <row r="32"/>
    <row r="33">
      <c r="A33" s="12" t="inlineStr">
        <is>
          <t>Web form: callbacks, October 2026 to date</t>
        </is>
      </c>
    </row>
    <row r="34">
      <c r="A34" s="10" t="inlineStr">
        <is>
          <t>Within 2 working hours ÷ called back</t>
        </is>
      </c>
    </row>
    <row r="35">
      <c r="A35" s="4" t="inlineStr"/>
      <c r="B35" s="5" t="inlineStr">
        <is>
          <t>Oct 2026</t>
        </is>
      </c>
    </row>
    <row r="36">
      <c r="A36" t="inlineStr">
        <is>
          <t>Called back</t>
        </is>
      </c>
      <c r="B36" s="13" t="n">
        <v>5</v>
      </c>
    </row>
    <row r="37">
      <c r="A37" t="inlineStr">
        <is>
          <t>Within 2 working hours</t>
        </is>
      </c>
      <c r="B37" s="13" t="n">
        <v>3</v>
      </c>
    </row>
    <row r="38">
      <c r="A38" s="14" t="inlineStr">
        <is>
          <t>Share</t>
        </is>
      </c>
      <c r="B38" s="15">
        <f>B37/B36</f>
        <v/>
      </c>
    </row>
    <row r="39"/>
    <row r="40"/>
    <row r="41">
      <c r="A41" s="12" t="inlineStr">
        <is>
          <t>Phone: callbacks, October 2026 to date</t>
        </is>
      </c>
    </row>
    <row r="42">
      <c r="A42" s="10" t="inlineStr">
        <is>
          <t>Within 2 working hours ÷ called back</t>
        </is>
      </c>
    </row>
    <row r="43">
      <c r="A43" s="4" t="inlineStr"/>
      <c r="B43" s="5" t="inlineStr">
        <is>
          <t>Oct 2026</t>
        </is>
      </c>
    </row>
    <row r="44">
      <c r="A44" t="inlineStr">
        <is>
          <t>Called back</t>
        </is>
      </c>
      <c r="B44" s="13" t="n">
        <v>5</v>
      </c>
    </row>
    <row r="45">
      <c r="A45" t="inlineStr">
        <is>
          <t>Within 2 working hours</t>
        </is>
      </c>
      <c r="B45" s="13" t="n">
        <v>2</v>
      </c>
    </row>
    <row r="46">
      <c r="A46" s="14" t="inlineStr">
        <is>
          <t>Share</t>
        </is>
      </c>
      <c r="B46" s="15">
        <f>B45/B44</f>
        <v/>
      </c>
    </row>
    <row r="47"/>
    <row r="48"/>
    <row r="49">
      <c r="A49" s="12" t="inlineStr">
        <is>
          <t>Email: callbacks, October 2026 to date</t>
        </is>
      </c>
    </row>
    <row r="50">
      <c r="A50" s="10" t="inlineStr">
        <is>
          <t>Within 2 working hours ÷ called back</t>
        </is>
      </c>
    </row>
    <row r="51">
      <c r="A51" s="4" t="inlineStr"/>
      <c r="B51" s="5" t="inlineStr">
        <is>
          <t>Oct 2026</t>
        </is>
      </c>
    </row>
    <row r="52">
      <c r="A52" t="inlineStr">
        <is>
          <t>Called back</t>
        </is>
      </c>
      <c r="B52" s="13" t="n">
        <v>3</v>
      </c>
    </row>
    <row r="53">
      <c r="A53" t="inlineStr">
        <is>
          <t>Within 2 working hours</t>
        </is>
      </c>
      <c r="B53" s="13" t="n">
        <v>3</v>
      </c>
    </row>
    <row r="54">
      <c r="A54" s="14" t="inlineStr">
        <is>
          <t>Share</t>
        </is>
      </c>
      <c r="B54" s="15">
        <f>B53/B52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2" manualBreakCount="2">
    <brk id="21" min="0" max="16383" man="1"/>
    <brk id="4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October 2026 to date: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Nov 24</t>
        </is>
      </c>
      <c r="B6" s="18" t="inlineStr">
        <is>
          <t>Locked</t>
        </is>
      </c>
      <c r="C6" s="13" t="n">
        <v>102</v>
      </c>
      <c r="D6" s="13" t="n">
        <v>102</v>
      </c>
      <c r="E6" s="13" t="n">
        <v>87</v>
      </c>
      <c r="F6" s="17">
        <f>IF(D6=0,"",E6/D6)</f>
        <v/>
      </c>
      <c r="G6" s="13" t="n">
        <v>36</v>
      </c>
    </row>
    <row r="7">
      <c r="A7" s="18" t="inlineStr">
        <is>
          <t>Dec 24</t>
        </is>
      </c>
      <c r="B7" s="18" t="inlineStr">
        <is>
          <t>Locked</t>
        </is>
      </c>
      <c r="C7" s="13" t="n">
        <v>121</v>
      </c>
      <c r="D7" s="13" t="n">
        <v>121</v>
      </c>
      <c r="E7" s="13" t="n">
        <v>100</v>
      </c>
      <c r="F7" s="17">
        <f>IF(D7=0,"",E7/D7)</f>
        <v/>
      </c>
      <c r="G7" s="13" t="n">
        <v>38</v>
      </c>
    </row>
    <row r="8">
      <c r="A8" s="18" t="inlineStr">
        <is>
          <t>Jan 25</t>
        </is>
      </c>
      <c r="B8" s="18" t="inlineStr">
        <is>
          <t>Locked</t>
        </is>
      </c>
      <c r="C8" s="13" t="n">
        <v>117</v>
      </c>
      <c r="D8" s="13" t="n">
        <v>117</v>
      </c>
      <c r="E8" s="13" t="n">
        <v>93</v>
      </c>
      <c r="F8" s="17">
        <f>IF(D8=0,"",E8/D8)</f>
        <v/>
      </c>
      <c r="G8" s="13" t="n">
        <v>44</v>
      </c>
    </row>
    <row r="9">
      <c r="A9" s="18" t="inlineStr">
        <is>
          <t>Feb 25</t>
        </is>
      </c>
      <c r="B9" s="18" t="inlineStr">
        <is>
          <t>Locked</t>
        </is>
      </c>
      <c r="C9" s="13" t="n">
        <v>97</v>
      </c>
      <c r="D9" s="13" t="n">
        <v>97</v>
      </c>
      <c r="E9" s="13" t="n">
        <v>72</v>
      </c>
      <c r="F9" s="17">
        <f>IF(D9=0,"",E9/D9)</f>
        <v/>
      </c>
      <c r="G9" s="13" t="n">
        <v>51</v>
      </c>
    </row>
    <row r="10">
      <c r="A10" s="18" t="inlineStr">
        <is>
          <t>Mar 25</t>
        </is>
      </c>
      <c r="B10" s="18" t="inlineStr">
        <is>
          <t>Locked</t>
        </is>
      </c>
      <c r="C10" s="13" t="n">
        <v>96</v>
      </c>
      <c r="D10" s="13" t="n">
        <v>96</v>
      </c>
      <c r="E10" s="13" t="n">
        <v>70</v>
      </c>
      <c r="F10" s="17">
        <f>IF(D10=0,"",E10/D10)</f>
        <v/>
      </c>
      <c r="G10" s="13" t="n">
        <v>66</v>
      </c>
    </row>
    <row r="11">
      <c r="A11" s="18" t="inlineStr">
        <is>
          <t>Apr 25</t>
        </is>
      </c>
      <c r="B11" s="18" t="inlineStr">
        <is>
          <t>Locked</t>
        </is>
      </c>
      <c r="C11" s="13" t="n">
        <v>90</v>
      </c>
      <c r="D11" s="13" t="n">
        <v>90</v>
      </c>
      <c r="E11" s="13" t="n">
        <v>64</v>
      </c>
      <c r="F11" s="17">
        <f>IF(D11=0,"",E11/D11)</f>
        <v/>
      </c>
      <c r="G11" s="13" t="n">
        <v>71</v>
      </c>
    </row>
    <row r="12">
      <c r="A12" s="18" t="inlineStr">
        <is>
          <t>May 25</t>
        </is>
      </c>
      <c r="B12" s="18" t="inlineStr">
        <is>
          <t>Locked</t>
        </is>
      </c>
      <c r="C12" s="13" t="n">
        <v>96</v>
      </c>
      <c r="D12" s="13" t="n">
        <v>96</v>
      </c>
      <c r="E12" s="13" t="n">
        <v>71</v>
      </c>
      <c r="F12" s="17">
        <f>IF(D12=0,"",E12/D12)</f>
        <v/>
      </c>
      <c r="G12" s="13" t="n">
        <v>55</v>
      </c>
    </row>
    <row r="13">
      <c r="A13" s="18" t="inlineStr">
        <is>
          <t>Jun 25</t>
        </is>
      </c>
      <c r="B13" s="18" t="inlineStr">
        <is>
          <t>Locked</t>
        </is>
      </c>
      <c r="C13" s="13" t="n">
        <v>94</v>
      </c>
      <c r="D13" s="13" t="n">
        <v>94</v>
      </c>
      <c r="E13" s="13" t="n">
        <v>64</v>
      </c>
      <c r="F13" s="17">
        <f>IF(D13=0,"",E13/D13)</f>
        <v/>
      </c>
      <c r="G13" s="13" t="n">
        <v>72</v>
      </c>
    </row>
    <row r="14">
      <c r="A14" s="18" t="inlineStr">
        <is>
          <t>Jul 25</t>
        </is>
      </c>
      <c r="B14" s="18" t="inlineStr">
        <is>
          <t>Locked</t>
        </is>
      </c>
      <c r="C14" s="13" t="n">
        <v>96</v>
      </c>
      <c r="D14" s="13" t="n">
        <v>96</v>
      </c>
      <c r="E14" s="13" t="n">
        <v>64</v>
      </c>
      <c r="F14" s="17">
        <f>IF(D14=0,"",E14/D14)</f>
        <v/>
      </c>
      <c r="G14" s="13" t="n">
        <v>67</v>
      </c>
    </row>
    <row r="15">
      <c r="A15" s="18" t="inlineStr">
        <is>
          <t>Aug 25</t>
        </is>
      </c>
      <c r="B15" s="18" t="inlineStr">
        <is>
          <t>Locked</t>
        </is>
      </c>
      <c r="C15" s="13" t="n">
        <v>98</v>
      </c>
      <c r="D15" s="13" t="n">
        <v>98</v>
      </c>
      <c r="E15" s="13" t="n">
        <v>65</v>
      </c>
      <c r="F15" s="17">
        <f>IF(D15=0,"",E15/D15)</f>
        <v/>
      </c>
      <c r="G15" s="13" t="n">
        <v>76</v>
      </c>
    </row>
    <row r="16">
      <c r="A16" s="18" t="inlineStr">
        <is>
          <t>Sep 25</t>
        </is>
      </c>
      <c r="B16" s="18" t="inlineStr">
        <is>
          <t>Locked</t>
        </is>
      </c>
      <c r="C16" s="13" t="n">
        <v>109</v>
      </c>
      <c r="D16" s="13" t="n">
        <v>109</v>
      </c>
      <c r="E16" s="13" t="n">
        <v>76</v>
      </c>
      <c r="F16" s="17">
        <f>IF(D16=0,"",E16/D16)</f>
        <v/>
      </c>
      <c r="G16" s="13" t="n">
        <v>82</v>
      </c>
    </row>
    <row r="17">
      <c r="A17" s="18" t="inlineStr">
        <is>
          <t>Oct 25</t>
        </is>
      </c>
      <c r="B17" s="18" t="inlineStr">
        <is>
          <t>Locked</t>
        </is>
      </c>
      <c r="C17" s="13" t="n">
        <v>100</v>
      </c>
      <c r="D17" s="13" t="n">
        <v>100</v>
      </c>
      <c r="E17" s="13" t="n">
        <v>67</v>
      </c>
      <c r="F17" s="17">
        <f>IF(D17=0,"",E17/D17)</f>
        <v/>
      </c>
      <c r="G17" s="13" t="n">
        <v>75</v>
      </c>
    </row>
    <row r="18">
      <c r="A18" s="18" t="inlineStr">
        <is>
          <t>Nov 25</t>
        </is>
      </c>
      <c r="B18" s="18" t="inlineStr">
        <is>
          <t>Locked</t>
        </is>
      </c>
      <c r="C18" s="13" t="n">
        <v>84</v>
      </c>
      <c r="D18" s="13" t="n">
        <v>84</v>
      </c>
      <c r="E18" s="13" t="n">
        <v>56</v>
      </c>
      <c r="F18" s="17">
        <f>IF(D18=0,"",E18/D18)</f>
        <v/>
      </c>
      <c r="G18" s="13" t="n">
        <v>79</v>
      </c>
    </row>
    <row r="19">
      <c r="A19" s="18" t="inlineStr">
        <is>
          <t>Dec 25</t>
        </is>
      </c>
      <c r="B19" s="18" t="inlineStr">
        <is>
          <t>Locked</t>
        </is>
      </c>
      <c r="C19" s="13" t="n">
        <v>119</v>
      </c>
      <c r="D19" s="13" t="n">
        <v>119</v>
      </c>
      <c r="E19" s="13" t="n">
        <v>84</v>
      </c>
      <c r="F19" s="17">
        <f>IF(D19=0,"",E19/D19)</f>
        <v/>
      </c>
      <c r="G19" s="13" t="n">
        <v>69</v>
      </c>
    </row>
    <row r="20">
      <c r="A20" s="18" t="inlineStr">
        <is>
          <t>Jan 26</t>
        </is>
      </c>
      <c r="B20" s="18" t="inlineStr">
        <is>
          <t>Locked</t>
        </is>
      </c>
      <c r="C20" s="13" t="n">
        <v>109</v>
      </c>
      <c r="D20" s="13" t="n">
        <v>109</v>
      </c>
      <c r="E20" s="13" t="n">
        <v>73</v>
      </c>
      <c r="F20" s="17">
        <f>IF(D20=0,"",E20/D20)</f>
        <v/>
      </c>
      <c r="G20" s="13" t="n">
        <v>72</v>
      </c>
    </row>
    <row r="21">
      <c r="A21" s="18" t="inlineStr">
        <is>
          <t>Feb 26</t>
        </is>
      </c>
      <c r="B21" s="18" t="inlineStr">
        <is>
          <t>Locked</t>
        </is>
      </c>
      <c r="C21" s="13" t="n">
        <v>112</v>
      </c>
      <c r="D21" s="13" t="n">
        <v>112</v>
      </c>
      <c r="E21" s="13" t="n">
        <v>69</v>
      </c>
      <c r="F21" s="17">
        <f>IF(D21=0,"",E21/D21)</f>
        <v/>
      </c>
      <c r="G21" s="13" t="n">
        <v>72</v>
      </c>
    </row>
    <row r="22">
      <c r="A22" s="18" t="inlineStr">
        <is>
          <t>Mar 26</t>
        </is>
      </c>
      <c r="B22" s="18" t="inlineStr">
        <is>
          <t>Locked</t>
        </is>
      </c>
      <c r="C22" s="13" t="n">
        <v>98</v>
      </c>
      <c r="D22" s="13" t="n">
        <v>98</v>
      </c>
      <c r="E22" s="13" t="n">
        <v>64</v>
      </c>
      <c r="F22" s="17">
        <f>IF(D22=0,"",E22/D22)</f>
        <v/>
      </c>
      <c r="G22" s="13" t="n">
        <v>68</v>
      </c>
    </row>
    <row r="23">
      <c r="A23" s="18" t="inlineStr">
        <is>
          <t>Apr 26</t>
        </is>
      </c>
      <c r="B23" s="18" t="inlineStr">
        <is>
          <t>Locked</t>
        </is>
      </c>
      <c r="C23" s="13" t="n">
        <v>95</v>
      </c>
      <c r="D23" s="13" t="n">
        <v>95</v>
      </c>
      <c r="E23" s="13" t="n">
        <v>56</v>
      </c>
      <c r="F23" s="17">
        <f>IF(D23=0,"",E23/D23)</f>
        <v/>
      </c>
      <c r="G23" s="13" t="n">
        <v>90</v>
      </c>
    </row>
    <row r="24">
      <c r="A24" s="18" t="inlineStr">
        <is>
          <t>May 26</t>
        </is>
      </c>
      <c r="B24" s="18" t="inlineStr">
        <is>
          <t>Locked</t>
        </is>
      </c>
      <c r="C24" s="13" t="n">
        <v>110</v>
      </c>
      <c r="D24" s="13" t="n">
        <v>110</v>
      </c>
      <c r="E24" s="13" t="n">
        <v>64</v>
      </c>
      <c r="F24" s="17">
        <f>IF(D24=0,"",E24/D24)</f>
        <v/>
      </c>
      <c r="G24" s="13" t="n">
        <v>91</v>
      </c>
    </row>
    <row r="25">
      <c r="A25" s="18" t="inlineStr">
        <is>
          <t>Jun 26</t>
        </is>
      </c>
      <c r="B25" s="18" t="inlineStr">
        <is>
          <t>Locked</t>
        </is>
      </c>
      <c r="C25" s="13" t="n">
        <v>114</v>
      </c>
      <c r="D25" s="13" t="n">
        <v>114</v>
      </c>
      <c r="E25" s="13" t="n">
        <v>64</v>
      </c>
      <c r="F25" s="17">
        <f>IF(D25=0,"",E25/D25)</f>
        <v/>
      </c>
      <c r="G25" s="13" t="n">
        <v>99</v>
      </c>
    </row>
    <row r="26">
      <c r="A26" s="18" t="inlineStr">
        <is>
          <t>Jul 26</t>
        </is>
      </c>
      <c r="B26" s="18" t="inlineStr">
        <is>
          <t>Locked</t>
        </is>
      </c>
      <c r="C26" s="13" t="n">
        <v>122</v>
      </c>
      <c r="D26" s="13" t="n">
        <v>122</v>
      </c>
      <c r="E26" s="13" t="n">
        <v>70</v>
      </c>
      <c r="F26" s="17">
        <f>IF(D26=0,"",E26/D26)</f>
        <v/>
      </c>
      <c r="G26" s="13" t="n">
        <v>92</v>
      </c>
    </row>
    <row r="27">
      <c r="A27" s="18" t="inlineStr">
        <is>
          <t>Aug 26</t>
        </is>
      </c>
      <c r="B27" s="18" t="inlineStr">
        <is>
          <t>Locked</t>
        </is>
      </c>
      <c r="C27" s="13" t="n">
        <v>112</v>
      </c>
      <c r="D27" s="13" t="n">
        <v>112</v>
      </c>
      <c r="E27" s="13" t="n">
        <v>64</v>
      </c>
      <c r="F27" s="17">
        <f>IF(D27=0,"",E27/D27)</f>
        <v/>
      </c>
      <c r="G27" s="13" t="n">
        <v>113</v>
      </c>
    </row>
    <row r="28">
      <c r="A28" s="18" t="inlineStr">
        <is>
          <t>Sep 26</t>
        </is>
      </c>
      <c r="B28" s="18" t="inlineStr">
        <is>
          <t>Locked</t>
        </is>
      </c>
      <c r="C28" s="13" t="n">
        <v>119</v>
      </c>
      <c r="D28" s="13" t="n">
        <v>119</v>
      </c>
      <c r="E28" s="13" t="n">
        <v>58</v>
      </c>
      <c r="F28" s="17">
        <f>IF(D28=0,"",E28/D28)</f>
        <v/>
      </c>
      <c r="G28" s="13" t="n">
        <v>122</v>
      </c>
    </row>
    <row r="29">
      <c r="A29" s="18" t="inlineStr">
        <is>
          <t>Oct 26</t>
        </is>
      </c>
      <c r="B29" s="18" t="inlineStr">
        <is>
          <t>Incomplete</t>
        </is>
      </c>
      <c r="C29" s="13" t="n">
        <v>13</v>
      </c>
      <c r="D29" s="13" t="n">
        <v>13</v>
      </c>
      <c r="E29" s="13" t="n">
        <v>8</v>
      </c>
      <c r="F29" s="17">
        <f>IF(D29=0,"",E29/D29)</f>
        <v/>
      </c>
      <c r="G29" s="13" t="n">
        <v>101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