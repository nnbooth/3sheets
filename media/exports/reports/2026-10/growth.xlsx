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 · latest closed month: September</t>
        </is>
      </c>
    </row>
    <row r="12" ht="75" customHeight="1">
      <c r="A12" s="3" t="inlineStr">
        <is>
          <t>October is still in progress and wages are paid fortnightly, so a part month can't be bridged: this is September, the latest closed month. 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October so far against October last year</t>
        </is>
      </c>
      <c r="B16" s="9">
        <f>Workings!B27</f>
        <v/>
      </c>
      <c r="C16" s="10" t="inlineStr">
        <is>
          <t>$76,875 against $128,898</t>
        </is>
      </c>
    </row>
    <row r="17">
      <c r="A17" t="inlineStr">
        <is>
          <t>Year to date against the same period last year</t>
        </is>
      </c>
      <c r="B17" s="9">
        <f>Workings!B38</f>
        <v/>
      </c>
      <c r="C17" s="10" t="inlineStr">
        <is>
          <t>$651,464 against $583,077</t>
        </is>
      </c>
    </row>
    <row r="18">
      <c r="A18" t="inlineStr">
        <is>
          <t>Gross margin, year to date</t>
        </is>
      </c>
      <c r="B18" s="9">
        <f>Workings!B49</f>
        <v/>
      </c>
      <c r="C18" s="10" t="inlineStr">
        <is>
          <t>$250,758 before overheads</t>
        </is>
      </c>
    </row>
    <row r="19"/>
    <row r="20">
      <c r="A20" s="5" t="inlineStr">
        <is>
          <t>What it shows</t>
        </is>
      </c>
    </row>
    <row r="21" ht="45" customHeight="1">
      <c r="A21" s="3" t="inlineStr">
        <is>
          <t>Revenue is 11.7% up on the same period last year, year to date ($651,464 against $583,077). Maintenance contracts make the highest gross margin (59.5%); Installations the lowest (28.8%). The business needs 31.1% gross margin just to cover overheads.</t>
        </is>
      </c>
    </row>
    <row r="22"/>
    <row r="23">
      <c r="A23" s="5" t="inlineStr">
        <is>
          <t>What you'd do about it</t>
        </is>
      </c>
    </row>
    <row r="24" ht="60" customHeight="1">
      <c r="A24" s="3" t="inlineStr">
        <is>
          <t>Installations: 28.8% gross margin, 6.2 points under the 35.0% target: about $24,765 on $400,900 of revenue this financial year to date. It's below the 31.1% needed to cover overheads, too. Maintenance contracts: 59.5% gross margin, 24.5 points over the 35.0% target ($39,764 ahead on $162,000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October so far against October last year</t>
        </is>
      </c>
      <c r="B28" s="9">
        <f>Workings!B58</f>
        <v/>
      </c>
      <c r="C28" s="10" t="inlineStr">
        <is>
          <t>$40,500 against $35,800</t>
        </is>
      </c>
    </row>
    <row r="29">
      <c r="A29" t="inlineStr">
        <is>
          <t>Year to date against the same period last year</t>
        </is>
      </c>
      <c r="B29" s="9">
        <f>Workings!B69</f>
        <v/>
      </c>
      <c r="C29" s="10" t="inlineStr">
        <is>
          <t>$162,000 against $135,400</t>
        </is>
      </c>
    </row>
    <row r="30">
      <c r="A30" t="inlineStr">
        <is>
          <t>Gross margin, year to date</t>
        </is>
      </c>
      <c r="B30" s="9">
        <f>Workings!B80</f>
        <v/>
      </c>
      <c r="C30" s="10" t="inlineStr">
        <is>
          <t>$96,464 before overheads</t>
        </is>
      </c>
    </row>
    <row r="31"/>
    <row r="32">
      <c r="A32" s="5" t="inlineStr">
        <is>
          <t>What it shows</t>
        </is>
      </c>
    </row>
    <row r="33" ht="45" customHeight="1">
      <c r="A33" s="3" t="inlineStr">
        <is>
          <t>Maintenance contracts brought in $162,000 this financial year to date, 19.6% on the same period last year (faster than the business as a whole, 11.7%), at a 59.5% gross margin (above the 38.5% overall).</t>
        </is>
      </c>
    </row>
    <row r="34"/>
    <row r="35">
      <c r="A35" s="5" t="inlineStr">
        <is>
          <t>What you'd do about it</t>
        </is>
      </c>
    </row>
    <row r="36" ht="30" customHeight="1">
      <c r="A36" s="3" t="inlineStr">
        <is>
          <t>Maintenance contracts: 59.5% gross margin, 24.5 points over the 35.0% target ($39,764 ahead on $162,000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October so far against October last year</t>
        </is>
      </c>
      <c r="B40" s="9">
        <f>Workings!B89</f>
        <v/>
      </c>
      <c r="C40" s="10" t="inlineStr">
        <is>
          <t>$33,000 against $70,800</t>
        </is>
      </c>
    </row>
    <row r="41">
      <c r="A41" t="inlineStr">
        <is>
          <t>Year to date against the same period last year</t>
        </is>
      </c>
      <c r="B41" s="9">
        <f>Workings!B100</f>
        <v/>
      </c>
      <c r="C41" s="10" t="inlineStr">
        <is>
          <t>$400,900 against $367,900</t>
        </is>
      </c>
    </row>
    <row r="42">
      <c r="A42" t="inlineStr">
        <is>
          <t>Gross margin, year to date</t>
        </is>
      </c>
      <c r="B42" s="9">
        <f>Workings!B111</f>
        <v/>
      </c>
      <c r="C42" s="10" t="inlineStr">
        <is>
          <t>$115,550 before overheads</t>
        </is>
      </c>
    </row>
    <row r="43"/>
    <row r="44">
      <c r="A44" s="5" t="inlineStr">
        <is>
          <t>What it shows</t>
        </is>
      </c>
    </row>
    <row r="45" ht="45" customHeight="1">
      <c r="A45" s="3" t="inlineStr">
        <is>
          <t>Installations brought in $400,900 this financial year to date, 9.0% on the same period last year (slower than the business as a whole, 11.7%), at a 28.8% gross margin (below the 38.5% overall).</t>
        </is>
      </c>
    </row>
    <row r="46"/>
    <row r="47">
      <c r="A47" s="5" t="inlineStr">
        <is>
          <t>What you'd do about it</t>
        </is>
      </c>
    </row>
    <row r="48" ht="30" customHeight="1">
      <c r="A48" s="3" t="inlineStr">
        <is>
          <t>Installations: 28.8% gross margin, 6.2 points under the 35.0% target: about $24,765 on $400,900 of revenue this financial year to date. It's below the 31.1%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October so far against October last year</t>
        </is>
      </c>
      <c r="B52" s="9">
        <f>Workings!B120</f>
        <v/>
      </c>
      <c r="C52" s="10" t="inlineStr">
        <is>
          <t>$3,375 against $22,298</t>
        </is>
      </c>
    </row>
    <row r="53">
      <c r="A53" t="inlineStr">
        <is>
          <t>Year to date against the same period last year</t>
        </is>
      </c>
      <c r="B53" s="9">
        <f>Workings!B131</f>
        <v/>
      </c>
      <c r="C53" s="10" t="inlineStr">
        <is>
          <t>$88,564 against $79,777</t>
        </is>
      </c>
    </row>
    <row r="54">
      <c r="A54" t="inlineStr">
        <is>
          <t>Gross margin, year to date</t>
        </is>
      </c>
      <c r="B54" s="9">
        <f>Workings!B142</f>
        <v/>
      </c>
      <c r="C54" s="10" t="inlineStr">
        <is>
          <t>$38,744 before overheads</t>
        </is>
      </c>
    </row>
    <row r="55"/>
    <row r="56">
      <c r="A56" s="5" t="inlineStr">
        <is>
          <t>What it shows</t>
        </is>
      </c>
    </row>
    <row r="57" ht="45" customHeight="1">
      <c r="A57" s="3" t="inlineStr">
        <is>
          <t>Call-outs and repairs brought in $88,564 this financial year to date, 11.0% on the same period last year (slower than the business as a whole, 11.7%), at a 43.7% gross margin (above the 38.5% overall).</t>
        </is>
      </c>
    </row>
    <row r="58"/>
    <row r="59">
      <c r="A59" s="5" t="inlineStr">
        <is>
          <t>What you'd do about it</t>
        </is>
      </c>
    </row>
    <row r="60" ht="30" customHeight="1">
      <c r="A60" s="3" t="inlineStr">
        <is>
          <t>Call-outs and repairs: 43.7% gross margin, 8.7 points over the 35.0% target ($7,747 ahead on $88,564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 · latest closed month: September</t>
        </is>
      </c>
    </row>
    <row r="70" ht="75" customHeight="1">
      <c r="A70" s="3" t="inlineStr">
        <is>
          <t>October is still in progress and wages are paid fortnightly, so a part month can't be bridged: this is September, the latest closed month. September's client work made $68,410 gross margin (51.9%). Consultant time not charged to client work took $660 and overheads $52,140, leaving $15,610 profit before tax (11.8% of revenue). To cover overheads, client work needs a 40.0%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October so far against October last year</t>
        </is>
      </c>
      <c r="B74" s="9">
        <f>Workings!B168</f>
        <v/>
      </c>
      <c r="C74" s="10" t="inlineStr">
        <is>
          <t>$44,605 against $71,260</t>
        </is>
      </c>
    </row>
    <row r="75">
      <c r="A75" t="inlineStr">
        <is>
          <t>Year to date against the same period last year</t>
        </is>
      </c>
      <c r="B75" s="9">
        <f>Workings!B179</f>
        <v/>
      </c>
      <c r="C75" s="10" t="inlineStr">
        <is>
          <t>$411,850 against $278,590</t>
        </is>
      </c>
    </row>
    <row r="76">
      <c r="A76" t="inlineStr">
        <is>
          <t>Gross margin, year to date</t>
        </is>
      </c>
      <c r="B76" s="9">
        <f>Workings!B190</f>
        <v/>
      </c>
      <c r="C76" s="10" t="inlineStr">
        <is>
          <t>$248,170 before overheads</t>
        </is>
      </c>
    </row>
    <row r="77"/>
    <row r="78">
      <c r="A78" s="5" t="inlineStr">
        <is>
          <t>What it shows</t>
        </is>
      </c>
    </row>
    <row r="79" ht="45" customHeight="1">
      <c r="A79" s="3" t="inlineStr">
        <is>
          <t>Revenue is 47.8% up on the same period last year, year to date ($411,850 against $278,590). Retainers make the highest gross margin (68.5%); Projects the lowest (56.3%). The business needs 40.0% gross margin just to cover overheads.</t>
        </is>
      </c>
    </row>
    <row r="80"/>
    <row r="81">
      <c r="A81" s="5" t="inlineStr">
        <is>
          <t>What you'd do about it</t>
        </is>
      </c>
    </row>
    <row r="82" ht="45" customHeight="1">
      <c r="A82" s="3" t="inlineStr">
        <is>
          <t>Projects: 56.3% gross margin, 16.3 points over the 40.0% target ($41,250 ahead on $253,250 this financial year to date). Retainers: 68.5% gross margin, 28.5 points over the 40.0% target ($37,020 ahead on $130,000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October so far against October last year</t>
        </is>
      </c>
      <c r="B86" s="9">
        <f>Workings!B199</f>
        <v/>
      </c>
      <c r="C86" s="10" t="inlineStr">
        <is>
          <t>$12,105 against $45,860</t>
        </is>
      </c>
    </row>
    <row r="87">
      <c r="A87" t="inlineStr">
        <is>
          <t>Year to date against the same period last year</t>
        </is>
      </c>
      <c r="B87" s="9">
        <f>Workings!B210</f>
        <v/>
      </c>
      <c r="C87" s="10" t="inlineStr">
        <is>
          <t>$253,250 against $187,490</t>
        </is>
      </c>
    </row>
    <row r="88">
      <c r="A88" t="inlineStr">
        <is>
          <t>Gross margin, year to date</t>
        </is>
      </c>
      <c r="B88" s="9">
        <f>Workings!B221</f>
        <v/>
      </c>
      <c r="C88" s="10" t="inlineStr">
        <is>
          <t>$142,550 before overheads</t>
        </is>
      </c>
    </row>
    <row r="89"/>
    <row r="90">
      <c r="A90" s="5" t="inlineStr">
        <is>
          <t>What it shows</t>
        </is>
      </c>
    </row>
    <row r="91" ht="30" customHeight="1">
      <c r="A91" s="3" t="inlineStr">
        <is>
          <t>Projects brought in $253,250 this financial year to date, 35.1% on the same period last year (slower than the business as a whole, 47.8%), at a 56.3% gross margin (below the 60.3% overall).</t>
        </is>
      </c>
    </row>
    <row r="92"/>
    <row r="93">
      <c r="A93" s="5" t="inlineStr">
        <is>
          <t>What you'd do about it</t>
        </is>
      </c>
    </row>
    <row r="94" ht="30" customHeight="1">
      <c r="A94" s="3" t="inlineStr">
        <is>
          <t>Projects: 56.3% gross margin, 16.3 points over the 40.0% target ($41,250 ahead on $253,250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October so far against October last year</t>
        </is>
      </c>
      <c r="B98" s="9">
        <f>Workings!B230</f>
        <v/>
      </c>
      <c r="C98" s="10" t="inlineStr">
        <is>
          <t>$32,500 against $16,300</t>
        </is>
      </c>
    </row>
    <row r="99">
      <c r="A99" t="inlineStr">
        <is>
          <t>Year to date against the same period last year</t>
        </is>
      </c>
      <c r="B99" s="9">
        <f>Workings!B241</f>
        <v/>
      </c>
      <c r="C99" s="10" t="inlineStr">
        <is>
          <t>$130,000 against $65,200</t>
        </is>
      </c>
    </row>
    <row r="100">
      <c r="A100" t="inlineStr">
        <is>
          <t>Gross margin, year to date</t>
        </is>
      </c>
      <c r="B100" s="9">
        <f>Workings!B252</f>
        <v/>
      </c>
      <c r="C100" s="10" t="inlineStr">
        <is>
          <t>$89,020 before overheads</t>
        </is>
      </c>
    </row>
    <row r="101"/>
    <row r="102">
      <c r="A102" s="5" t="inlineStr">
        <is>
          <t>What it shows</t>
        </is>
      </c>
    </row>
    <row r="103" ht="45" customHeight="1">
      <c r="A103" s="3" t="inlineStr">
        <is>
          <t>Retainers brought in $130,000 this financial year to date, 99.4% on the same period last year (faster than the business as a whole, 47.8%), at a 68.5% gross margin (above the 60.3% overall).</t>
        </is>
      </c>
    </row>
    <row r="104"/>
    <row r="105">
      <c r="A105" s="5" t="inlineStr">
        <is>
          <t>What you'd do about it</t>
        </is>
      </c>
    </row>
    <row r="106" ht="30" customHeight="1">
      <c r="A106" s="3" t="inlineStr">
        <is>
          <t>Retainers: 68.5% gross margin, 28.5 points over the 40.0% target ($37,020 ahead on $130,000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October so far against October last year</t>
        </is>
      </c>
      <c r="B110" s="9">
        <f>Workings!B261</f>
        <v/>
      </c>
      <c r="C110" s="10" t="inlineStr">
        <is>
          <t>$0 against $9,100</t>
        </is>
      </c>
    </row>
    <row r="111">
      <c r="A111" t="inlineStr">
        <is>
          <t>Year to date against the same period last year</t>
        </is>
      </c>
      <c r="B111" s="9">
        <f>Workings!B272</f>
        <v/>
      </c>
      <c r="C111" s="10" t="inlineStr">
        <is>
          <t>$28,600 against $25,900</t>
        </is>
      </c>
    </row>
    <row r="112">
      <c r="A112" t="inlineStr">
        <is>
          <t>Gross margin, year to date</t>
        </is>
      </c>
      <c r="B112" s="9">
        <f>Workings!B283</f>
        <v/>
      </c>
      <c r="C112" s="10" t="inlineStr">
        <is>
          <t>$16,600 before overheads</t>
        </is>
      </c>
    </row>
    <row r="113"/>
    <row r="114">
      <c r="A114" s="5" t="inlineStr">
        <is>
          <t>What it shows</t>
        </is>
      </c>
    </row>
    <row r="115" ht="30" customHeight="1">
      <c r="A115" s="3" t="inlineStr">
        <is>
          <t>Training brought in $28,600 this financial year to date, 10.4% on the same period last year (slower than the business as a whole, 47.8%), at a 58.0% gross margin (below the 60.3% overall).</t>
        </is>
      </c>
    </row>
    <row r="116"/>
    <row r="117">
      <c r="A117" s="5" t="inlineStr">
        <is>
          <t>What you'd do about it</t>
        </is>
      </c>
    </row>
    <row r="118" ht="30" customHeight="1">
      <c r="A118" s="3" t="inlineStr">
        <is>
          <t>Training: 58.0% gross margin, 18.0 points over the 40.0% target ($5,160 ahead on $28,600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8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6" t="inlineStr">
        <is>
          <t>All lines: October against October last year</t>
        </is>
      </c>
    </row>
    <row r="23">
      <c r="A23" s="11" t="inlineStr">
        <is>
          <t>October 2026 to date ÷ October 2025 − 1 (year on year)</t>
        </is>
      </c>
    </row>
    <row r="24">
      <c r="A24" s="7" t="inlineStr"/>
      <c r="B24" s="8" t="inlineStr">
        <is>
          <t>Oct</t>
        </is>
      </c>
    </row>
    <row r="25">
      <c r="A25" t="inlineStr">
        <is>
          <t>Revenue, Oct 2026</t>
        </is>
      </c>
      <c r="B25" s="12" t="n">
        <v>76875</v>
      </c>
    </row>
    <row r="26">
      <c r="A26" t="inlineStr">
        <is>
          <t>Revenue, Oct 2025</t>
        </is>
      </c>
      <c r="B26" s="12" t="n">
        <v>128898</v>
      </c>
    </row>
    <row r="27">
      <c r="A27" s="14" t="inlineStr">
        <is>
          <t>Growth</t>
        </is>
      </c>
      <c r="B27" s="15">
        <f>B25/B26-1</f>
        <v/>
      </c>
    </row>
    <row r="28">
      <c r="A28" s="2" t="inlineStr">
        <is>
          <t>October is still in progress (data to 6 October), so it is a part month against full months.</t>
        </is>
      </c>
    </row>
    <row r="29"/>
    <row r="30"/>
    <row r="31">
      <c r="A31" s="6" t="inlineStr">
        <is>
          <t>All lines: year to date against the same period last year</t>
        </is>
      </c>
    </row>
    <row r="32">
      <c r="A32" s="11" t="inlineStr">
        <is>
          <t>Jul to Oct 2026 ÷ Jul to Oct 2025 − 1 (financial year to date)</t>
        </is>
      </c>
    </row>
    <row r="33">
      <c r="A33" s="7" t="inlineStr"/>
      <c r="B33" s="8" t="inlineStr">
        <is>
          <t>Year to date</t>
        </is>
      </c>
    </row>
    <row r="34">
      <c r="A34" t="inlineStr">
        <is>
          <t>Revenue, year to date (Jul to Oct 2026)</t>
        </is>
      </c>
      <c r="B34" s="12" t="n">
        <v>651464</v>
      </c>
    </row>
    <row r="35">
      <c r="A35" t="inlineStr">
        <is>
          <t>Revenue, same period last year (Jul to Oct 2025)</t>
        </is>
      </c>
      <c r="B35" s="12" t="n">
        <v>583077</v>
      </c>
    </row>
    <row r="36">
      <c r="A36" t="inlineStr">
        <is>
          <t>Growth</t>
        </is>
      </c>
      <c r="B36" s="13">
        <f>B34/B35-1</f>
        <v/>
      </c>
    </row>
    <row r="37">
      <c r="A37" t="inlineStr">
        <is>
          <t>Gross margin, year to date</t>
        </is>
      </c>
      <c r="B37" s="12" t="n">
        <v>250758</v>
      </c>
    </row>
    <row r="38">
      <c r="A38" s="14" t="inlineStr">
        <is>
          <t>Gross margin %, year to date</t>
        </is>
      </c>
      <c r="B38" s="15">
        <f>B37/B34</f>
        <v/>
      </c>
    </row>
    <row r="39">
      <c r="A39" s="2" t="inlineStr">
        <is>
          <t>October is still in progress (data to 6 October), so it is a part month against full months.</t>
        </is>
      </c>
    </row>
    <row r="40"/>
    <row r="41"/>
    <row r="42">
      <c r="A42" s="6" t="inlineStr">
        <is>
          <t>All lines: year to date against the same period last year</t>
        </is>
      </c>
    </row>
    <row r="43">
      <c r="A43" s="11" t="inlineStr">
        <is>
          <t>Jul to Oct 2026 ÷ Jul to Oct 2025 − 1 (financial year to date)</t>
        </is>
      </c>
    </row>
    <row r="44">
      <c r="A44" s="7" t="inlineStr"/>
      <c r="B44" s="8" t="inlineStr">
        <is>
          <t>Year to date</t>
        </is>
      </c>
    </row>
    <row r="45">
      <c r="A45" t="inlineStr">
        <is>
          <t>Revenue, year to date (Jul to Oct 2026)</t>
        </is>
      </c>
      <c r="B45" s="12" t="n">
        <v>651464</v>
      </c>
    </row>
    <row r="46">
      <c r="A46" t="inlineStr">
        <is>
          <t>Revenue, same period last year (Jul to Oct 2025)</t>
        </is>
      </c>
      <c r="B46" s="12" t="n">
        <v>583077</v>
      </c>
    </row>
    <row r="47">
      <c r="A47" t="inlineStr">
        <is>
          <t>Growth</t>
        </is>
      </c>
      <c r="B47" s="13">
        <f>B45/B46-1</f>
        <v/>
      </c>
    </row>
    <row r="48">
      <c r="A48" t="inlineStr">
        <is>
          <t>Gross margin, year to date</t>
        </is>
      </c>
      <c r="B48" s="12" t="n">
        <v>250758</v>
      </c>
    </row>
    <row r="49">
      <c r="A49" s="14" t="inlineStr">
        <is>
          <t>Gross margin %, year to date</t>
        </is>
      </c>
      <c r="B49" s="15">
        <f>B48/B45</f>
        <v/>
      </c>
    </row>
    <row r="50">
      <c r="A50" s="2" t="inlineStr">
        <is>
          <t>October is still in progress (data to 6 October), so it is a part month against full months.</t>
        </is>
      </c>
    </row>
    <row r="51"/>
    <row r="52"/>
    <row r="53">
      <c r="A53" s="6" t="inlineStr">
        <is>
          <t>Maintenance contracts: October against October last year</t>
        </is>
      </c>
    </row>
    <row r="54">
      <c r="A54" s="11" t="inlineStr">
        <is>
          <t>October 2026 to date ÷ October 2025 − 1 (year on year)</t>
        </is>
      </c>
    </row>
    <row r="55">
      <c r="A55" s="7" t="inlineStr"/>
      <c r="B55" s="8" t="inlineStr">
        <is>
          <t>Oct</t>
        </is>
      </c>
    </row>
    <row r="56">
      <c r="A56" t="inlineStr">
        <is>
          <t>Revenue, Oct 2026</t>
        </is>
      </c>
      <c r="B56" s="12" t="n">
        <v>40500</v>
      </c>
    </row>
    <row r="57">
      <c r="A57" t="inlineStr">
        <is>
          <t>Revenue, Oct 2025</t>
        </is>
      </c>
      <c r="B57" s="12" t="n">
        <v>35800</v>
      </c>
    </row>
    <row r="58">
      <c r="A58" s="14" t="inlineStr">
        <is>
          <t>Growth</t>
        </is>
      </c>
      <c r="B58" s="15">
        <f>B56/B57-1</f>
        <v/>
      </c>
    </row>
    <row r="59">
      <c r="A59" s="2" t="inlineStr">
        <is>
          <t>October is still in progress (data to 6 October), so it is a part month against full months.</t>
        </is>
      </c>
    </row>
    <row r="60"/>
    <row r="61"/>
    <row r="62">
      <c r="A62" s="6" t="inlineStr">
        <is>
          <t>Maintenance contracts: year to date against the same period last year</t>
        </is>
      </c>
    </row>
    <row r="63">
      <c r="A63" s="11" t="inlineStr">
        <is>
          <t>Jul to Oct 2026 ÷ Jul to Oct 2025 − 1 (financial year to date)</t>
        </is>
      </c>
    </row>
    <row r="64">
      <c r="A64" s="7" t="inlineStr"/>
      <c r="B64" s="8" t="inlineStr">
        <is>
          <t>Year to date</t>
        </is>
      </c>
    </row>
    <row r="65">
      <c r="A65" t="inlineStr">
        <is>
          <t>Revenue, year to date (Jul to Oct 2026)</t>
        </is>
      </c>
      <c r="B65" s="12" t="n">
        <v>162000</v>
      </c>
    </row>
    <row r="66">
      <c r="A66" t="inlineStr">
        <is>
          <t>Revenue, same period last year (Jul to Oct 2025)</t>
        </is>
      </c>
      <c r="B66" s="12" t="n">
        <v>135400</v>
      </c>
    </row>
    <row r="67">
      <c r="A67" t="inlineStr">
        <is>
          <t>Growth</t>
        </is>
      </c>
      <c r="B67" s="13">
        <f>B65/B66-1</f>
        <v/>
      </c>
    </row>
    <row r="68">
      <c r="A68" t="inlineStr">
        <is>
          <t>Gross margin, year to date</t>
        </is>
      </c>
      <c r="B68" s="12" t="n">
        <v>96464</v>
      </c>
    </row>
    <row r="69">
      <c r="A69" s="14" t="inlineStr">
        <is>
          <t>Gross margin %, year to date</t>
        </is>
      </c>
      <c r="B69" s="15">
        <f>B68/B65</f>
        <v/>
      </c>
    </row>
    <row r="70">
      <c r="A70" s="2" t="inlineStr">
        <is>
          <t>October is still in progress (data to 6 October), so it is a part month against full months.</t>
        </is>
      </c>
    </row>
    <row r="71"/>
    <row r="72"/>
    <row r="73">
      <c r="A73" s="6" t="inlineStr">
        <is>
          <t>Maintenance contracts: year to date against the same period last year</t>
        </is>
      </c>
    </row>
    <row r="74">
      <c r="A74" s="11" t="inlineStr">
        <is>
          <t>Jul to Oct 2026 ÷ Jul to Oct 2025 − 1 (financial year to date)</t>
        </is>
      </c>
    </row>
    <row r="75">
      <c r="A75" s="7" t="inlineStr"/>
      <c r="B75" s="8" t="inlineStr">
        <is>
          <t>Year to date</t>
        </is>
      </c>
    </row>
    <row r="76">
      <c r="A76" t="inlineStr">
        <is>
          <t>Revenue, year to date (Jul to Oct 2026)</t>
        </is>
      </c>
      <c r="B76" s="12" t="n">
        <v>162000</v>
      </c>
    </row>
    <row r="77">
      <c r="A77" t="inlineStr">
        <is>
          <t>Revenue, same period last year (Jul to Oct 2025)</t>
        </is>
      </c>
      <c r="B77" s="12" t="n">
        <v>135400</v>
      </c>
    </row>
    <row r="78">
      <c r="A78" t="inlineStr">
        <is>
          <t>Growth</t>
        </is>
      </c>
      <c r="B78" s="13">
        <f>B76/B77-1</f>
        <v/>
      </c>
    </row>
    <row r="79">
      <c r="A79" t="inlineStr">
        <is>
          <t>Gross margin, year to date</t>
        </is>
      </c>
      <c r="B79" s="12" t="n">
        <v>96464</v>
      </c>
    </row>
    <row r="80">
      <c r="A80" s="14" t="inlineStr">
        <is>
          <t>Gross margin %, year to date</t>
        </is>
      </c>
      <c r="B80" s="15">
        <f>B79/B76</f>
        <v/>
      </c>
    </row>
    <row r="81">
      <c r="A81" s="2" t="inlineStr">
        <is>
          <t>October is still in progress (data to 6 October), so it is a part month against full months.</t>
        </is>
      </c>
    </row>
    <row r="82"/>
    <row r="83"/>
    <row r="84">
      <c r="A84" s="6" t="inlineStr">
        <is>
          <t>Installations: October against October last year</t>
        </is>
      </c>
    </row>
    <row r="85">
      <c r="A85" s="11" t="inlineStr">
        <is>
          <t>October 2026 to date ÷ October 2025 − 1 (year on year)</t>
        </is>
      </c>
    </row>
    <row r="86">
      <c r="A86" s="7" t="inlineStr"/>
      <c r="B86" s="8" t="inlineStr">
        <is>
          <t>Oct</t>
        </is>
      </c>
    </row>
    <row r="87">
      <c r="A87" t="inlineStr">
        <is>
          <t>Revenue, Oct 2026</t>
        </is>
      </c>
      <c r="B87" s="12" t="n">
        <v>33000</v>
      </c>
    </row>
    <row r="88">
      <c r="A88" t="inlineStr">
        <is>
          <t>Revenue, Oct 2025</t>
        </is>
      </c>
      <c r="B88" s="12" t="n">
        <v>70800</v>
      </c>
    </row>
    <row r="89">
      <c r="A89" s="14" t="inlineStr">
        <is>
          <t>Growth</t>
        </is>
      </c>
      <c r="B89" s="15">
        <f>B87/B88-1</f>
        <v/>
      </c>
    </row>
    <row r="90">
      <c r="A90" s="2" t="inlineStr">
        <is>
          <t>October is still in progress (data to 6 October), so it is a part month against full months.</t>
        </is>
      </c>
    </row>
    <row r="91"/>
    <row r="92"/>
    <row r="93">
      <c r="A93" s="6" t="inlineStr">
        <is>
          <t>Installations: year to date against the same period last year</t>
        </is>
      </c>
    </row>
    <row r="94">
      <c r="A94" s="11" t="inlineStr">
        <is>
          <t>Jul to Oct 2026 ÷ Jul to Oct 2025 − 1 (financial year to date)</t>
        </is>
      </c>
    </row>
    <row r="95">
      <c r="A95" s="7" t="inlineStr"/>
      <c r="B95" s="8" t="inlineStr">
        <is>
          <t>Year to date</t>
        </is>
      </c>
    </row>
    <row r="96">
      <c r="A96" t="inlineStr">
        <is>
          <t>Revenue, year to date (Jul to Oct 2026)</t>
        </is>
      </c>
      <c r="B96" s="12" t="n">
        <v>400900</v>
      </c>
    </row>
    <row r="97">
      <c r="A97" t="inlineStr">
        <is>
          <t>Revenue, same period last year (Jul to Oct 2025)</t>
        </is>
      </c>
      <c r="B97" s="12" t="n">
        <v>367900</v>
      </c>
    </row>
    <row r="98">
      <c r="A98" t="inlineStr">
        <is>
          <t>Growth</t>
        </is>
      </c>
      <c r="B98" s="13">
        <f>B96/B97-1</f>
        <v/>
      </c>
    </row>
    <row r="99">
      <c r="A99" t="inlineStr">
        <is>
          <t>Gross margin, year to date</t>
        </is>
      </c>
      <c r="B99" s="12" t="n">
        <v>115550</v>
      </c>
    </row>
    <row r="100">
      <c r="A100" s="14" t="inlineStr">
        <is>
          <t>Gross margin %, year to date</t>
        </is>
      </c>
      <c r="B100" s="15">
        <f>B99/B96</f>
        <v/>
      </c>
    </row>
    <row r="101">
      <c r="A101" s="2" t="inlineStr">
        <is>
          <t>October is still in progress (data to 6 October), so it is a part month against full months.</t>
        </is>
      </c>
    </row>
    <row r="102"/>
    <row r="103"/>
    <row r="104">
      <c r="A104" s="6" t="inlineStr">
        <is>
          <t>Installations: year to date against the same period last year</t>
        </is>
      </c>
    </row>
    <row r="105">
      <c r="A105" s="11" t="inlineStr">
        <is>
          <t>Jul to Oct 2026 ÷ Jul to Oct 2025 − 1 (financial year to date)</t>
        </is>
      </c>
    </row>
    <row r="106">
      <c r="A106" s="7" t="inlineStr"/>
      <c r="B106" s="8" t="inlineStr">
        <is>
          <t>Year to date</t>
        </is>
      </c>
    </row>
    <row r="107">
      <c r="A107" t="inlineStr">
        <is>
          <t>Revenue, year to date (Jul to Oct 2026)</t>
        </is>
      </c>
      <c r="B107" s="12" t="n">
        <v>400900</v>
      </c>
    </row>
    <row r="108">
      <c r="A108" t="inlineStr">
        <is>
          <t>Revenue, same period last year (Jul to Oct 2025)</t>
        </is>
      </c>
      <c r="B108" s="12" t="n">
        <v>367900</v>
      </c>
    </row>
    <row r="109">
      <c r="A109" t="inlineStr">
        <is>
          <t>Growth</t>
        </is>
      </c>
      <c r="B109" s="13">
        <f>B107/B108-1</f>
        <v/>
      </c>
    </row>
    <row r="110">
      <c r="A110" t="inlineStr">
        <is>
          <t>Gross margin, year to date</t>
        </is>
      </c>
      <c r="B110" s="12" t="n">
        <v>115550</v>
      </c>
    </row>
    <row r="111">
      <c r="A111" s="14" t="inlineStr">
        <is>
          <t>Gross margin %, year to date</t>
        </is>
      </c>
      <c r="B111" s="15">
        <f>B110/B107</f>
        <v/>
      </c>
    </row>
    <row r="112">
      <c r="A112" s="2" t="inlineStr">
        <is>
          <t>October is still in progress (data to 6 October), so it is a part month against full months.</t>
        </is>
      </c>
    </row>
    <row r="113"/>
    <row r="114"/>
    <row r="115">
      <c r="A115" s="6" t="inlineStr">
        <is>
          <t>Call-outs and repairs: October against October last year</t>
        </is>
      </c>
    </row>
    <row r="116">
      <c r="A116" s="11" t="inlineStr">
        <is>
          <t>October 2026 to date ÷ October 2025 − 1 (year on year)</t>
        </is>
      </c>
    </row>
    <row r="117">
      <c r="A117" s="7" t="inlineStr"/>
      <c r="B117" s="8" t="inlineStr">
        <is>
          <t>Oct</t>
        </is>
      </c>
    </row>
    <row r="118">
      <c r="A118" t="inlineStr">
        <is>
          <t>Revenue, Oct 2026</t>
        </is>
      </c>
      <c r="B118" s="12" t="n">
        <v>3375</v>
      </c>
    </row>
    <row r="119">
      <c r="A119" t="inlineStr">
        <is>
          <t>Revenue, Oct 2025</t>
        </is>
      </c>
      <c r="B119" s="12" t="n">
        <v>22298</v>
      </c>
    </row>
    <row r="120">
      <c r="A120" s="14" t="inlineStr">
        <is>
          <t>Growth</t>
        </is>
      </c>
      <c r="B120" s="15">
        <f>B118/B119-1</f>
        <v/>
      </c>
    </row>
    <row r="121">
      <c r="A121" s="2" t="inlineStr">
        <is>
          <t>October is still in progress (data to 6 October), so it is a part month against full months.</t>
        </is>
      </c>
    </row>
    <row r="122"/>
    <row r="123"/>
    <row r="124">
      <c r="A124" s="6" t="inlineStr">
        <is>
          <t>Call-outs and repairs: year to date against the same period last year</t>
        </is>
      </c>
    </row>
    <row r="125">
      <c r="A125" s="11" t="inlineStr">
        <is>
          <t>Jul to Oct 2026 ÷ Jul to Oct 2025 − 1 (financial year to date)</t>
        </is>
      </c>
    </row>
    <row r="126">
      <c r="A126" s="7" t="inlineStr"/>
      <c r="B126" s="8" t="inlineStr">
        <is>
          <t>Year to date</t>
        </is>
      </c>
    </row>
    <row r="127">
      <c r="A127" t="inlineStr">
        <is>
          <t>Revenue, year to date (Jul to Oct 2026)</t>
        </is>
      </c>
      <c r="B127" s="12" t="n">
        <v>88564</v>
      </c>
    </row>
    <row r="128">
      <c r="A128" t="inlineStr">
        <is>
          <t>Revenue, same period last year (Jul to Oct 2025)</t>
        </is>
      </c>
      <c r="B128" s="12" t="n">
        <v>79777</v>
      </c>
    </row>
    <row r="129">
      <c r="A129" t="inlineStr">
        <is>
          <t>Growth</t>
        </is>
      </c>
      <c r="B129" s="13">
        <f>B127/B128-1</f>
        <v/>
      </c>
    </row>
    <row r="130">
      <c r="A130" t="inlineStr">
        <is>
          <t>Gross margin, year to date</t>
        </is>
      </c>
      <c r="B130" s="12" t="n">
        <v>38744</v>
      </c>
    </row>
    <row r="131">
      <c r="A131" s="14" t="inlineStr">
        <is>
          <t>Gross margin %, year to date</t>
        </is>
      </c>
      <c r="B131" s="15">
        <f>B130/B127</f>
        <v/>
      </c>
    </row>
    <row r="132">
      <c r="A132" s="2" t="inlineStr">
        <is>
          <t>October is still in progress (data to 6 October), so it is a part month against full months.</t>
        </is>
      </c>
    </row>
    <row r="133"/>
    <row r="134"/>
    <row r="135">
      <c r="A135" s="6" t="inlineStr">
        <is>
          <t>Call-outs and repairs: year to date against the same period last year</t>
        </is>
      </c>
    </row>
    <row r="136">
      <c r="A136" s="11" t="inlineStr">
        <is>
          <t>Jul to Oct 2026 ÷ Jul to Oct 2025 − 1 (financial year to date)</t>
        </is>
      </c>
    </row>
    <row r="137">
      <c r="A137" s="7" t="inlineStr"/>
      <c r="B137" s="8" t="inlineStr">
        <is>
          <t>Year to date</t>
        </is>
      </c>
    </row>
    <row r="138">
      <c r="A138" t="inlineStr">
        <is>
          <t>Revenue, year to date (Jul to Oct 2026)</t>
        </is>
      </c>
      <c r="B138" s="12" t="n">
        <v>88564</v>
      </c>
    </row>
    <row r="139">
      <c r="A139" t="inlineStr">
        <is>
          <t>Revenue, same period last year (Jul to Oct 2025)</t>
        </is>
      </c>
      <c r="B139" s="12" t="n">
        <v>79777</v>
      </c>
    </row>
    <row r="140">
      <c r="A140" t="inlineStr">
        <is>
          <t>Growth</t>
        </is>
      </c>
      <c r="B140" s="13">
        <f>B138/B139-1</f>
        <v/>
      </c>
    </row>
    <row r="141">
      <c r="A141" t="inlineStr">
        <is>
          <t>Gross margin, year to date</t>
        </is>
      </c>
      <c r="B141" s="12" t="n">
        <v>38744</v>
      </c>
    </row>
    <row r="142">
      <c r="A142" s="14" t="inlineStr">
        <is>
          <t>Gross margin %, year to date</t>
        </is>
      </c>
      <c r="B142" s="15">
        <f>B141/B138</f>
        <v/>
      </c>
    </row>
    <row r="143">
      <c r="A143" s="2" t="inlineStr">
        <is>
          <t>October is still in progress (data to 6 October), so it is a part month against full months.</t>
        </is>
      </c>
    </row>
    <row r="144"/>
    <row r="145"/>
    <row r="146">
      <c r="A146" s="6" t="inlineStr">
        <is>
          <t>From gross margin to profit, September 2026</t>
        </is>
      </c>
    </row>
    <row r="147">
      <c r="A147" s="11" t="inlineStr">
        <is>
          <t>Gross margin on the work − time not charged − overheads = profit before tax</t>
        </is>
      </c>
    </row>
    <row r="148">
      <c r="A148" s="7" t="inlineStr"/>
      <c r="B148" s="8" t="inlineStr">
        <is>
          <t>Sep 2026</t>
        </is>
      </c>
    </row>
    <row r="149">
      <c r="A149" t="inlineStr">
        <is>
          <t>Gross margin on client work</t>
        </is>
      </c>
      <c r="B149" s="12" t="n">
        <v>68410</v>
      </c>
    </row>
    <row r="150">
      <c r="A150" t="inlineStr">
        <is>
          <t>Consultant wages and on-costs</t>
        </is>
      </c>
      <c r="B150" s="12" t="n">
        <v>46500</v>
      </c>
    </row>
    <row r="151">
      <c r="A151" t="inlineStr">
        <is>
          <t>Consultant time charged to client work (at cost)</t>
        </is>
      </c>
      <c r="B151" s="12" t="n">
        <v>45840</v>
      </c>
    </row>
    <row r="152">
      <c r="A152" t="inlineStr">
        <is>
          <t>Consultant time not charged to client work</t>
        </is>
      </c>
      <c r="B152" s="12">
        <f>B150-B151</f>
        <v/>
      </c>
    </row>
    <row r="153">
      <c r="A153" t="inlineStr">
        <is>
          <t>Gross profit (the P&amp;L)</t>
        </is>
      </c>
      <c r="B153" s="12">
        <f>B149-B152</f>
        <v/>
      </c>
    </row>
    <row r="154">
      <c r="A154" t="inlineStr">
        <is>
          <t>Overheads (operating expenses, depreciation, interest)</t>
        </is>
      </c>
      <c r="B154" s="12" t="n">
        <v>52140</v>
      </c>
    </row>
    <row r="155">
      <c r="A155" t="inlineStr">
        <is>
          <t>Profit before tax (the P&amp;L)</t>
        </is>
      </c>
      <c r="B155" s="12">
        <f>B153-B154</f>
        <v/>
      </c>
    </row>
    <row r="156">
      <c r="A156" t="inlineStr">
        <is>
          <t>Revenue</t>
        </is>
      </c>
      <c r="B156" s="12" t="n">
        <v>131850</v>
      </c>
    </row>
    <row r="157">
      <c r="A157" t="inlineStr">
        <is>
          <t>Gross margin on client work, %</t>
        </is>
      </c>
      <c r="B157" s="13">
        <f>B149/B156</f>
        <v/>
      </c>
    </row>
    <row r="158">
      <c r="A158" t="inlineStr">
        <is>
          <t>Profit before tax, % of revenue</t>
        </is>
      </c>
      <c r="B158" s="13">
        <f>B155/B156</f>
        <v/>
      </c>
    </row>
    <row r="159">
      <c r="A159" s="14" t="inlineStr">
        <is>
          <t>Gross margin client work need just to cover overheads and time not charged</t>
        </is>
      </c>
      <c r="B159" s="15">
        <f>(B152+B154)/B156</f>
        <v/>
      </c>
    </row>
    <row r="160">
      <c r="A160" s="2" t="inlineStr">
        <is>
          <t>Ties to the September 2026 P&amp;L (locked). Wages always include all on-costs: super, payroll tax, workers' compensation insurance and leave. October is still in progress, so this uses September.</t>
        </is>
      </c>
    </row>
    <row r="161"/>
    <row r="162"/>
    <row r="163">
      <c r="A163" s="6" t="inlineStr">
        <is>
          <t>All lines: October against October last year</t>
        </is>
      </c>
    </row>
    <row r="164">
      <c r="A164" s="11" t="inlineStr">
        <is>
          <t>October 2026 to date ÷ October 2025 − 1 (year on year)</t>
        </is>
      </c>
    </row>
    <row r="165">
      <c r="A165" s="7" t="inlineStr"/>
      <c r="B165" s="8" t="inlineStr">
        <is>
          <t>Oct</t>
        </is>
      </c>
    </row>
    <row r="166">
      <c r="A166" t="inlineStr">
        <is>
          <t>Revenue, Oct 2026</t>
        </is>
      </c>
      <c r="B166" s="12" t="n">
        <v>44605</v>
      </c>
    </row>
    <row r="167">
      <c r="A167" t="inlineStr">
        <is>
          <t>Revenue, Oct 2025</t>
        </is>
      </c>
      <c r="B167" s="12" t="n">
        <v>71260</v>
      </c>
    </row>
    <row r="168">
      <c r="A168" s="14" t="inlineStr">
        <is>
          <t>Growth</t>
        </is>
      </c>
      <c r="B168" s="15">
        <f>B166/B167-1</f>
        <v/>
      </c>
    </row>
    <row r="169">
      <c r="A169" s="2" t="inlineStr">
        <is>
          <t>October is still in progress (data to 6 October), so it is a part month against full months.</t>
        </is>
      </c>
    </row>
    <row r="170"/>
    <row r="171"/>
    <row r="172">
      <c r="A172" s="6" t="inlineStr">
        <is>
          <t>All lines: year to date against the same period last year</t>
        </is>
      </c>
    </row>
    <row r="173">
      <c r="A173" s="11" t="inlineStr">
        <is>
          <t>Jul to Oct 2026 ÷ Jul to Oct 2025 − 1 (financial year to date)</t>
        </is>
      </c>
    </row>
    <row r="174">
      <c r="A174" s="7" t="inlineStr"/>
      <c r="B174" s="8" t="inlineStr">
        <is>
          <t>Year to date</t>
        </is>
      </c>
    </row>
    <row r="175">
      <c r="A175" t="inlineStr">
        <is>
          <t>Revenue, year to date (Jul to Oct 2026)</t>
        </is>
      </c>
      <c r="B175" s="12" t="n">
        <v>411850</v>
      </c>
    </row>
    <row r="176">
      <c r="A176" t="inlineStr">
        <is>
          <t>Revenue, same period last year (Jul to Oct 2025)</t>
        </is>
      </c>
      <c r="B176" s="12" t="n">
        <v>278590</v>
      </c>
    </row>
    <row r="177">
      <c r="A177" t="inlineStr">
        <is>
          <t>Growth</t>
        </is>
      </c>
      <c r="B177" s="13">
        <f>B175/B176-1</f>
        <v/>
      </c>
    </row>
    <row r="178">
      <c r="A178" t="inlineStr">
        <is>
          <t>Gross margin, year to date</t>
        </is>
      </c>
      <c r="B178" s="12" t="n">
        <v>248170</v>
      </c>
    </row>
    <row r="179">
      <c r="A179" s="14" t="inlineStr">
        <is>
          <t>Gross margin %, year to date</t>
        </is>
      </c>
      <c r="B179" s="15">
        <f>B178/B175</f>
        <v/>
      </c>
    </row>
    <row r="180">
      <c r="A180" s="2" t="inlineStr">
        <is>
          <t>October is still in progress (data to 6 October), so it is a part month against full months.</t>
        </is>
      </c>
    </row>
    <row r="181"/>
    <row r="182"/>
    <row r="183">
      <c r="A183" s="6" t="inlineStr">
        <is>
          <t>All lines: year to date against the same period last year</t>
        </is>
      </c>
    </row>
    <row r="184">
      <c r="A184" s="11" t="inlineStr">
        <is>
          <t>Jul to Oct 2026 ÷ Jul to Oct 2025 − 1 (financial year to date)</t>
        </is>
      </c>
    </row>
    <row r="185">
      <c r="A185" s="7" t="inlineStr"/>
      <c r="B185" s="8" t="inlineStr">
        <is>
          <t>Year to date</t>
        </is>
      </c>
    </row>
    <row r="186">
      <c r="A186" t="inlineStr">
        <is>
          <t>Revenue, year to date (Jul to Oct 2026)</t>
        </is>
      </c>
      <c r="B186" s="12" t="n">
        <v>411850</v>
      </c>
    </row>
    <row r="187">
      <c r="A187" t="inlineStr">
        <is>
          <t>Revenue, same period last year (Jul to Oct 2025)</t>
        </is>
      </c>
      <c r="B187" s="12" t="n">
        <v>278590</v>
      </c>
    </row>
    <row r="188">
      <c r="A188" t="inlineStr">
        <is>
          <t>Growth</t>
        </is>
      </c>
      <c r="B188" s="13">
        <f>B186/B187-1</f>
        <v/>
      </c>
    </row>
    <row r="189">
      <c r="A189" t="inlineStr">
        <is>
          <t>Gross margin, year to date</t>
        </is>
      </c>
      <c r="B189" s="12" t="n">
        <v>248170</v>
      </c>
    </row>
    <row r="190">
      <c r="A190" s="14" t="inlineStr">
        <is>
          <t>Gross margin %, year to date</t>
        </is>
      </c>
      <c r="B190" s="15">
        <f>B189/B186</f>
        <v/>
      </c>
    </row>
    <row r="191">
      <c r="A191" s="2" t="inlineStr">
        <is>
          <t>October is still in progress (data to 6 October), so it is a part month against full months.</t>
        </is>
      </c>
    </row>
    <row r="192"/>
    <row r="193"/>
    <row r="194">
      <c r="A194" s="6" t="inlineStr">
        <is>
          <t>Projects: October against October last year</t>
        </is>
      </c>
    </row>
    <row r="195">
      <c r="A195" s="11" t="inlineStr">
        <is>
          <t>October 2026 to date ÷ October 2025 − 1 (year on year)</t>
        </is>
      </c>
    </row>
    <row r="196">
      <c r="A196" s="7" t="inlineStr"/>
      <c r="B196" s="8" t="inlineStr">
        <is>
          <t>Oct</t>
        </is>
      </c>
    </row>
    <row r="197">
      <c r="A197" t="inlineStr">
        <is>
          <t>Revenue, Oct 2026</t>
        </is>
      </c>
      <c r="B197" s="12" t="n">
        <v>12105</v>
      </c>
    </row>
    <row r="198">
      <c r="A198" t="inlineStr">
        <is>
          <t>Revenue, Oct 2025</t>
        </is>
      </c>
      <c r="B198" s="12" t="n">
        <v>45860</v>
      </c>
    </row>
    <row r="199">
      <c r="A199" s="14" t="inlineStr">
        <is>
          <t>Growth</t>
        </is>
      </c>
      <c r="B199" s="15">
        <f>B197/B198-1</f>
        <v/>
      </c>
    </row>
    <row r="200">
      <c r="A200" s="2" t="inlineStr">
        <is>
          <t>October is still in progress (data to 6 October), so it is a part month against full months.</t>
        </is>
      </c>
    </row>
    <row r="201"/>
    <row r="202"/>
    <row r="203">
      <c r="A203" s="6" t="inlineStr">
        <is>
          <t>Projects: year to date against the same period last year</t>
        </is>
      </c>
    </row>
    <row r="204">
      <c r="A204" s="11" t="inlineStr">
        <is>
          <t>Jul to Oct 2026 ÷ Jul to Oct 2025 − 1 (financial year to date)</t>
        </is>
      </c>
    </row>
    <row r="205">
      <c r="A205" s="7" t="inlineStr"/>
      <c r="B205" s="8" t="inlineStr">
        <is>
          <t>Year to date</t>
        </is>
      </c>
    </row>
    <row r="206">
      <c r="A206" t="inlineStr">
        <is>
          <t>Revenue, year to date (Jul to Oct 2026)</t>
        </is>
      </c>
      <c r="B206" s="12" t="n">
        <v>253250</v>
      </c>
    </row>
    <row r="207">
      <c r="A207" t="inlineStr">
        <is>
          <t>Revenue, same period last year (Jul to Oct 2025)</t>
        </is>
      </c>
      <c r="B207" s="12" t="n">
        <v>187490</v>
      </c>
    </row>
    <row r="208">
      <c r="A208" t="inlineStr">
        <is>
          <t>Growth</t>
        </is>
      </c>
      <c r="B208" s="13">
        <f>B206/B207-1</f>
        <v/>
      </c>
    </row>
    <row r="209">
      <c r="A209" t="inlineStr">
        <is>
          <t>Gross margin, year to date</t>
        </is>
      </c>
      <c r="B209" s="12" t="n">
        <v>142550</v>
      </c>
    </row>
    <row r="210">
      <c r="A210" s="14" t="inlineStr">
        <is>
          <t>Gross margin %, year to date</t>
        </is>
      </c>
      <c r="B210" s="15">
        <f>B209/B206</f>
        <v/>
      </c>
    </row>
    <row r="211">
      <c r="A211" s="2" t="inlineStr">
        <is>
          <t>October is still in progress (data to 6 October), so it is a part month against full months.</t>
        </is>
      </c>
    </row>
    <row r="212"/>
    <row r="213"/>
    <row r="214">
      <c r="A214" s="6" t="inlineStr">
        <is>
          <t>Projects: year to date against the same period last year</t>
        </is>
      </c>
    </row>
    <row r="215">
      <c r="A215" s="11" t="inlineStr">
        <is>
          <t>Jul to Oct 2026 ÷ Jul to Oct 2025 − 1 (financial year to date)</t>
        </is>
      </c>
    </row>
    <row r="216">
      <c r="A216" s="7" t="inlineStr"/>
      <c r="B216" s="8" t="inlineStr">
        <is>
          <t>Year to date</t>
        </is>
      </c>
    </row>
    <row r="217">
      <c r="A217" t="inlineStr">
        <is>
          <t>Revenue, year to date (Jul to Oct 2026)</t>
        </is>
      </c>
      <c r="B217" s="12" t="n">
        <v>253250</v>
      </c>
    </row>
    <row r="218">
      <c r="A218" t="inlineStr">
        <is>
          <t>Revenue, same period last year (Jul to Oct 2025)</t>
        </is>
      </c>
      <c r="B218" s="12" t="n">
        <v>187490</v>
      </c>
    </row>
    <row r="219">
      <c r="A219" t="inlineStr">
        <is>
          <t>Growth</t>
        </is>
      </c>
      <c r="B219" s="13">
        <f>B217/B218-1</f>
        <v/>
      </c>
    </row>
    <row r="220">
      <c r="A220" t="inlineStr">
        <is>
          <t>Gross margin, year to date</t>
        </is>
      </c>
      <c r="B220" s="12" t="n">
        <v>142550</v>
      </c>
    </row>
    <row r="221">
      <c r="A221" s="14" t="inlineStr">
        <is>
          <t>Gross margin %, year to date</t>
        </is>
      </c>
      <c r="B221" s="15">
        <f>B220/B217</f>
        <v/>
      </c>
    </row>
    <row r="222">
      <c r="A222" s="2" t="inlineStr">
        <is>
          <t>October is still in progress (data to 6 October), so it is a part month against full months.</t>
        </is>
      </c>
    </row>
    <row r="223"/>
    <row r="224"/>
    <row r="225">
      <c r="A225" s="6" t="inlineStr">
        <is>
          <t>Retainers: October against October last year</t>
        </is>
      </c>
    </row>
    <row r="226">
      <c r="A226" s="11" t="inlineStr">
        <is>
          <t>October 2026 to date ÷ October 2025 − 1 (year on year)</t>
        </is>
      </c>
    </row>
    <row r="227">
      <c r="A227" s="7" t="inlineStr"/>
      <c r="B227" s="8" t="inlineStr">
        <is>
          <t>Oct</t>
        </is>
      </c>
    </row>
    <row r="228">
      <c r="A228" t="inlineStr">
        <is>
          <t>Revenue, Oct 2026</t>
        </is>
      </c>
      <c r="B228" s="12" t="n">
        <v>32500</v>
      </c>
    </row>
    <row r="229">
      <c r="A229" t="inlineStr">
        <is>
          <t>Revenue, Oct 2025</t>
        </is>
      </c>
      <c r="B229" s="12" t="n">
        <v>16300</v>
      </c>
    </row>
    <row r="230">
      <c r="A230" s="14" t="inlineStr">
        <is>
          <t>Growth</t>
        </is>
      </c>
      <c r="B230" s="15">
        <f>B228/B229-1</f>
        <v/>
      </c>
    </row>
    <row r="231">
      <c r="A231" s="2" t="inlineStr">
        <is>
          <t>October is still in progress (data to 6 October), so it is a part month against full months.</t>
        </is>
      </c>
    </row>
    <row r="232"/>
    <row r="233"/>
    <row r="234">
      <c r="A234" s="6" t="inlineStr">
        <is>
          <t>Retainers: year to date against the same period last year</t>
        </is>
      </c>
    </row>
    <row r="235">
      <c r="A235" s="11" t="inlineStr">
        <is>
          <t>Jul to Oct 2026 ÷ Jul to Oct 2025 − 1 (financial year to date)</t>
        </is>
      </c>
    </row>
    <row r="236">
      <c r="A236" s="7" t="inlineStr"/>
      <c r="B236" s="8" t="inlineStr">
        <is>
          <t>Year to date</t>
        </is>
      </c>
    </row>
    <row r="237">
      <c r="A237" t="inlineStr">
        <is>
          <t>Revenue, year to date (Jul to Oct 2026)</t>
        </is>
      </c>
      <c r="B237" s="12" t="n">
        <v>130000</v>
      </c>
    </row>
    <row r="238">
      <c r="A238" t="inlineStr">
        <is>
          <t>Revenue, same period last year (Jul to Oct 2025)</t>
        </is>
      </c>
      <c r="B238" s="12" t="n">
        <v>65200</v>
      </c>
    </row>
    <row r="239">
      <c r="A239" t="inlineStr">
        <is>
          <t>Growth</t>
        </is>
      </c>
      <c r="B239" s="13">
        <f>B237/B238-1</f>
        <v/>
      </c>
    </row>
    <row r="240">
      <c r="A240" t="inlineStr">
        <is>
          <t>Gross margin, year to date</t>
        </is>
      </c>
      <c r="B240" s="12" t="n">
        <v>89020</v>
      </c>
    </row>
    <row r="241">
      <c r="A241" s="14" t="inlineStr">
        <is>
          <t>Gross margin %, year to date</t>
        </is>
      </c>
      <c r="B241" s="15">
        <f>B240/B237</f>
        <v/>
      </c>
    </row>
    <row r="242">
      <c r="A242" s="2" t="inlineStr">
        <is>
          <t>October is still in progress (data to 6 October), so it is a part month against full months.</t>
        </is>
      </c>
    </row>
    <row r="243"/>
    <row r="244"/>
    <row r="245">
      <c r="A245" s="6" t="inlineStr">
        <is>
          <t>Retainers: year to date against the same period last year</t>
        </is>
      </c>
    </row>
    <row r="246">
      <c r="A246" s="11" t="inlineStr">
        <is>
          <t>Jul to Oct 2026 ÷ Jul to Oct 2025 − 1 (financial year to date)</t>
        </is>
      </c>
    </row>
    <row r="247">
      <c r="A247" s="7" t="inlineStr"/>
      <c r="B247" s="8" t="inlineStr">
        <is>
          <t>Year to date</t>
        </is>
      </c>
    </row>
    <row r="248">
      <c r="A248" t="inlineStr">
        <is>
          <t>Revenue, year to date (Jul to Oct 2026)</t>
        </is>
      </c>
      <c r="B248" s="12" t="n">
        <v>130000</v>
      </c>
    </row>
    <row r="249">
      <c r="A249" t="inlineStr">
        <is>
          <t>Revenue, same period last year (Jul to Oct 2025)</t>
        </is>
      </c>
      <c r="B249" s="12" t="n">
        <v>65200</v>
      </c>
    </row>
    <row r="250">
      <c r="A250" t="inlineStr">
        <is>
          <t>Growth</t>
        </is>
      </c>
      <c r="B250" s="13">
        <f>B248/B249-1</f>
        <v/>
      </c>
    </row>
    <row r="251">
      <c r="A251" t="inlineStr">
        <is>
          <t>Gross margin, year to date</t>
        </is>
      </c>
      <c r="B251" s="12" t="n">
        <v>89020</v>
      </c>
    </row>
    <row r="252">
      <c r="A252" s="14" t="inlineStr">
        <is>
          <t>Gross margin %, year to date</t>
        </is>
      </c>
      <c r="B252" s="15">
        <f>B251/B248</f>
        <v/>
      </c>
    </row>
    <row r="253">
      <c r="A253" s="2" t="inlineStr">
        <is>
          <t>October is still in progress (data to 6 October), so it is a part month against full months.</t>
        </is>
      </c>
    </row>
    <row r="254"/>
    <row r="255"/>
    <row r="256">
      <c r="A256" s="6" t="inlineStr">
        <is>
          <t>Training: October against October last year</t>
        </is>
      </c>
    </row>
    <row r="257">
      <c r="A257" s="11" t="inlineStr">
        <is>
          <t>October 2026 to date ÷ October 2025 − 1 (year on year)</t>
        </is>
      </c>
    </row>
    <row r="258">
      <c r="A258" s="7" t="inlineStr"/>
      <c r="B258" s="8" t="inlineStr">
        <is>
          <t>Oct</t>
        </is>
      </c>
    </row>
    <row r="259">
      <c r="A259" t="inlineStr">
        <is>
          <t>Revenue, Oct 2026</t>
        </is>
      </c>
      <c r="B259" s="12" t="n">
        <v>0</v>
      </c>
    </row>
    <row r="260">
      <c r="A260" t="inlineStr">
        <is>
          <t>Revenue, Oct 2025</t>
        </is>
      </c>
      <c r="B260" s="12" t="n">
        <v>9100</v>
      </c>
    </row>
    <row r="261">
      <c r="A261" s="14" t="inlineStr">
        <is>
          <t>Growth</t>
        </is>
      </c>
      <c r="B261" s="15">
        <f>B259/B260-1</f>
        <v/>
      </c>
    </row>
    <row r="262">
      <c r="A262" s="2" t="inlineStr">
        <is>
          <t>October is still in progress (data to 6 October), so it is a part month against full months.</t>
        </is>
      </c>
    </row>
    <row r="263"/>
    <row r="264"/>
    <row r="265">
      <c r="A265" s="6" t="inlineStr">
        <is>
          <t>Training: year to date against the same period last year</t>
        </is>
      </c>
    </row>
    <row r="266">
      <c r="A266" s="11" t="inlineStr">
        <is>
          <t>Jul to Oct 2026 ÷ Jul to Oct 2025 − 1 (financial year to date)</t>
        </is>
      </c>
    </row>
    <row r="267">
      <c r="A267" s="7" t="inlineStr"/>
      <c r="B267" s="8" t="inlineStr">
        <is>
          <t>Year to date</t>
        </is>
      </c>
    </row>
    <row r="268">
      <c r="A268" t="inlineStr">
        <is>
          <t>Revenue, year to date (Jul to Oct 2026)</t>
        </is>
      </c>
      <c r="B268" s="12" t="n">
        <v>28600</v>
      </c>
    </row>
    <row r="269">
      <c r="A269" t="inlineStr">
        <is>
          <t>Revenue, same period last year (Jul to Oct 2025)</t>
        </is>
      </c>
      <c r="B269" s="12" t="n">
        <v>25900</v>
      </c>
    </row>
    <row r="270">
      <c r="A270" t="inlineStr">
        <is>
          <t>Growth</t>
        </is>
      </c>
      <c r="B270" s="13">
        <f>B268/B269-1</f>
        <v/>
      </c>
    </row>
    <row r="271">
      <c r="A271" t="inlineStr">
        <is>
          <t>Gross margin, year to date</t>
        </is>
      </c>
      <c r="B271" s="12" t="n">
        <v>16600</v>
      </c>
    </row>
    <row r="272">
      <c r="A272" s="14" t="inlineStr">
        <is>
          <t>Gross margin %, year to date</t>
        </is>
      </c>
      <c r="B272" s="15">
        <f>B271/B268</f>
        <v/>
      </c>
    </row>
    <row r="273">
      <c r="A273" s="2" t="inlineStr">
        <is>
          <t>October is still in progress (data to 6 October), so it is a part month against full months.</t>
        </is>
      </c>
    </row>
    <row r="274"/>
    <row r="275"/>
    <row r="276">
      <c r="A276" s="6" t="inlineStr">
        <is>
          <t>Training: year to date against the same period last year</t>
        </is>
      </c>
    </row>
    <row r="277">
      <c r="A277" s="11" t="inlineStr">
        <is>
          <t>Jul to Oct 2026 ÷ Jul to Oct 2025 − 1 (financial year to date)</t>
        </is>
      </c>
    </row>
    <row r="278">
      <c r="A278" s="7" t="inlineStr"/>
      <c r="B278" s="8" t="inlineStr">
        <is>
          <t>Year to date</t>
        </is>
      </c>
    </row>
    <row r="279">
      <c r="A279" t="inlineStr">
        <is>
          <t>Revenue, year to date (Jul to Oct 2026)</t>
        </is>
      </c>
      <c r="B279" s="12" t="n">
        <v>28600</v>
      </c>
    </row>
    <row r="280">
      <c r="A280" t="inlineStr">
        <is>
          <t>Revenue, same period last year (Jul to Oct 2025)</t>
        </is>
      </c>
      <c r="B280" s="12" t="n">
        <v>25900</v>
      </c>
    </row>
    <row r="281">
      <c r="A281" t="inlineStr">
        <is>
          <t>Growth</t>
        </is>
      </c>
      <c r="B281" s="13">
        <f>B279/B280-1</f>
        <v/>
      </c>
    </row>
    <row r="282">
      <c r="A282" t="inlineStr">
        <is>
          <t>Gross margin, year to date</t>
        </is>
      </c>
      <c r="B282" s="12" t="n">
        <v>16600</v>
      </c>
    </row>
    <row r="283">
      <c r="A283" s="14" t="inlineStr">
        <is>
          <t>Gross margin %, year to date</t>
        </is>
      </c>
      <c r="B283" s="15">
        <f>B282/B279</f>
        <v/>
      </c>
    </row>
    <row r="284">
      <c r="A284" s="2" t="inlineStr">
        <is>
          <t>October is still in progress (data to 6 October), so it is a part month against full months.</t>
        </is>
      </c>
    </row>
    <row r="285"/>
    <row r="286"/>
    <row r="287"/>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30" min="0" max="16383" man="1"/>
    <brk id="61" min="0" max="16383" man="1"/>
    <brk id="92" min="0" max="16383" man="1"/>
    <brk id="123" min="0" max="16383" man="1"/>
    <brk id="145" min="0" max="16383" man="1"/>
    <brk id="171" min="0" max="16383" man="1"/>
    <brk id="202" min="0" max="16383" man="1"/>
    <brk id="233" min="0" max="16383" man="1"/>
    <brk id="264"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179474</v>
      </c>
      <c r="E6" s="12" t="n">
        <v>113016</v>
      </c>
      <c r="F6" s="12">
        <f>D6-E6</f>
        <v/>
      </c>
      <c r="G6" s="13">
        <f>IF(D6=0,"",F6/D6)</f>
        <v/>
      </c>
    </row>
    <row r="7">
      <c r="A7" s="16" t="inlineStr">
        <is>
          <t>All</t>
        </is>
      </c>
      <c r="B7" s="16" t="inlineStr">
        <is>
          <t>Dec 24</t>
        </is>
      </c>
      <c r="C7" s="16" t="inlineStr">
        <is>
          <t>Locked</t>
        </is>
      </c>
      <c r="D7" s="12" t="n">
        <v>143156</v>
      </c>
      <c r="E7" s="12" t="n">
        <v>85316</v>
      </c>
      <c r="F7" s="12">
        <f>D7-E7</f>
        <v/>
      </c>
      <c r="G7" s="13">
        <f>IF(D7=0,"",F7/D7)</f>
        <v/>
      </c>
    </row>
    <row r="8">
      <c r="A8" s="16" t="inlineStr">
        <is>
          <t>All</t>
        </is>
      </c>
      <c r="B8" s="16" t="inlineStr">
        <is>
          <t>Jan 25</t>
        </is>
      </c>
      <c r="C8" s="16" t="inlineStr">
        <is>
          <t>Locked</t>
        </is>
      </c>
      <c r="D8" s="12" t="n">
        <v>140909</v>
      </c>
      <c r="E8" s="12" t="n">
        <v>80742</v>
      </c>
      <c r="F8" s="12">
        <f>D8-E8</f>
        <v/>
      </c>
      <c r="G8" s="13">
        <f>IF(D8=0,"",F8/D8)</f>
        <v/>
      </c>
    </row>
    <row r="9">
      <c r="A9" s="16" t="inlineStr">
        <is>
          <t>All</t>
        </is>
      </c>
      <c r="B9" s="16" t="inlineStr">
        <is>
          <t>Feb 25</t>
        </is>
      </c>
      <c r="C9" s="16" t="inlineStr">
        <is>
          <t>Locked</t>
        </is>
      </c>
      <c r="D9" s="12" t="n">
        <v>160943</v>
      </c>
      <c r="E9" s="12" t="n">
        <v>102348</v>
      </c>
      <c r="F9" s="12">
        <f>D9-E9</f>
        <v/>
      </c>
      <c r="G9" s="13">
        <f>IF(D9=0,"",F9/D9)</f>
        <v/>
      </c>
    </row>
    <row r="10">
      <c r="A10" s="16" t="inlineStr">
        <is>
          <t>All</t>
        </is>
      </c>
      <c r="B10" s="16" t="inlineStr">
        <is>
          <t>Mar 25</t>
        </is>
      </c>
      <c r="C10" s="16" t="inlineStr">
        <is>
          <t>Locked</t>
        </is>
      </c>
      <c r="D10" s="12" t="n">
        <v>135082</v>
      </c>
      <c r="E10" s="12" t="n">
        <v>85752</v>
      </c>
      <c r="F10" s="12">
        <f>D10-E10</f>
        <v/>
      </c>
      <c r="G10" s="13">
        <f>IF(D10=0,"",F10/D10)</f>
        <v/>
      </c>
    </row>
    <row r="11">
      <c r="A11" s="16" t="inlineStr">
        <is>
          <t>All</t>
        </is>
      </c>
      <c r="B11" s="16" t="inlineStr">
        <is>
          <t>Apr 25</t>
        </is>
      </c>
      <c r="C11" s="16" t="inlineStr">
        <is>
          <t>Locked</t>
        </is>
      </c>
      <c r="D11" s="12" t="n">
        <v>124705</v>
      </c>
      <c r="E11" s="12" t="n">
        <v>76808</v>
      </c>
      <c r="F11" s="12">
        <f>D11-E11</f>
        <v/>
      </c>
      <c r="G11" s="13">
        <f>IF(D11=0,"",F11/D11)</f>
        <v/>
      </c>
    </row>
    <row r="12">
      <c r="A12" s="16" t="inlineStr">
        <is>
          <t>All</t>
        </is>
      </c>
      <c r="B12" s="16" t="inlineStr">
        <is>
          <t>May 25</t>
        </is>
      </c>
      <c r="C12" s="16" t="inlineStr">
        <is>
          <t>Locked</t>
        </is>
      </c>
      <c r="D12" s="12" t="n">
        <v>129816</v>
      </c>
      <c r="E12" s="12" t="n">
        <v>83700</v>
      </c>
      <c r="F12" s="12">
        <f>D12-E12</f>
        <v/>
      </c>
      <c r="G12" s="13">
        <f>IF(D12=0,"",F12/D12)</f>
        <v/>
      </c>
    </row>
    <row r="13">
      <c r="A13" s="16" t="inlineStr">
        <is>
          <t>All</t>
        </is>
      </c>
      <c r="B13" s="16" t="inlineStr">
        <is>
          <t>Jun 25</t>
        </is>
      </c>
      <c r="C13" s="16" t="inlineStr">
        <is>
          <t>Locked</t>
        </is>
      </c>
      <c r="D13" s="12" t="n">
        <v>164113</v>
      </c>
      <c r="E13" s="12" t="n">
        <v>97584</v>
      </c>
      <c r="F13" s="12">
        <f>D13-E13</f>
        <v/>
      </c>
      <c r="G13" s="13">
        <f>IF(D13=0,"",F13/D13)</f>
        <v/>
      </c>
    </row>
    <row r="14">
      <c r="A14" s="16" t="inlineStr">
        <is>
          <t>All</t>
        </is>
      </c>
      <c r="B14" s="16" t="inlineStr">
        <is>
          <t>Jul 25</t>
        </is>
      </c>
      <c r="C14" s="16" t="inlineStr">
        <is>
          <t>Locked</t>
        </is>
      </c>
      <c r="D14" s="12" t="n">
        <v>186760</v>
      </c>
      <c r="E14" s="12" t="n">
        <v>120326</v>
      </c>
      <c r="F14" s="12">
        <f>D14-E14</f>
        <v/>
      </c>
      <c r="G14" s="13">
        <f>IF(D14=0,"",F14/D14)</f>
        <v/>
      </c>
    </row>
    <row r="15">
      <c r="A15" s="16" t="inlineStr">
        <is>
          <t>All</t>
        </is>
      </c>
      <c r="B15" s="16" t="inlineStr">
        <is>
          <t>Aug 25</t>
        </is>
      </c>
      <c r="C15" s="16" t="inlineStr">
        <is>
          <t>Locked</t>
        </is>
      </c>
      <c r="D15" s="12" t="n">
        <v>139164</v>
      </c>
      <c r="E15" s="12" t="n">
        <v>78258</v>
      </c>
      <c r="F15" s="12">
        <f>D15-E15</f>
        <v/>
      </c>
      <c r="G15" s="13">
        <f>IF(D15=0,"",F15/D15)</f>
        <v/>
      </c>
    </row>
    <row r="16">
      <c r="A16" s="16" t="inlineStr">
        <is>
          <t>All</t>
        </is>
      </c>
      <c r="B16" s="16" t="inlineStr">
        <is>
          <t>Sep 25</t>
        </is>
      </c>
      <c r="C16" s="16" t="inlineStr">
        <is>
          <t>Locked</t>
        </is>
      </c>
      <c r="D16" s="12" t="n">
        <v>128255</v>
      </c>
      <c r="E16" s="12" t="n">
        <v>80054</v>
      </c>
      <c r="F16" s="12">
        <f>D16-E16</f>
        <v/>
      </c>
      <c r="G16" s="13">
        <f>IF(D16=0,"",F16/D16)</f>
        <v/>
      </c>
    </row>
    <row r="17">
      <c r="A17" s="16" t="inlineStr">
        <is>
          <t>All</t>
        </is>
      </c>
      <c r="B17" s="16" t="inlineStr">
        <is>
          <t>Oct 25</t>
        </is>
      </c>
      <c r="C17" s="16" t="inlineStr">
        <is>
          <t>Locked</t>
        </is>
      </c>
      <c r="D17" s="12" t="n">
        <v>128898</v>
      </c>
      <c r="E17" s="12" t="n">
        <v>79452</v>
      </c>
      <c r="F17" s="12">
        <f>D17-E17</f>
        <v/>
      </c>
      <c r="G17" s="13">
        <f>IF(D17=0,"",F17/D17)</f>
        <v/>
      </c>
    </row>
    <row r="18">
      <c r="A18" s="16" t="inlineStr">
        <is>
          <t>All</t>
        </is>
      </c>
      <c r="B18" s="16" t="inlineStr">
        <is>
          <t>Nov 25</t>
        </is>
      </c>
      <c r="C18" s="16" t="inlineStr">
        <is>
          <t>Locked</t>
        </is>
      </c>
      <c r="D18" s="12" t="n">
        <v>174786</v>
      </c>
      <c r="E18" s="12" t="n">
        <v>115942</v>
      </c>
      <c r="F18" s="12">
        <f>D18-E18</f>
        <v/>
      </c>
      <c r="G18" s="13">
        <f>IF(D18=0,"",F18/D18)</f>
        <v/>
      </c>
    </row>
    <row r="19">
      <c r="A19" s="16" t="inlineStr">
        <is>
          <t>All</t>
        </is>
      </c>
      <c r="B19" s="16" t="inlineStr">
        <is>
          <t>Dec 25</t>
        </is>
      </c>
      <c r="C19" s="16" t="inlineStr">
        <is>
          <t>Locked</t>
        </is>
      </c>
      <c r="D19" s="12" t="n">
        <v>135079</v>
      </c>
      <c r="E19" s="12" t="n">
        <v>84626</v>
      </c>
      <c r="F19" s="12">
        <f>D19-E19</f>
        <v/>
      </c>
      <c r="G19" s="13">
        <f>IF(D19=0,"",F19/D19)</f>
        <v/>
      </c>
    </row>
    <row r="20">
      <c r="A20" s="16" t="inlineStr">
        <is>
          <t>All</t>
        </is>
      </c>
      <c r="B20" s="16" t="inlineStr">
        <is>
          <t>Jan 26</t>
        </is>
      </c>
      <c r="C20" s="16" t="inlineStr">
        <is>
          <t>Locked</t>
        </is>
      </c>
      <c r="D20" s="12" t="n">
        <v>164780</v>
      </c>
      <c r="E20" s="12" t="n">
        <v>106590</v>
      </c>
      <c r="F20" s="12">
        <f>D20-E20</f>
        <v/>
      </c>
      <c r="G20" s="13">
        <f>IF(D20=0,"",F20/D20)</f>
        <v/>
      </c>
    </row>
    <row r="21">
      <c r="A21" s="16" t="inlineStr">
        <is>
          <t>All</t>
        </is>
      </c>
      <c r="B21" s="16" t="inlineStr">
        <is>
          <t>Feb 26</t>
        </is>
      </c>
      <c r="C21" s="16" t="inlineStr">
        <is>
          <t>Locked</t>
        </is>
      </c>
      <c r="D21" s="12" t="n">
        <v>196372</v>
      </c>
      <c r="E21" s="12" t="n">
        <v>120662</v>
      </c>
      <c r="F21" s="12">
        <f>D21-E21</f>
        <v/>
      </c>
      <c r="G21" s="13">
        <f>IF(D21=0,"",F21/D21)</f>
        <v/>
      </c>
    </row>
    <row r="22">
      <c r="A22" s="16" t="inlineStr">
        <is>
          <t>All</t>
        </is>
      </c>
      <c r="B22" s="16" t="inlineStr">
        <is>
          <t>Mar 26</t>
        </is>
      </c>
      <c r="C22" s="16" t="inlineStr">
        <is>
          <t>Locked</t>
        </is>
      </c>
      <c r="D22" s="12" t="n">
        <v>191500</v>
      </c>
      <c r="E22" s="12" t="n">
        <v>123342</v>
      </c>
      <c r="F22" s="12">
        <f>D22-E22</f>
        <v/>
      </c>
      <c r="G22" s="13">
        <f>IF(D22=0,"",F22/D22)</f>
        <v/>
      </c>
    </row>
    <row r="23">
      <c r="A23" s="16" t="inlineStr">
        <is>
          <t>All</t>
        </is>
      </c>
      <c r="B23" s="16" t="inlineStr">
        <is>
          <t>Apr 26</t>
        </is>
      </c>
      <c r="C23" s="16" t="inlineStr">
        <is>
          <t>Locked</t>
        </is>
      </c>
      <c r="D23" s="12" t="n">
        <v>164987</v>
      </c>
      <c r="E23" s="12" t="n">
        <v>96144</v>
      </c>
      <c r="F23" s="12">
        <f>D23-E23</f>
        <v/>
      </c>
      <c r="G23" s="13">
        <f>IF(D23=0,"",F23/D23)</f>
        <v/>
      </c>
    </row>
    <row r="24">
      <c r="A24" s="16" t="inlineStr">
        <is>
          <t>All</t>
        </is>
      </c>
      <c r="B24" s="16" t="inlineStr">
        <is>
          <t>May 26</t>
        </is>
      </c>
      <c r="C24" s="16" t="inlineStr">
        <is>
          <t>Locked</t>
        </is>
      </c>
      <c r="D24" s="12" t="n">
        <v>161963</v>
      </c>
      <c r="E24" s="12" t="n">
        <v>98858</v>
      </c>
      <c r="F24" s="12">
        <f>D24-E24</f>
        <v/>
      </c>
      <c r="G24" s="13">
        <f>IF(D24=0,"",F24/D24)</f>
        <v/>
      </c>
    </row>
    <row r="25">
      <c r="A25" s="16" t="inlineStr">
        <is>
          <t>All</t>
        </is>
      </c>
      <c r="B25" s="16" t="inlineStr">
        <is>
          <t>Jun 26</t>
        </is>
      </c>
      <c r="C25" s="16" t="inlineStr">
        <is>
          <t>Locked</t>
        </is>
      </c>
      <c r="D25" s="12" t="n">
        <v>173163</v>
      </c>
      <c r="E25" s="12" t="n">
        <v>106500</v>
      </c>
      <c r="F25" s="12">
        <f>D25-E25</f>
        <v/>
      </c>
      <c r="G25" s="13">
        <f>IF(D25=0,"",F25/D25)</f>
        <v/>
      </c>
    </row>
    <row r="26">
      <c r="A26" s="16" t="inlineStr">
        <is>
          <t>All</t>
        </is>
      </c>
      <c r="B26" s="16" t="inlineStr">
        <is>
          <t>Jul 26</t>
        </is>
      </c>
      <c r="C26" s="16" t="inlineStr">
        <is>
          <t>Locked</t>
        </is>
      </c>
      <c r="D26" s="12" t="n">
        <v>193245</v>
      </c>
      <c r="E26" s="12" t="n">
        <v>122124</v>
      </c>
      <c r="F26" s="12">
        <f>D26-E26</f>
        <v/>
      </c>
      <c r="G26" s="13">
        <f>IF(D26=0,"",F26/D26)</f>
        <v/>
      </c>
    </row>
    <row r="27">
      <c r="A27" s="16" t="inlineStr">
        <is>
          <t>All</t>
        </is>
      </c>
      <c r="B27" s="16" t="inlineStr">
        <is>
          <t>Aug 26</t>
        </is>
      </c>
      <c r="C27" s="16" t="inlineStr">
        <is>
          <t>Locked</t>
        </is>
      </c>
      <c r="D27" s="12" t="n">
        <v>179007</v>
      </c>
      <c r="E27" s="12" t="n">
        <v>105370</v>
      </c>
      <c r="F27" s="12">
        <f>D27-E27</f>
        <v/>
      </c>
      <c r="G27" s="13">
        <f>IF(D27=0,"",F27/D27)</f>
        <v/>
      </c>
    </row>
    <row r="28">
      <c r="A28" s="16" t="inlineStr">
        <is>
          <t>All</t>
        </is>
      </c>
      <c r="B28" s="16" t="inlineStr">
        <is>
          <t>Sep 26</t>
        </is>
      </c>
      <c r="C28" s="16" t="inlineStr">
        <is>
          <t>Locked</t>
        </is>
      </c>
      <c r="D28" s="12" t="n">
        <v>202337</v>
      </c>
      <c r="E28" s="12" t="n">
        <v>129230</v>
      </c>
      <c r="F28" s="12">
        <f>D28-E28</f>
        <v/>
      </c>
      <c r="G28" s="13">
        <f>IF(D28=0,"",F28/D28)</f>
        <v/>
      </c>
    </row>
    <row r="29">
      <c r="A29" s="16" t="inlineStr">
        <is>
          <t>All</t>
        </is>
      </c>
      <c r="B29" s="16" t="inlineStr">
        <is>
          <t>Oct 26</t>
        </is>
      </c>
      <c r="C29" s="16" t="inlineStr">
        <is>
          <t>Incomplete</t>
        </is>
      </c>
      <c r="D29" s="12" t="n">
        <v>76875</v>
      </c>
      <c r="E29" s="12" t="n">
        <v>43982</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Maintenance contracts</t>
        </is>
      </c>
      <c r="B52" s="16" t="inlineStr">
        <is>
          <t>Sep 26</t>
        </is>
      </c>
      <c r="C52" s="16" t="inlineStr">
        <is>
          <t>Locked</t>
        </is>
      </c>
      <c r="D52" s="12" t="n">
        <v>40500</v>
      </c>
      <c r="E52" s="12" t="n">
        <v>16384</v>
      </c>
      <c r="F52" s="12">
        <f>D52-E52</f>
        <v/>
      </c>
      <c r="G52" s="13">
        <f>IF(D52=0,"",F52/D52)</f>
        <v/>
      </c>
    </row>
    <row r="53">
      <c r="A53" s="16" t="inlineStr">
        <is>
          <t>Maintenance contracts</t>
        </is>
      </c>
      <c r="B53" s="16" t="inlineStr">
        <is>
          <t>Oct 26</t>
        </is>
      </c>
      <c r="C53" s="16" t="inlineStr">
        <is>
          <t>Incomplete</t>
        </is>
      </c>
      <c r="D53" s="12" t="n">
        <v>40500</v>
      </c>
      <c r="E53" s="12" t="n">
        <v>16384</v>
      </c>
      <c r="F53" s="12">
        <f>D53-E53</f>
        <v/>
      </c>
      <c r="G53" s="13">
        <f>IF(D53=0,"",F53/D53)</f>
        <v/>
      </c>
    </row>
    <row r="54">
      <c r="A54" s="16" t="inlineStr">
        <is>
          <t>Installations</t>
        </is>
      </c>
      <c r="B54" s="16" t="inlineStr">
        <is>
          <t>Nov 24</t>
        </is>
      </c>
      <c r="C54" s="16" t="inlineStr">
        <is>
          <t>Locked</t>
        </is>
      </c>
      <c r="D54" s="12" t="n">
        <v>131400</v>
      </c>
      <c r="E54" s="12" t="n">
        <v>89070</v>
      </c>
      <c r="F54" s="12">
        <f>D54-E54</f>
        <v/>
      </c>
      <c r="G54" s="13">
        <f>IF(D54=0,"",F54/D54)</f>
        <v/>
      </c>
    </row>
    <row r="55">
      <c r="A55" s="16" t="inlineStr">
        <is>
          <t>Installations</t>
        </is>
      </c>
      <c r="B55" s="16" t="inlineStr">
        <is>
          <t>Dec 24</t>
        </is>
      </c>
      <c r="C55" s="16" t="inlineStr">
        <is>
          <t>Locked</t>
        </is>
      </c>
      <c r="D55" s="12" t="n">
        <v>92600</v>
      </c>
      <c r="E55" s="12" t="n">
        <v>59908</v>
      </c>
      <c r="F55" s="12">
        <f>D55-E55</f>
        <v/>
      </c>
      <c r="G55" s="13">
        <f>IF(D55=0,"",F55/D55)</f>
        <v/>
      </c>
    </row>
    <row r="56">
      <c r="A56" s="16" t="inlineStr">
        <is>
          <t>Installations</t>
        </is>
      </c>
      <c r="B56" s="16" t="inlineStr">
        <is>
          <t>Jan 25</t>
        </is>
      </c>
      <c r="C56" s="16" t="inlineStr">
        <is>
          <t>Locked</t>
        </is>
      </c>
      <c r="D56" s="12" t="n">
        <v>89400</v>
      </c>
      <c r="E56" s="12" t="n">
        <v>54678</v>
      </c>
      <c r="F56" s="12">
        <f>D56-E56</f>
        <v/>
      </c>
      <c r="G56" s="13">
        <f>IF(D56=0,"",F56/D56)</f>
        <v/>
      </c>
    </row>
    <row r="57">
      <c r="A57" s="16" t="inlineStr">
        <is>
          <t>Installations</t>
        </is>
      </c>
      <c r="B57" s="16" t="inlineStr">
        <is>
          <t>Feb 25</t>
        </is>
      </c>
      <c r="C57" s="16" t="inlineStr">
        <is>
          <t>Locked</t>
        </is>
      </c>
      <c r="D57" s="12" t="n">
        <v>106000</v>
      </c>
      <c r="E57" s="12" t="n">
        <v>74966</v>
      </c>
      <c r="F57" s="12">
        <f>D57-E57</f>
        <v/>
      </c>
      <c r="G57" s="13">
        <f>IF(D57=0,"",F57/D57)</f>
        <v/>
      </c>
    </row>
    <row r="58">
      <c r="A58" s="16" t="inlineStr">
        <is>
          <t>Installations</t>
        </is>
      </c>
      <c r="B58" s="16" t="inlineStr">
        <is>
          <t>Mar 25</t>
        </is>
      </c>
      <c r="C58" s="16" t="inlineStr">
        <is>
          <t>Locked</t>
        </is>
      </c>
      <c r="D58" s="12" t="n">
        <v>86100</v>
      </c>
      <c r="E58" s="12" t="n">
        <v>61664</v>
      </c>
      <c r="F58" s="12">
        <f>D58-E58</f>
        <v/>
      </c>
      <c r="G58" s="13">
        <f>IF(D58=0,"",F58/D58)</f>
        <v/>
      </c>
    </row>
    <row r="59">
      <c r="A59" s="16" t="inlineStr">
        <is>
          <t>Installations</t>
        </is>
      </c>
      <c r="B59" s="16" t="inlineStr">
        <is>
          <t>Apr 25</t>
        </is>
      </c>
      <c r="C59" s="16" t="inlineStr">
        <is>
          <t>Locked</t>
        </is>
      </c>
      <c r="D59" s="12" t="n">
        <v>74900</v>
      </c>
      <c r="E59" s="12" t="n">
        <v>52264</v>
      </c>
      <c r="F59" s="12">
        <f>D59-E59</f>
        <v/>
      </c>
      <c r="G59" s="13">
        <f>IF(D59=0,"",F59/D59)</f>
        <v/>
      </c>
    </row>
    <row r="60">
      <c r="A60" s="16" t="inlineStr">
        <is>
          <t>Installations</t>
        </is>
      </c>
      <c r="B60" s="16" t="inlineStr">
        <is>
          <t>May 25</t>
        </is>
      </c>
      <c r="C60" s="16" t="inlineStr">
        <is>
          <t>Locked</t>
        </is>
      </c>
      <c r="D60" s="12" t="n">
        <v>80300</v>
      </c>
      <c r="E60" s="12" t="n">
        <v>59534</v>
      </c>
      <c r="F60" s="12">
        <f>D60-E60</f>
        <v/>
      </c>
      <c r="G60" s="13">
        <f>IF(D60=0,"",F60/D60)</f>
        <v/>
      </c>
    </row>
    <row r="61">
      <c r="A61" s="16" t="inlineStr">
        <is>
          <t>Installations</t>
        </is>
      </c>
      <c r="B61" s="16" t="inlineStr">
        <is>
          <t>Jun 25</t>
        </is>
      </c>
      <c r="C61" s="16" t="inlineStr">
        <is>
          <t>Locked</t>
        </is>
      </c>
      <c r="D61" s="12" t="n">
        <v>112700</v>
      </c>
      <c r="E61" s="12" t="n">
        <v>72976</v>
      </c>
      <c r="F61" s="12">
        <f>D61-E61</f>
        <v/>
      </c>
      <c r="G61" s="13">
        <f>IF(D61=0,"",F61/D61)</f>
        <v/>
      </c>
    </row>
    <row r="62">
      <c r="A62" s="16" t="inlineStr">
        <is>
          <t>Installations</t>
        </is>
      </c>
      <c r="B62" s="16" t="inlineStr">
        <is>
          <t>Jul 25</t>
        </is>
      </c>
      <c r="C62" s="16" t="inlineStr">
        <is>
          <t>Locked</t>
        </is>
      </c>
      <c r="D62" s="12" t="n">
        <v>135800</v>
      </c>
      <c r="E62" s="12" t="n">
        <v>96920</v>
      </c>
      <c r="F62" s="12">
        <f>D62-E62</f>
        <v/>
      </c>
      <c r="G62" s="13">
        <f>IF(D62=0,"",F62/D62)</f>
        <v/>
      </c>
    </row>
    <row r="63">
      <c r="A63" s="16" t="inlineStr">
        <is>
          <t>Installations</t>
        </is>
      </c>
      <c r="B63" s="16" t="inlineStr">
        <is>
          <t>Aug 25</t>
        </is>
      </c>
      <c r="C63" s="16" t="inlineStr">
        <is>
          <t>Locked</t>
        </is>
      </c>
      <c r="D63" s="12" t="n">
        <v>86200</v>
      </c>
      <c r="E63" s="12" t="n">
        <v>53590</v>
      </c>
      <c r="F63" s="12">
        <f>D63-E63</f>
        <v/>
      </c>
      <c r="G63" s="13">
        <f>IF(D63=0,"",F63/D63)</f>
        <v/>
      </c>
    </row>
    <row r="64">
      <c r="A64" s="16" t="inlineStr">
        <is>
          <t>Installations</t>
        </is>
      </c>
      <c r="B64" s="16" t="inlineStr">
        <is>
          <t>Sep 25</t>
        </is>
      </c>
      <c r="C64" s="16" t="inlineStr">
        <is>
          <t>Locked</t>
        </is>
      </c>
      <c r="D64" s="12" t="n">
        <v>75100</v>
      </c>
      <c r="E64" s="12" t="n">
        <v>55440</v>
      </c>
      <c r="F64" s="12">
        <f>D64-E64</f>
        <v/>
      </c>
      <c r="G64" s="13">
        <f>IF(D64=0,"",F64/D64)</f>
        <v/>
      </c>
    </row>
    <row r="65">
      <c r="A65" s="16" t="inlineStr">
        <is>
          <t>Installations</t>
        </is>
      </c>
      <c r="B65" s="16" t="inlineStr">
        <is>
          <t>Oct 25</t>
        </is>
      </c>
      <c r="C65" s="16" t="inlineStr">
        <is>
          <t>Locked</t>
        </is>
      </c>
      <c r="D65" s="12" t="n">
        <v>70800</v>
      </c>
      <c r="E65" s="12" t="n">
        <v>52288</v>
      </c>
      <c r="F65" s="12">
        <f>D65-E65</f>
        <v/>
      </c>
      <c r="G65" s="13">
        <f>IF(D65=0,"",F65/D65)</f>
        <v/>
      </c>
    </row>
    <row r="66">
      <c r="A66" s="16" t="inlineStr">
        <is>
          <t>Installations</t>
        </is>
      </c>
      <c r="B66" s="16" t="inlineStr">
        <is>
          <t>Nov 25</t>
        </is>
      </c>
      <c r="C66" s="16" t="inlineStr">
        <is>
          <t>Locked</t>
        </is>
      </c>
      <c r="D66" s="12" t="n">
        <v>113300</v>
      </c>
      <c r="E66" s="12" t="n">
        <v>87174</v>
      </c>
      <c r="F66" s="12">
        <f>D66-E66</f>
        <v/>
      </c>
      <c r="G66" s="13">
        <f>IF(D66=0,"",F66/D66)</f>
        <v/>
      </c>
    </row>
    <row r="67">
      <c r="A67" s="16" t="inlineStr">
        <is>
          <t>Installations</t>
        </is>
      </c>
      <c r="B67" s="16" t="inlineStr">
        <is>
          <t>Dec 25</t>
        </is>
      </c>
      <c r="C67" s="16" t="inlineStr">
        <is>
          <t>Locked</t>
        </is>
      </c>
      <c r="D67" s="12" t="n">
        <v>69700</v>
      </c>
      <c r="E67" s="12" t="n">
        <v>53408</v>
      </c>
      <c r="F67" s="12">
        <f>D67-E67</f>
        <v/>
      </c>
      <c r="G67" s="13">
        <f>IF(D67=0,"",F67/D67)</f>
        <v/>
      </c>
    </row>
    <row r="68">
      <c r="A68" s="16" t="inlineStr">
        <is>
          <t>Installations</t>
        </is>
      </c>
      <c r="B68" s="16" t="inlineStr">
        <is>
          <t>Jan 26</t>
        </is>
      </c>
      <c r="C68" s="16" t="inlineStr">
        <is>
          <t>Locked</t>
        </is>
      </c>
      <c r="D68" s="12" t="n">
        <v>97500</v>
      </c>
      <c r="E68" s="12" t="n">
        <v>74216</v>
      </c>
      <c r="F68" s="12">
        <f>D68-E68</f>
        <v/>
      </c>
      <c r="G68" s="13">
        <f>IF(D68=0,"",F68/D68)</f>
        <v/>
      </c>
    </row>
    <row r="69">
      <c r="A69" s="16" t="inlineStr">
        <is>
          <t>Installations</t>
        </is>
      </c>
      <c r="B69" s="16" t="inlineStr">
        <is>
          <t>Feb 26</t>
        </is>
      </c>
      <c r="C69" s="16" t="inlineStr">
        <is>
          <t>Locked</t>
        </is>
      </c>
      <c r="D69" s="12" t="n">
        <v>129300</v>
      </c>
      <c r="E69" s="12" t="n">
        <v>88896</v>
      </c>
      <c r="F69" s="12">
        <f>D69-E69</f>
        <v/>
      </c>
      <c r="G69" s="13">
        <f>IF(D69=0,"",F69/D69)</f>
        <v/>
      </c>
    </row>
    <row r="70">
      <c r="A70" s="16" t="inlineStr">
        <is>
          <t>Installations</t>
        </is>
      </c>
      <c r="B70" s="16" t="inlineStr">
        <is>
          <t>Mar 26</t>
        </is>
      </c>
      <c r="C70" s="16" t="inlineStr">
        <is>
          <t>Locked</t>
        </is>
      </c>
      <c r="D70" s="12" t="n">
        <v>129400</v>
      </c>
      <c r="E70" s="12" t="n">
        <v>94290</v>
      </c>
      <c r="F70" s="12">
        <f>D70-E70</f>
        <v/>
      </c>
      <c r="G70" s="13">
        <f>IF(D70=0,"",F70/D70)</f>
        <v/>
      </c>
    </row>
    <row r="71">
      <c r="A71" s="16" t="inlineStr">
        <is>
          <t>Installations</t>
        </is>
      </c>
      <c r="B71" s="16" t="inlineStr">
        <is>
          <t>Apr 26</t>
        </is>
      </c>
      <c r="C71" s="16" t="inlineStr">
        <is>
          <t>Locked</t>
        </is>
      </c>
      <c r="D71" s="12" t="n">
        <v>104400</v>
      </c>
      <c r="E71" s="12" t="n">
        <v>68016</v>
      </c>
      <c r="F71" s="12">
        <f>D71-E71</f>
        <v/>
      </c>
      <c r="G71" s="13">
        <f>IF(D71=0,"",F71/D71)</f>
        <v/>
      </c>
    </row>
    <row r="72">
      <c r="A72" s="16" t="inlineStr">
        <is>
          <t>Installations</t>
        </is>
      </c>
      <c r="B72" s="16" t="inlineStr">
        <is>
          <t>May 26</t>
        </is>
      </c>
      <c r="C72" s="16" t="inlineStr">
        <is>
          <t>Locked</t>
        </is>
      </c>
      <c r="D72" s="12" t="n">
        <v>92400</v>
      </c>
      <c r="E72" s="12" t="n">
        <v>66240</v>
      </c>
      <c r="F72" s="12">
        <f>D72-E72</f>
        <v/>
      </c>
      <c r="G72" s="13">
        <f>IF(D72=0,"",F72/D72)</f>
        <v/>
      </c>
    </row>
    <row r="73">
      <c r="A73" s="16" t="inlineStr">
        <is>
          <t>Installations</t>
        </is>
      </c>
      <c r="B73" s="16" t="inlineStr">
        <is>
          <t>Jun 26</t>
        </is>
      </c>
      <c r="C73" s="16" t="inlineStr">
        <is>
          <t>Locked</t>
        </is>
      </c>
      <c r="D73" s="12" t="n">
        <v>103200</v>
      </c>
      <c r="E73" s="12" t="n">
        <v>73792</v>
      </c>
      <c r="F73" s="12">
        <f>D73-E73</f>
        <v/>
      </c>
      <c r="G73" s="13">
        <f>IF(D73=0,"",F73/D73)</f>
        <v/>
      </c>
    </row>
    <row r="74">
      <c r="A74" s="16" t="inlineStr">
        <is>
          <t>Installations</t>
        </is>
      </c>
      <c r="B74" s="16" t="inlineStr">
        <is>
          <t>Jul 26</t>
        </is>
      </c>
      <c r="C74" s="16" t="inlineStr">
        <is>
          <t>Locked</t>
        </is>
      </c>
      <c r="D74" s="12" t="n">
        <v>127600</v>
      </c>
      <c r="E74" s="12" t="n">
        <v>91520</v>
      </c>
      <c r="F74" s="12">
        <f>D74-E74</f>
        <v/>
      </c>
      <c r="G74" s="13">
        <f>IF(D74=0,"",F74/D74)</f>
        <v/>
      </c>
    </row>
    <row r="75">
      <c r="A75" s="16" t="inlineStr">
        <is>
          <t>Installations</t>
        </is>
      </c>
      <c r="B75" s="16" t="inlineStr">
        <is>
          <t>Aug 26</t>
        </is>
      </c>
      <c r="C75" s="16" t="inlineStr">
        <is>
          <t>Locked</t>
        </is>
      </c>
      <c r="D75" s="12" t="n">
        <v>109600</v>
      </c>
      <c r="E75" s="12" t="n">
        <v>72720</v>
      </c>
      <c r="F75" s="12">
        <f>D75-E75</f>
        <v/>
      </c>
      <c r="G75" s="13">
        <f>IF(D75=0,"",F75/D75)</f>
        <v/>
      </c>
    </row>
    <row r="76">
      <c r="A76" s="16" t="inlineStr">
        <is>
          <t>Installations</t>
        </is>
      </c>
      <c r="B76" s="16" t="inlineStr">
        <is>
          <t>Sep 26</t>
        </is>
      </c>
      <c r="C76" s="16" t="inlineStr">
        <is>
          <t>Locked</t>
        </is>
      </c>
      <c r="D76" s="12" t="n">
        <v>130700</v>
      </c>
      <c r="E76" s="12" t="n">
        <v>95368</v>
      </c>
      <c r="F76" s="12">
        <f>D76-E76</f>
        <v/>
      </c>
      <c r="G76" s="13">
        <f>IF(D76=0,"",F76/D76)</f>
        <v/>
      </c>
    </row>
    <row r="77">
      <c r="A77" s="16" t="inlineStr">
        <is>
          <t>Installations</t>
        </is>
      </c>
      <c r="B77" s="16" t="inlineStr">
        <is>
          <t>Oct 26</t>
        </is>
      </c>
      <c r="C77" s="16" t="inlineStr">
        <is>
          <t>Incomplete</t>
        </is>
      </c>
      <c r="D77" s="12" t="n">
        <v>33000</v>
      </c>
      <c r="E77" s="12" t="n">
        <v>25742</v>
      </c>
      <c r="F77" s="12">
        <f>D77-E77</f>
        <v/>
      </c>
      <c r="G77" s="13">
        <f>IF(D77=0,"",F77/D77)</f>
        <v/>
      </c>
    </row>
    <row r="78">
      <c r="A78" s="16" t="inlineStr">
        <is>
          <t>Call-outs and repairs</t>
        </is>
      </c>
      <c r="B78" s="16" t="inlineStr">
        <is>
          <t>Nov 24</t>
        </is>
      </c>
      <c r="C78" s="16" t="inlineStr">
        <is>
          <t>Locked</t>
        </is>
      </c>
      <c r="D78" s="12" t="n">
        <v>23404</v>
      </c>
      <c r="E78" s="12" t="n">
        <v>13526</v>
      </c>
      <c r="F78" s="12">
        <f>D78-E78</f>
        <v/>
      </c>
      <c r="G78" s="13">
        <f>IF(D78=0,"",F78/D78)</f>
        <v/>
      </c>
    </row>
    <row r="79">
      <c r="A79" s="16" t="inlineStr">
        <is>
          <t>Call-outs and repairs</t>
        </is>
      </c>
      <c r="B79" s="16" t="inlineStr">
        <is>
          <t>Dec 24</t>
        </is>
      </c>
      <c r="C79" s="16" t="inlineStr">
        <is>
          <t>Locked</t>
        </is>
      </c>
      <c r="D79" s="12" t="n">
        <v>25886</v>
      </c>
      <c r="E79" s="12" t="n">
        <v>14988</v>
      </c>
      <c r="F79" s="12">
        <f>D79-E79</f>
        <v/>
      </c>
      <c r="G79" s="13">
        <f>IF(D79=0,"",F79/D79)</f>
        <v/>
      </c>
    </row>
    <row r="80">
      <c r="A80" s="16" t="inlineStr">
        <is>
          <t>Call-outs and repairs</t>
        </is>
      </c>
      <c r="B80" s="16" t="inlineStr">
        <is>
          <t>Jan 25</t>
        </is>
      </c>
      <c r="C80" s="16" t="inlineStr">
        <is>
          <t>Locked</t>
        </is>
      </c>
      <c r="D80" s="12" t="n">
        <v>26839</v>
      </c>
      <c r="E80" s="12" t="n">
        <v>15644</v>
      </c>
      <c r="F80" s="12">
        <f>D80-E80</f>
        <v/>
      </c>
      <c r="G80" s="13">
        <f>IF(D80=0,"",F80/D80)</f>
        <v/>
      </c>
    </row>
    <row r="81">
      <c r="A81" s="16" t="inlineStr">
        <is>
          <t>Call-outs and repairs</t>
        </is>
      </c>
      <c r="B81" s="16" t="inlineStr">
        <is>
          <t>Feb 25</t>
        </is>
      </c>
      <c r="C81" s="16" t="inlineStr">
        <is>
          <t>Locked</t>
        </is>
      </c>
      <c r="D81" s="12" t="n">
        <v>27013</v>
      </c>
      <c r="E81" s="12" t="n">
        <v>15600</v>
      </c>
      <c r="F81" s="12">
        <f>D81-E81</f>
        <v/>
      </c>
      <c r="G81" s="13">
        <f>IF(D81=0,"",F81/D81)</f>
        <v/>
      </c>
    </row>
    <row r="82">
      <c r="A82" s="16" t="inlineStr">
        <is>
          <t>Call-outs and repairs</t>
        </is>
      </c>
      <c r="B82" s="16" t="inlineStr">
        <is>
          <t>Mar 25</t>
        </is>
      </c>
      <c r="C82" s="16" t="inlineStr">
        <is>
          <t>Locked</t>
        </is>
      </c>
      <c r="D82" s="12" t="n">
        <v>21052</v>
      </c>
      <c r="E82" s="12" t="n">
        <v>12306</v>
      </c>
      <c r="F82" s="12">
        <f>D82-E82</f>
        <v/>
      </c>
      <c r="G82" s="13">
        <f>IF(D82=0,"",F82/D82)</f>
        <v/>
      </c>
    </row>
    <row r="83">
      <c r="A83" s="16" t="inlineStr">
        <is>
          <t>Call-outs and repairs</t>
        </is>
      </c>
      <c r="B83" s="16" t="inlineStr">
        <is>
          <t>Apr 25</t>
        </is>
      </c>
      <c r="C83" s="16" t="inlineStr">
        <is>
          <t>Locked</t>
        </is>
      </c>
      <c r="D83" s="12" t="n">
        <v>21875</v>
      </c>
      <c r="E83" s="12" t="n">
        <v>12762</v>
      </c>
      <c r="F83" s="12">
        <f>D83-E83</f>
        <v/>
      </c>
      <c r="G83" s="13">
        <f>IF(D83=0,"",F83/D83)</f>
        <v/>
      </c>
    </row>
    <row r="84">
      <c r="A84" s="16" t="inlineStr">
        <is>
          <t>Call-outs and repairs</t>
        </is>
      </c>
      <c r="B84" s="16" t="inlineStr">
        <is>
          <t>May 25</t>
        </is>
      </c>
      <c r="C84" s="16" t="inlineStr">
        <is>
          <t>Locked</t>
        </is>
      </c>
      <c r="D84" s="12" t="n">
        <v>21586</v>
      </c>
      <c r="E84" s="12" t="n">
        <v>12384</v>
      </c>
      <c r="F84" s="12">
        <f>D84-E84</f>
        <v/>
      </c>
      <c r="G84" s="13">
        <f>IF(D84=0,"",F84/D84)</f>
        <v/>
      </c>
    </row>
    <row r="85">
      <c r="A85" s="16" t="inlineStr">
        <is>
          <t>Call-outs and repairs</t>
        </is>
      </c>
      <c r="B85" s="16" t="inlineStr">
        <is>
          <t>Jun 25</t>
        </is>
      </c>
      <c r="C85" s="16" t="inlineStr">
        <is>
          <t>Locked</t>
        </is>
      </c>
      <c r="D85" s="12" t="n">
        <v>19543</v>
      </c>
      <c r="E85" s="12" t="n">
        <v>11162</v>
      </c>
      <c r="F85" s="12">
        <f>D85-E85</f>
        <v/>
      </c>
      <c r="G85" s="13">
        <f>IF(D85=0,"",F85/D85)</f>
        <v/>
      </c>
    </row>
    <row r="86">
      <c r="A86" s="16" t="inlineStr">
        <is>
          <t>Call-outs and repairs</t>
        </is>
      </c>
      <c r="B86" s="16" t="inlineStr">
        <is>
          <t>Jul 25</t>
        </is>
      </c>
      <c r="C86" s="16" t="inlineStr">
        <is>
          <t>Locked</t>
        </is>
      </c>
      <c r="D86" s="12" t="n">
        <v>17760</v>
      </c>
      <c r="E86" s="12" t="n">
        <v>9960</v>
      </c>
      <c r="F86" s="12">
        <f>D86-E86</f>
        <v/>
      </c>
      <c r="G86" s="13">
        <f>IF(D86=0,"",F86/D86)</f>
        <v/>
      </c>
    </row>
    <row r="87">
      <c r="A87" s="16" t="inlineStr">
        <is>
          <t>Call-outs and repairs</t>
        </is>
      </c>
      <c r="B87" s="16" t="inlineStr">
        <is>
          <t>Aug 25</t>
        </is>
      </c>
      <c r="C87" s="16" t="inlineStr">
        <is>
          <t>Locked</t>
        </is>
      </c>
      <c r="D87" s="12" t="n">
        <v>19764</v>
      </c>
      <c r="E87" s="12" t="n">
        <v>11222</v>
      </c>
      <c r="F87" s="12">
        <f>D87-E87</f>
        <v/>
      </c>
      <c r="G87" s="13">
        <f>IF(D87=0,"",F87/D87)</f>
        <v/>
      </c>
    </row>
    <row r="88">
      <c r="A88" s="16" t="inlineStr">
        <is>
          <t>Call-outs and repairs</t>
        </is>
      </c>
      <c r="B88" s="16" t="inlineStr">
        <is>
          <t>Sep 25</t>
        </is>
      </c>
      <c r="C88" s="16" t="inlineStr">
        <is>
          <t>Locked</t>
        </is>
      </c>
      <c r="D88" s="12" t="n">
        <v>19955</v>
      </c>
      <c r="E88" s="12" t="n">
        <v>11168</v>
      </c>
      <c r="F88" s="12">
        <f>D88-E88</f>
        <v/>
      </c>
      <c r="G88" s="13">
        <f>IF(D88=0,"",F88/D88)</f>
        <v/>
      </c>
    </row>
    <row r="89">
      <c r="A89" s="16" t="inlineStr">
        <is>
          <t>Call-outs and repairs</t>
        </is>
      </c>
      <c r="B89" s="16" t="inlineStr">
        <is>
          <t>Oct 25</t>
        </is>
      </c>
      <c r="C89" s="16" t="inlineStr">
        <is>
          <t>Locked</t>
        </is>
      </c>
      <c r="D89" s="12" t="n">
        <v>22298</v>
      </c>
      <c r="E89" s="12" t="n">
        <v>12648</v>
      </c>
      <c r="F89" s="12">
        <f>D89-E89</f>
        <v/>
      </c>
      <c r="G89" s="13">
        <f>IF(D89=0,"",F89/D89)</f>
        <v/>
      </c>
    </row>
    <row r="90">
      <c r="A90" s="16" t="inlineStr">
        <is>
          <t>Call-outs and repairs</t>
        </is>
      </c>
      <c r="B90" s="16" t="inlineStr">
        <is>
          <t>Nov 25</t>
        </is>
      </c>
      <c r="C90" s="16" t="inlineStr">
        <is>
          <t>Locked</t>
        </is>
      </c>
      <c r="D90" s="12" t="n">
        <v>25686</v>
      </c>
      <c r="E90" s="12" t="n">
        <v>14252</v>
      </c>
      <c r="F90" s="12">
        <f>D90-E90</f>
        <v/>
      </c>
      <c r="G90" s="13">
        <f>IF(D90=0,"",F90/D90)</f>
        <v/>
      </c>
    </row>
    <row r="91">
      <c r="A91" s="16" t="inlineStr">
        <is>
          <t>Call-outs and repairs</t>
        </is>
      </c>
      <c r="B91" s="16" t="inlineStr">
        <is>
          <t>Dec 25</t>
        </is>
      </c>
      <c r="C91" s="16" t="inlineStr">
        <is>
          <t>Locked</t>
        </is>
      </c>
      <c r="D91" s="12" t="n">
        <v>29579</v>
      </c>
      <c r="E91" s="12" t="n">
        <v>16702</v>
      </c>
      <c r="F91" s="12">
        <f>D91-E91</f>
        <v/>
      </c>
      <c r="G91" s="13">
        <f>IF(D91=0,"",F91/D91)</f>
        <v/>
      </c>
    </row>
    <row r="92">
      <c r="A92" s="16" t="inlineStr">
        <is>
          <t>Call-outs and repairs</t>
        </is>
      </c>
      <c r="B92" s="16" t="inlineStr">
        <is>
          <t>Jan 26</t>
        </is>
      </c>
      <c r="C92" s="16" t="inlineStr">
        <is>
          <t>Locked</t>
        </is>
      </c>
      <c r="D92" s="12" t="n">
        <v>31480</v>
      </c>
      <c r="E92" s="12" t="n">
        <v>17858</v>
      </c>
      <c r="F92" s="12">
        <f>D92-E92</f>
        <v/>
      </c>
      <c r="G92" s="13">
        <f>IF(D92=0,"",F92/D92)</f>
        <v/>
      </c>
    </row>
    <row r="93">
      <c r="A93" s="16" t="inlineStr">
        <is>
          <t>Call-outs and repairs</t>
        </is>
      </c>
      <c r="B93" s="16" t="inlineStr">
        <is>
          <t>Feb 26</t>
        </is>
      </c>
      <c r="C93" s="16" t="inlineStr">
        <is>
          <t>Locked</t>
        </is>
      </c>
      <c r="D93" s="12" t="n">
        <v>29572</v>
      </c>
      <c r="E93" s="12" t="n">
        <v>16608</v>
      </c>
      <c r="F93" s="12">
        <f>D93-E93</f>
        <v/>
      </c>
      <c r="G93" s="13">
        <f>IF(D93=0,"",F93/D93)</f>
        <v/>
      </c>
    </row>
    <row r="94">
      <c r="A94" s="16" t="inlineStr">
        <is>
          <t>Call-outs and repairs</t>
        </is>
      </c>
      <c r="B94" s="16" t="inlineStr">
        <is>
          <t>Mar 26</t>
        </is>
      </c>
      <c r="C94" s="16" t="inlineStr">
        <is>
          <t>Locked</t>
        </is>
      </c>
      <c r="D94" s="12" t="n">
        <v>24600</v>
      </c>
      <c r="E94" s="12" t="n">
        <v>13894</v>
      </c>
      <c r="F94" s="12">
        <f>D94-E94</f>
        <v/>
      </c>
      <c r="G94" s="13">
        <f>IF(D94=0,"",F94/D94)</f>
        <v/>
      </c>
    </row>
    <row r="95">
      <c r="A95" s="16" t="inlineStr">
        <is>
          <t>Call-outs and repairs</t>
        </is>
      </c>
      <c r="B95" s="16" t="inlineStr">
        <is>
          <t>Apr 26</t>
        </is>
      </c>
      <c r="C95" s="16" t="inlineStr">
        <is>
          <t>Locked</t>
        </is>
      </c>
      <c r="D95" s="12" t="n">
        <v>23087</v>
      </c>
      <c r="E95" s="12" t="n">
        <v>12970</v>
      </c>
      <c r="F95" s="12">
        <f>D95-E95</f>
        <v/>
      </c>
      <c r="G95" s="13">
        <f>IF(D95=0,"",F95/D95)</f>
        <v/>
      </c>
    </row>
    <row r="96">
      <c r="A96" s="16" t="inlineStr">
        <is>
          <t>Call-outs and repairs</t>
        </is>
      </c>
      <c r="B96" s="16" t="inlineStr">
        <is>
          <t>May 26</t>
        </is>
      </c>
      <c r="C96" s="16" t="inlineStr">
        <is>
          <t>Locked</t>
        </is>
      </c>
      <c r="D96" s="12" t="n">
        <v>29063</v>
      </c>
      <c r="E96" s="12" t="n">
        <v>16234</v>
      </c>
      <c r="F96" s="12">
        <f>D96-E96</f>
        <v/>
      </c>
      <c r="G96" s="13">
        <f>IF(D96=0,"",F96/D96)</f>
        <v/>
      </c>
    </row>
    <row r="97">
      <c r="A97" s="16" t="inlineStr">
        <is>
          <t>Call-outs and repairs</t>
        </is>
      </c>
      <c r="B97" s="16" t="inlineStr">
        <is>
          <t>Jun 26</t>
        </is>
      </c>
      <c r="C97" s="16" t="inlineStr">
        <is>
          <t>Locked</t>
        </is>
      </c>
      <c r="D97" s="12" t="n">
        <v>29463</v>
      </c>
      <c r="E97" s="12" t="n">
        <v>16324</v>
      </c>
      <c r="F97" s="12">
        <f>D97-E97</f>
        <v/>
      </c>
      <c r="G97" s="13">
        <f>IF(D97=0,"",F97/D97)</f>
        <v/>
      </c>
    </row>
    <row r="98">
      <c r="A98" s="16" t="inlineStr">
        <is>
          <t>Call-outs and repairs</t>
        </is>
      </c>
      <c r="B98" s="16" t="inlineStr">
        <is>
          <t>Jul 26</t>
        </is>
      </c>
      <c r="C98" s="16" t="inlineStr">
        <is>
          <t>Locked</t>
        </is>
      </c>
      <c r="D98" s="12" t="n">
        <v>25145</v>
      </c>
      <c r="E98" s="12" t="n">
        <v>14220</v>
      </c>
      <c r="F98" s="12">
        <f>D98-E98</f>
        <v/>
      </c>
      <c r="G98" s="13">
        <f>IF(D98=0,"",F98/D98)</f>
        <v/>
      </c>
    </row>
    <row r="99">
      <c r="A99" s="16" t="inlineStr">
        <is>
          <t>Call-outs and repairs</t>
        </is>
      </c>
      <c r="B99" s="16" t="inlineStr">
        <is>
          <t>Aug 26</t>
        </is>
      </c>
      <c r="C99" s="16" t="inlineStr">
        <is>
          <t>Locked</t>
        </is>
      </c>
      <c r="D99" s="12" t="n">
        <v>28907</v>
      </c>
      <c r="E99" s="12" t="n">
        <v>16266</v>
      </c>
      <c r="F99" s="12">
        <f>D99-E99</f>
        <v/>
      </c>
      <c r="G99" s="13">
        <f>IF(D99=0,"",F99/D99)</f>
        <v/>
      </c>
    </row>
    <row r="100">
      <c r="A100" s="16" t="inlineStr">
        <is>
          <t>Call-outs and repairs</t>
        </is>
      </c>
      <c r="B100" s="16" t="inlineStr">
        <is>
          <t>Sep 26</t>
        </is>
      </c>
      <c r="C100" s="16" t="inlineStr">
        <is>
          <t>Locked</t>
        </is>
      </c>
      <c r="D100" s="12" t="n">
        <v>31137</v>
      </c>
      <c r="E100" s="12" t="n">
        <v>17478</v>
      </c>
      <c r="F100" s="12">
        <f>D100-E100</f>
        <v/>
      </c>
      <c r="G100" s="13">
        <f>IF(D100=0,"",F100/D100)</f>
        <v/>
      </c>
    </row>
    <row r="101">
      <c r="A101" s="16" t="inlineStr">
        <is>
          <t>Call-outs and repairs</t>
        </is>
      </c>
      <c r="B101" s="16" t="inlineStr">
        <is>
          <t>Oct 26</t>
        </is>
      </c>
      <c r="C101" s="16" t="inlineStr">
        <is>
          <t>Incomplete</t>
        </is>
      </c>
      <c r="D101" s="12" t="n">
        <v>3375</v>
      </c>
      <c r="E101" s="12" t="n">
        <v>1856</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162000</v>
      </c>
      <c r="C6" s="12" t="n">
        <v>135400</v>
      </c>
      <c r="D6" s="13">
        <f>IF(C6=0,"",B6/C6-1)</f>
        <v/>
      </c>
      <c r="E6" s="12" t="n">
        <v>96464</v>
      </c>
      <c r="F6" s="13">
        <f>IF(B6=0,"",E6/B6)</f>
        <v/>
      </c>
    </row>
    <row r="7">
      <c r="A7" s="16" t="inlineStr">
        <is>
          <t>Installations</t>
        </is>
      </c>
      <c r="B7" s="12" t="n">
        <v>400900</v>
      </c>
      <c r="C7" s="12" t="n">
        <v>367900</v>
      </c>
      <c r="D7" s="13">
        <f>IF(C7=0,"",B7/C7-1)</f>
        <v/>
      </c>
      <c r="E7" s="12" t="n">
        <v>115550</v>
      </c>
      <c r="F7" s="13">
        <f>IF(B7=0,"",E7/B7)</f>
        <v/>
      </c>
    </row>
    <row r="8">
      <c r="A8" s="16" t="inlineStr">
        <is>
          <t>Call-outs and repairs</t>
        </is>
      </c>
      <c r="B8" s="12" t="n">
        <v>88564</v>
      </c>
      <c r="C8" s="12" t="n">
        <v>79777</v>
      </c>
      <c r="D8" s="13">
        <f>IF(C8=0,"",B8/C8-1)</f>
        <v/>
      </c>
      <c r="E8" s="12" t="n">
        <v>38744</v>
      </c>
      <c r="F8" s="13">
        <f>IF(B8=0,"",E8/B8)</f>
        <v/>
      </c>
    </row>
    <row r="9">
      <c r="A9" s="16" t="inlineStr">
        <is>
          <t>Total</t>
        </is>
      </c>
      <c r="B9" s="12" t="n">
        <v>651464</v>
      </c>
      <c r="C9" s="12" t="n">
        <v>583077</v>
      </c>
      <c r="D9" s="13">
        <f>IF(C9=0,"",B9/C9-1)</f>
        <v/>
      </c>
      <c r="E9" s="12" t="n">
        <v>250758</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108140</v>
      </c>
      <c r="E6" s="12" t="n">
        <v>40040</v>
      </c>
      <c r="F6" s="12">
        <f>D6-E6</f>
        <v/>
      </c>
      <c r="G6" s="13">
        <f>IF(D6=0,"",F6/D6)</f>
        <v/>
      </c>
    </row>
    <row r="7">
      <c r="A7" s="16" t="inlineStr">
        <is>
          <t>All</t>
        </is>
      </c>
      <c r="B7" s="16" t="inlineStr">
        <is>
          <t>Dec 24</t>
        </is>
      </c>
      <c r="C7" s="16" t="inlineStr">
        <is>
          <t>Locked</t>
        </is>
      </c>
      <c r="D7" s="12" t="n">
        <v>114895</v>
      </c>
      <c r="E7" s="12" t="n">
        <v>42940</v>
      </c>
      <c r="F7" s="12">
        <f>D7-E7</f>
        <v/>
      </c>
      <c r="G7" s="13">
        <f>IF(D7=0,"",F7/D7)</f>
        <v/>
      </c>
    </row>
    <row r="8">
      <c r="A8" s="16" t="inlineStr">
        <is>
          <t>All</t>
        </is>
      </c>
      <c r="B8" s="16" t="inlineStr">
        <is>
          <t>Jan 25</t>
        </is>
      </c>
      <c r="C8" s="16" t="inlineStr">
        <is>
          <t>Locked</t>
        </is>
      </c>
      <c r="D8" s="12" t="n">
        <v>88250</v>
      </c>
      <c r="E8" s="12" t="n">
        <v>33260</v>
      </c>
      <c r="F8" s="12">
        <f>D8-E8</f>
        <v/>
      </c>
      <c r="G8" s="13">
        <f>IF(D8=0,"",F8/D8)</f>
        <v/>
      </c>
    </row>
    <row r="9">
      <c r="A9" s="16" t="inlineStr">
        <is>
          <t>All</t>
        </is>
      </c>
      <c r="B9" s="16" t="inlineStr">
        <is>
          <t>Feb 25</t>
        </is>
      </c>
      <c r="C9" s="16" t="inlineStr">
        <is>
          <t>Locked</t>
        </is>
      </c>
      <c r="D9" s="12" t="n">
        <v>111010</v>
      </c>
      <c r="E9" s="12" t="n">
        <v>42820</v>
      </c>
      <c r="F9" s="12">
        <f>D9-E9</f>
        <v/>
      </c>
      <c r="G9" s="13">
        <f>IF(D9=0,"",F9/D9)</f>
        <v/>
      </c>
    </row>
    <row r="10">
      <c r="A10" s="16" t="inlineStr">
        <is>
          <t>All</t>
        </is>
      </c>
      <c r="B10" s="16" t="inlineStr">
        <is>
          <t>Mar 25</t>
        </is>
      </c>
      <c r="C10" s="16" t="inlineStr">
        <is>
          <t>Locked</t>
        </is>
      </c>
      <c r="D10" s="12" t="n">
        <v>77175</v>
      </c>
      <c r="E10" s="12" t="n">
        <v>31940</v>
      </c>
      <c r="F10" s="12">
        <f>D10-E10</f>
        <v/>
      </c>
      <c r="G10" s="13">
        <f>IF(D10=0,"",F10/D10)</f>
        <v/>
      </c>
    </row>
    <row r="11">
      <c r="A11" s="16" t="inlineStr">
        <is>
          <t>All</t>
        </is>
      </c>
      <c r="B11" s="16" t="inlineStr">
        <is>
          <t>Apr 25</t>
        </is>
      </c>
      <c r="C11" s="16" t="inlineStr">
        <is>
          <t>Locked</t>
        </is>
      </c>
      <c r="D11" s="12" t="n">
        <v>63970</v>
      </c>
      <c r="E11" s="12" t="n">
        <v>25520</v>
      </c>
      <c r="F11" s="12">
        <f>D11-E11</f>
        <v/>
      </c>
      <c r="G11" s="13">
        <f>IF(D11=0,"",F11/D11)</f>
        <v/>
      </c>
    </row>
    <row r="12">
      <c r="A12" s="16" t="inlineStr">
        <is>
          <t>All</t>
        </is>
      </c>
      <c r="B12" s="16" t="inlineStr">
        <is>
          <t>May 25</t>
        </is>
      </c>
      <c r="C12" s="16" t="inlineStr">
        <is>
          <t>Locked</t>
        </is>
      </c>
      <c r="D12" s="12" t="n">
        <v>95555</v>
      </c>
      <c r="E12" s="12" t="n">
        <v>36100</v>
      </c>
      <c r="F12" s="12">
        <f>D12-E12</f>
        <v/>
      </c>
      <c r="G12" s="13">
        <f>IF(D12=0,"",F12/D12)</f>
        <v/>
      </c>
    </row>
    <row r="13">
      <c r="A13" s="16" t="inlineStr">
        <is>
          <t>All</t>
        </is>
      </c>
      <c r="B13" s="16" t="inlineStr">
        <is>
          <t>Jun 25</t>
        </is>
      </c>
      <c r="C13" s="16" t="inlineStr">
        <is>
          <t>Locked</t>
        </is>
      </c>
      <c r="D13" s="12" t="n">
        <v>90220</v>
      </c>
      <c r="E13" s="12" t="n">
        <v>35380</v>
      </c>
      <c r="F13" s="12">
        <f>D13-E13</f>
        <v/>
      </c>
      <c r="G13" s="13">
        <f>IF(D13=0,"",F13/D13)</f>
        <v/>
      </c>
    </row>
    <row r="14">
      <c r="A14" s="16" t="inlineStr">
        <is>
          <t>All</t>
        </is>
      </c>
      <c r="B14" s="16" t="inlineStr">
        <is>
          <t>Jul 25</t>
        </is>
      </c>
      <c r="C14" s="16" t="inlineStr">
        <is>
          <t>Locked</t>
        </is>
      </c>
      <c r="D14" s="12" t="n">
        <v>86320</v>
      </c>
      <c r="E14" s="12" t="n">
        <v>32820</v>
      </c>
      <c r="F14" s="12">
        <f>D14-E14</f>
        <v/>
      </c>
      <c r="G14" s="13">
        <f>IF(D14=0,"",F14/D14)</f>
        <v/>
      </c>
    </row>
    <row r="15">
      <c r="A15" s="16" t="inlineStr">
        <is>
          <t>All</t>
        </is>
      </c>
      <c r="B15" s="16" t="inlineStr">
        <is>
          <t>Aug 25</t>
        </is>
      </c>
      <c r="C15" s="16" t="inlineStr">
        <is>
          <t>Locked</t>
        </is>
      </c>
      <c r="D15" s="12" t="n">
        <v>61475</v>
      </c>
      <c r="E15" s="12" t="n">
        <v>21360</v>
      </c>
      <c r="F15" s="12">
        <f>D15-E15</f>
        <v/>
      </c>
      <c r="G15" s="13">
        <f>IF(D15=0,"",F15/D15)</f>
        <v/>
      </c>
    </row>
    <row r="16">
      <c r="A16" s="16" t="inlineStr">
        <is>
          <t>All</t>
        </is>
      </c>
      <c r="B16" s="16" t="inlineStr">
        <is>
          <t>Sep 25</t>
        </is>
      </c>
      <c r="C16" s="16" t="inlineStr">
        <is>
          <t>Locked</t>
        </is>
      </c>
      <c r="D16" s="12" t="n">
        <v>59535</v>
      </c>
      <c r="E16" s="12" t="n">
        <v>20280</v>
      </c>
      <c r="F16" s="12">
        <f>D16-E16</f>
        <v/>
      </c>
      <c r="G16" s="13">
        <f>IF(D16=0,"",F16/D16)</f>
        <v/>
      </c>
    </row>
    <row r="17">
      <c r="A17" s="16" t="inlineStr">
        <is>
          <t>All</t>
        </is>
      </c>
      <c r="B17" s="16" t="inlineStr">
        <is>
          <t>Oct 25</t>
        </is>
      </c>
      <c r="C17" s="16" t="inlineStr">
        <is>
          <t>Locked</t>
        </is>
      </c>
      <c r="D17" s="12" t="n">
        <v>71260</v>
      </c>
      <c r="E17" s="12" t="n">
        <v>25540</v>
      </c>
      <c r="F17" s="12">
        <f>D17-E17</f>
        <v/>
      </c>
      <c r="G17" s="13">
        <f>IF(D17=0,"",F17/D17)</f>
        <v/>
      </c>
    </row>
    <row r="18">
      <c r="A18" s="16" t="inlineStr">
        <is>
          <t>All</t>
        </is>
      </c>
      <c r="B18" s="16" t="inlineStr">
        <is>
          <t>Nov 25</t>
        </is>
      </c>
      <c r="C18" s="16" t="inlineStr">
        <is>
          <t>Locked</t>
        </is>
      </c>
      <c r="D18" s="12" t="n">
        <v>83940</v>
      </c>
      <c r="E18" s="12" t="n">
        <v>31140</v>
      </c>
      <c r="F18" s="12">
        <f>D18-E18</f>
        <v/>
      </c>
      <c r="G18" s="13">
        <f>IF(D18=0,"",F18/D18)</f>
        <v/>
      </c>
    </row>
    <row r="19">
      <c r="A19" s="16" t="inlineStr">
        <is>
          <t>All</t>
        </is>
      </c>
      <c r="B19" s="16" t="inlineStr">
        <is>
          <t>Dec 25</t>
        </is>
      </c>
      <c r="C19" s="16" t="inlineStr">
        <is>
          <t>Locked</t>
        </is>
      </c>
      <c r="D19" s="12" t="n">
        <v>69420</v>
      </c>
      <c r="E19" s="12" t="n">
        <v>24520</v>
      </c>
      <c r="F19" s="12">
        <f>D19-E19</f>
        <v/>
      </c>
      <c r="G19" s="13">
        <f>IF(D19=0,"",F19/D19)</f>
        <v/>
      </c>
    </row>
    <row r="20">
      <c r="A20" s="16" t="inlineStr">
        <is>
          <t>All</t>
        </is>
      </c>
      <c r="B20" s="16" t="inlineStr">
        <is>
          <t>Jan 26</t>
        </is>
      </c>
      <c r="C20" s="16" t="inlineStr">
        <is>
          <t>Locked</t>
        </is>
      </c>
      <c r="D20" s="12" t="n">
        <v>92370</v>
      </c>
      <c r="E20" s="12" t="n">
        <v>32520</v>
      </c>
      <c r="F20" s="12">
        <f>D20-E20</f>
        <v/>
      </c>
      <c r="G20" s="13">
        <f>IF(D20=0,"",F20/D20)</f>
        <v/>
      </c>
    </row>
    <row r="21">
      <c r="A21" s="16" t="inlineStr">
        <is>
          <t>All</t>
        </is>
      </c>
      <c r="B21" s="16" t="inlineStr">
        <is>
          <t>Feb 26</t>
        </is>
      </c>
      <c r="C21" s="16" t="inlineStr">
        <is>
          <t>Locked</t>
        </is>
      </c>
      <c r="D21" s="12" t="n">
        <v>100055</v>
      </c>
      <c r="E21" s="12" t="n">
        <v>36580</v>
      </c>
      <c r="F21" s="12">
        <f>D21-E21</f>
        <v/>
      </c>
      <c r="G21" s="13">
        <f>IF(D21=0,"",F21/D21)</f>
        <v/>
      </c>
    </row>
    <row r="22">
      <c r="A22" s="16" t="inlineStr">
        <is>
          <t>All</t>
        </is>
      </c>
      <c r="B22" s="16" t="inlineStr">
        <is>
          <t>Mar 26</t>
        </is>
      </c>
      <c r="C22" s="16" t="inlineStr">
        <is>
          <t>Locked</t>
        </is>
      </c>
      <c r="D22" s="12" t="n">
        <v>109865</v>
      </c>
      <c r="E22" s="12" t="n">
        <v>40720</v>
      </c>
      <c r="F22" s="12">
        <f>D22-E22</f>
        <v/>
      </c>
      <c r="G22" s="13">
        <f>IF(D22=0,"",F22/D22)</f>
        <v/>
      </c>
    </row>
    <row r="23">
      <c r="A23" s="16" t="inlineStr">
        <is>
          <t>All</t>
        </is>
      </c>
      <c r="B23" s="16" t="inlineStr">
        <is>
          <t>Apr 26</t>
        </is>
      </c>
      <c r="C23" s="16" t="inlineStr">
        <is>
          <t>Locked</t>
        </is>
      </c>
      <c r="D23" s="12" t="n">
        <v>80590</v>
      </c>
      <c r="E23" s="12" t="n">
        <v>27860</v>
      </c>
      <c r="F23" s="12">
        <f>D23-E23</f>
        <v/>
      </c>
      <c r="G23" s="13">
        <f>IF(D23=0,"",F23/D23)</f>
        <v/>
      </c>
    </row>
    <row r="24">
      <c r="A24" s="16" t="inlineStr">
        <is>
          <t>All</t>
        </is>
      </c>
      <c r="B24" s="16" t="inlineStr">
        <is>
          <t>May 26</t>
        </is>
      </c>
      <c r="C24" s="16" t="inlineStr">
        <is>
          <t>Locked</t>
        </is>
      </c>
      <c r="D24" s="12" t="n">
        <v>77090</v>
      </c>
      <c r="E24" s="12" t="n">
        <v>27680</v>
      </c>
      <c r="F24" s="12">
        <f>D24-E24</f>
        <v/>
      </c>
      <c r="G24" s="13">
        <f>IF(D24=0,"",F24/D24)</f>
        <v/>
      </c>
    </row>
    <row r="25">
      <c r="A25" s="16" t="inlineStr">
        <is>
          <t>All</t>
        </is>
      </c>
      <c r="B25" s="16" t="inlineStr">
        <is>
          <t>Jun 26</t>
        </is>
      </c>
      <c r="C25" s="16" t="inlineStr">
        <is>
          <t>Locked</t>
        </is>
      </c>
      <c r="D25" s="12" t="n">
        <v>115550</v>
      </c>
      <c r="E25" s="12" t="n">
        <v>46060</v>
      </c>
      <c r="F25" s="12">
        <f>D25-E25</f>
        <v/>
      </c>
      <c r="G25" s="13">
        <f>IF(D25=0,"",F25/D25)</f>
        <v/>
      </c>
    </row>
    <row r="26">
      <c r="A26" s="16" t="inlineStr">
        <is>
          <t>All</t>
        </is>
      </c>
      <c r="B26" s="16" t="inlineStr">
        <is>
          <t>Jul 26</t>
        </is>
      </c>
      <c r="C26" s="16" t="inlineStr">
        <is>
          <t>Locked</t>
        </is>
      </c>
      <c r="D26" s="12" t="n">
        <v>120755</v>
      </c>
      <c r="E26" s="12" t="n">
        <v>47680</v>
      </c>
      <c r="F26" s="12">
        <f>D26-E26</f>
        <v/>
      </c>
      <c r="G26" s="13">
        <f>IF(D26=0,"",F26/D26)</f>
        <v/>
      </c>
    </row>
    <row r="27">
      <c r="A27" s="16" t="inlineStr">
        <is>
          <t>All</t>
        </is>
      </c>
      <c r="B27" s="16" t="inlineStr">
        <is>
          <t>Aug 26</t>
        </is>
      </c>
      <c r="C27" s="16" t="inlineStr">
        <is>
          <t>Locked</t>
        </is>
      </c>
      <c r="D27" s="12" t="n">
        <v>114640</v>
      </c>
      <c r="E27" s="12" t="n">
        <v>46620</v>
      </c>
      <c r="F27" s="12">
        <f>D27-E27</f>
        <v/>
      </c>
      <c r="G27" s="13">
        <f>IF(D27=0,"",F27/D27)</f>
        <v/>
      </c>
    </row>
    <row r="28">
      <c r="A28" s="16" t="inlineStr">
        <is>
          <t>All</t>
        </is>
      </c>
      <c r="B28" s="16" t="inlineStr">
        <is>
          <t>Sep 26</t>
        </is>
      </c>
      <c r="C28" s="16" t="inlineStr">
        <is>
          <t>Locked</t>
        </is>
      </c>
      <c r="D28" s="12" t="n">
        <v>131850</v>
      </c>
      <c r="E28" s="12" t="n">
        <v>63440</v>
      </c>
      <c r="F28" s="12">
        <f>D28-E28</f>
        <v/>
      </c>
      <c r="G28" s="13">
        <f>IF(D28=0,"",F28/D28)</f>
        <v/>
      </c>
    </row>
    <row r="29">
      <c r="A29" s="16" t="inlineStr">
        <is>
          <t>All</t>
        </is>
      </c>
      <c r="B29" s="16" t="inlineStr">
        <is>
          <t>Oct 26</t>
        </is>
      </c>
      <c r="C29" s="16" t="inlineStr">
        <is>
          <t>Incomplete</t>
        </is>
      </c>
      <c r="D29" s="12" t="n">
        <v>44605</v>
      </c>
      <c r="E29" s="12" t="n">
        <v>5940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Projects</t>
        </is>
      </c>
      <c r="B52" s="16" t="inlineStr">
        <is>
          <t>Sep 26</t>
        </is>
      </c>
      <c r="C52" s="16" t="inlineStr">
        <is>
          <t>Locked</t>
        </is>
      </c>
      <c r="D52" s="12" t="n">
        <v>85950</v>
      </c>
      <c r="E52" s="12" t="n">
        <v>42800</v>
      </c>
      <c r="F52" s="12">
        <f>D52-E52</f>
        <v/>
      </c>
      <c r="G52" s="13">
        <f>IF(D52=0,"",F52/D52)</f>
        <v/>
      </c>
    </row>
    <row r="53">
      <c r="A53" s="16" t="inlineStr">
        <is>
          <t>Projects</t>
        </is>
      </c>
      <c r="B53" s="16" t="inlineStr">
        <is>
          <t>Oct 26</t>
        </is>
      </c>
      <c r="C53" s="16" t="inlineStr">
        <is>
          <t>Incomplete</t>
        </is>
      </c>
      <c r="D53" s="12" t="n">
        <v>12105</v>
      </c>
      <c r="E53" s="12" t="n">
        <v>4140</v>
      </c>
      <c r="F53" s="12">
        <f>D53-E53</f>
        <v/>
      </c>
      <c r="G53" s="13">
        <f>IF(D53=0,"",F53/D53)</f>
        <v/>
      </c>
    </row>
    <row r="54">
      <c r="A54" s="16" t="inlineStr">
        <is>
          <t>Retainers</t>
        </is>
      </c>
      <c r="B54" s="16" t="inlineStr">
        <is>
          <t>Nov 24</t>
        </is>
      </c>
      <c r="C54" s="16" t="inlineStr">
        <is>
          <t>Locked</t>
        </is>
      </c>
      <c r="D54" s="12" t="n">
        <v>15000</v>
      </c>
      <c r="E54" s="12" t="n">
        <v>4800</v>
      </c>
      <c r="F54" s="12">
        <f>D54-E54</f>
        <v/>
      </c>
      <c r="G54" s="13">
        <f>IF(D54=0,"",F54/D54)</f>
        <v/>
      </c>
    </row>
    <row r="55">
      <c r="A55" s="16" t="inlineStr">
        <is>
          <t>Retainers</t>
        </is>
      </c>
      <c r="B55" s="16" t="inlineStr">
        <is>
          <t>Dec 24</t>
        </is>
      </c>
      <c r="C55" s="16" t="inlineStr">
        <is>
          <t>Locked</t>
        </is>
      </c>
      <c r="D55" s="12" t="n">
        <v>15000</v>
      </c>
      <c r="E55" s="12" t="n">
        <v>5100</v>
      </c>
      <c r="F55" s="12">
        <f>D55-E55</f>
        <v/>
      </c>
      <c r="G55" s="13">
        <f>IF(D55=0,"",F55/D55)</f>
        <v/>
      </c>
    </row>
    <row r="56">
      <c r="A56" s="16" t="inlineStr">
        <is>
          <t>Retainers</t>
        </is>
      </c>
      <c r="B56" s="16" t="inlineStr">
        <is>
          <t>Jan 25</t>
        </is>
      </c>
      <c r="C56" s="16" t="inlineStr">
        <is>
          <t>Locked</t>
        </is>
      </c>
      <c r="D56" s="12" t="n">
        <v>15000</v>
      </c>
      <c r="E56" s="12" t="n">
        <v>4920</v>
      </c>
      <c r="F56" s="12">
        <f>D56-E56</f>
        <v/>
      </c>
      <c r="G56" s="13">
        <f>IF(D56=0,"",F56/D56)</f>
        <v/>
      </c>
    </row>
    <row r="57">
      <c r="A57" s="16" t="inlineStr">
        <is>
          <t>Retainers</t>
        </is>
      </c>
      <c r="B57" s="16" t="inlineStr">
        <is>
          <t>Feb 25</t>
        </is>
      </c>
      <c r="C57" s="16" t="inlineStr">
        <is>
          <t>Locked</t>
        </is>
      </c>
      <c r="D57" s="12" t="n">
        <v>15000</v>
      </c>
      <c r="E57" s="12" t="n">
        <v>5400</v>
      </c>
      <c r="F57" s="12">
        <f>D57-E57</f>
        <v/>
      </c>
      <c r="G57" s="13">
        <f>IF(D57=0,"",F57/D57)</f>
        <v/>
      </c>
    </row>
    <row r="58">
      <c r="A58" s="16" t="inlineStr">
        <is>
          <t>Retainers</t>
        </is>
      </c>
      <c r="B58" s="16" t="inlineStr">
        <is>
          <t>Mar 25</t>
        </is>
      </c>
      <c r="C58" s="16" t="inlineStr">
        <is>
          <t>Locked</t>
        </is>
      </c>
      <c r="D58" s="12" t="n">
        <v>21800</v>
      </c>
      <c r="E58" s="12" t="n">
        <v>7980</v>
      </c>
      <c r="F58" s="12">
        <f>D58-E58</f>
        <v/>
      </c>
      <c r="G58" s="13">
        <f>IF(D58=0,"",F58/D58)</f>
        <v/>
      </c>
    </row>
    <row r="59">
      <c r="A59" s="16" t="inlineStr">
        <is>
          <t>Retainers</t>
        </is>
      </c>
      <c r="B59" s="16" t="inlineStr">
        <is>
          <t>Apr 25</t>
        </is>
      </c>
      <c r="C59" s="16" t="inlineStr">
        <is>
          <t>Locked</t>
        </is>
      </c>
      <c r="D59" s="12" t="n">
        <v>21800</v>
      </c>
      <c r="E59" s="12" t="n">
        <v>7020</v>
      </c>
      <c r="F59" s="12">
        <f>D59-E59</f>
        <v/>
      </c>
      <c r="G59" s="13">
        <f>IF(D59=0,"",F59/D59)</f>
        <v/>
      </c>
    </row>
    <row r="60">
      <c r="A60" s="16" t="inlineStr">
        <is>
          <t>Retainers</t>
        </is>
      </c>
      <c r="B60" s="16" t="inlineStr">
        <is>
          <t>May 25</t>
        </is>
      </c>
      <c r="C60" s="16" t="inlineStr">
        <is>
          <t>Locked</t>
        </is>
      </c>
      <c r="D60" s="12" t="n">
        <v>21800</v>
      </c>
      <c r="E60" s="12" t="n">
        <v>8460</v>
      </c>
      <c r="F60" s="12">
        <f>D60-E60</f>
        <v/>
      </c>
      <c r="G60" s="13">
        <f>IF(D60=0,"",F60/D60)</f>
        <v/>
      </c>
    </row>
    <row r="61">
      <c r="A61" s="16" t="inlineStr">
        <is>
          <t>Retainers</t>
        </is>
      </c>
      <c r="B61" s="16" t="inlineStr">
        <is>
          <t>Jun 25</t>
        </is>
      </c>
      <c r="C61" s="16" t="inlineStr">
        <is>
          <t>Locked</t>
        </is>
      </c>
      <c r="D61" s="12" t="n">
        <v>21800</v>
      </c>
      <c r="E61" s="12" t="n">
        <v>7800</v>
      </c>
      <c r="F61" s="12">
        <f>D61-E61</f>
        <v/>
      </c>
      <c r="G61" s="13">
        <f>IF(D61=0,"",F61/D61)</f>
        <v/>
      </c>
    </row>
    <row r="62">
      <c r="A62" s="16" t="inlineStr">
        <is>
          <t>Retainers</t>
        </is>
      </c>
      <c r="B62" s="16" t="inlineStr">
        <is>
          <t>Jul 25</t>
        </is>
      </c>
      <c r="C62" s="16" t="inlineStr">
        <is>
          <t>Locked</t>
        </is>
      </c>
      <c r="D62" s="12" t="n">
        <v>16300</v>
      </c>
      <c r="E62" s="12" t="n">
        <v>5940</v>
      </c>
      <c r="F62" s="12">
        <f>D62-E62</f>
        <v/>
      </c>
      <c r="G62" s="13">
        <f>IF(D62=0,"",F62/D62)</f>
        <v/>
      </c>
    </row>
    <row r="63">
      <c r="A63" s="16" t="inlineStr">
        <is>
          <t>Retainers</t>
        </is>
      </c>
      <c r="B63" s="16" t="inlineStr">
        <is>
          <t>Aug 25</t>
        </is>
      </c>
      <c r="C63" s="16" t="inlineStr">
        <is>
          <t>Locked</t>
        </is>
      </c>
      <c r="D63" s="12" t="n">
        <v>16300</v>
      </c>
      <c r="E63" s="12" t="n">
        <v>5400</v>
      </c>
      <c r="F63" s="12">
        <f>D63-E63</f>
        <v/>
      </c>
      <c r="G63" s="13">
        <f>IF(D63=0,"",F63/D63)</f>
        <v/>
      </c>
    </row>
    <row r="64">
      <c r="A64" s="16" t="inlineStr">
        <is>
          <t>Retainers</t>
        </is>
      </c>
      <c r="B64" s="16" t="inlineStr">
        <is>
          <t>Sep 25</t>
        </is>
      </c>
      <c r="C64" s="16" t="inlineStr">
        <is>
          <t>Locked</t>
        </is>
      </c>
      <c r="D64" s="12" t="n">
        <v>16300</v>
      </c>
      <c r="E64" s="12" t="n">
        <v>5760</v>
      </c>
      <c r="F64" s="12">
        <f>D64-E64</f>
        <v/>
      </c>
      <c r="G64" s="13">
        <f>IF(D64=0,"",F64/D64)</f>
        <v/>
      </c>
    </row>
    <row r="65">
      <c r="A65" s="16" t="inlineStr">
        <is>
          <t>Retainers</t>
        </is>
      </c>
      <c r="B65" s="16" t="inlineStr">
        <is>
          <t>Oct 25</t>
        </is>
      </c>
      <c r="C65" s="16" t="inlineStr">
        <is>
          <t>Locked</t>
        </is>
      </c>
      <c r="D65" s="12" t="n">
        <v>16300</v>
      </c>
      <c r="E65" s="12" t="n">
        <v>5640</v>
      </c>
      <c r="F65" s="12">
        <f>D65-E65</f>
        <v/>
      </c>
      <c r="G65" s="13">
        <f>IF(D65=0,"",F65/D65)</f>
        <v/>
      </c>
    </row>
    <row r="66">
      <c r="A66" s="16" t="inlineStr">
        <is>
          <t>Retainers</t>
        </is>
      </c>
      <c r="B66" s="16" t="inlineStr">
        <is>
          <t>Nov 25</t>
        </is>
      </c>
      <c r="C66" s="16" t="inlineStr">
        <is>
          <t>Locked</t>
        </is>
      </c>
      <c r="D66" s="12" t="n">
        <v>28300</v>
      </c>
      <c r="E66" s="12" t="n">
        <v>9480</v>
      </c>
      <c r="F66" s="12">
        <f>D66-E66</f>
        <v/>
      </c>
      <c r="G66" s="13">
        <f>IF(D66=0,"",F66/D66)</f>
        <v/>
      </c>
    </row>
    <row r="67">
      <c r="A67" s="16" t="inlineStr">
        <is>
          <t>Retainers</t>
        </is>
      </c>
      <c r="B67" s="16" t="inlineStr">
        <is>
          <t>Dec 25</t>
        </is>
      </c>
      <c r="C67" s="16" t="inlineStr">
        <is>
          <t>Locked</t>
        </is>
      </c>
      <c r="D67" s="12" t="n">
        <v>28300</v>
      </c>
      <c r="E67" s="12" t="n">
        <v>9120</v>
      </c>
      <c r="F67" s="12">
        <f>D67-E67</f>
        <v/>
      </c>
      <c r="G67" s="13">
        <f>IF(D67=0,"",F67/D67)</f>
        <v/>
      </c>
    </row>
    <row r="68">
      <c r="A68" s="16" t="inlineStr">
        <is>
          <t>Retainers</t>
        </is>
      </c>
      <c r="B68" s="16" t="inlineStr">
        <is>
          <t>Jan 26</t>
        </is>
      </c>
      <c r="C68" s="16" t="inlineStr">
        <is>
          <t>Locked</t>
        </is>
      </c>
      <c r="D68" s="12" t="n">
        <v>28300</v>
      </c>
      <c r="E68" s="12" t="n">
        <v>9360</v>
      </c>
      <c r="F68" s="12">
        <f>D68-E68</f>
        <v/>
      </c>
      <c r="G68" s="13">
        <f>IF(D68=0,"",F68/D68)</f>
        <v/>
      </c>
    </row>
    <row r="69">
      <c r="A69" s="16" t="inlineStr">
        <is>
          <t>Retainers</t>
        </is>
      </c>
      <c r="B69" s="16" t="inlineStr">
        <is>
          <t>Feb 26</t>
        </is>
      </c>
      <c r="C69" s="16" t="inlineStr">
        <is>
          <t>Locked</t>
        </is>
      </c>
      <c r="D69" s="12" t="n">
        <v>28300</v>
      </c>
      <c r="E69" s="12" t="n">
        <v>10440</v>
      </c>
      <c r="F69" s="12">
        <f>D69-E69</f>
        <v/>
      </c>
      <c r="G69" s="13">
        <f>IF(D69=0,"",F69/D69)</f>
        <v/>
      </c>
    </row>
    <row r="70">
      <c r="A70" s="16" t="inlineStr">
        <is>
          <t>Retainers</t>
        </is>
      </c>
      <c r="B70" s="16" t="inlineStr">
        <is>
          <t>Mar 26</t>
        </is>
      </c>
      <c r="C70" s="16" t="inlineStr">
        <is>
          <t>Locked</t>
        </is>
      </c>
      <c r="D70" s="12" t="n">
        <v>28300</v>
      </c>
      <c r="E70" s="12" t="n">
        <v>9240</v>
      </c>
      <c r="F70" s="12">
        <f>D70-E70</f>
        <v/>
      </c>
      <c r="G70" s="13">
        <f>IF(D70=0,"",F70/D70)</f>
        <v/>
      </c>
    </row>
    <row r="71">
      <c r="A71" s="16" t="inlineStr">
        <is>
          <t>Retainers</t>
        </is>
      </c>
      <c r="B71" s="16" t="inlineStr">
        <is>
          <t>Apr 26</t>
        </is>
      </c>
      <c r="C71" s="16" t="inlineStr">
        <is>
          <t>Locked</t>
        </is>
      </c>
      <c r="D71" s="12" t="n">
        <v>28300</v>
      </c>
      <c r="E71" s="12" t="n">
        <v>9420</v>
      </c>
      <c r="F71" s="12">
        <f>D71-E71</f>
        <v/>
      </c>
      <c r="G71" s="13">
        <f>IF(D71=0,"",F71/D71)</f>
        <v/>
      </c>
    </row>
    <row r="72">
      <c r="A72" s="16" t="inlineStr">
        <is>
          <t>Retainers</t>
        </is>
      </c>
      <c r="B72" s="16" t="inlineStr">
        <is>
          <t>May 26</t>
        </is>
      </c>
      <c r="C72" s="16" t="inlineStr">
        <is>
          <t>Locked</t>
        </is>
      </c>
      <c r="D72" s="12" t="n">
        <v>28300</v>
      </c>
      <c r="E72" s="12" t="n">
        <v>10500</v>
      </c>
      <c r="F72" s="12">
        <f>D72-E72</f>
        <v/>
      </c>
      <c r="G72" s="13">
        <f>IF(D72=0,"",F72/D72)</f>
        <v/>
      </c>
    </row>
    <row r="73">
      <c r="A73" s="16" t="inlineStr">
        <is>
          <t>Retainers</t>
        </is>
      </c>
      <c r="B73" s="16" t="inlineStr">
        <is>
          <t>Jun 26</t>
        </is>
      </c>
      <c r="C73" s="16" t="inlineStr">
        <is>
          <t>Locked</t>
        </is>
      </c>
      <c r="D73" s="12" t="n">
        <v>32500</v>
      </c>
      <c r="E73" s="12" t="n">
        <v>12180</v>
      </c>
      <c r="F73" s="12">
        <f>D73-E73</f>
        <v/>
      </c>
      <c r="G73" s="13">
        <f>IF(D73=0,"",F73/D73)</f>
        <v/>
      </c>
    </row>
    <row r="74">
      <c r="A74" s="16" t="inlineStr">
        <is>
          <t>Retainers</t>
        </is>
      </c>
      <c r="B74" s="16" t="inlineStr">
        <is>
          <t>Jul 26</t>
        </is>
      </c>
      <c r="C74" s="16" t="inlineStr">
        <is>
          <t>Locked</t>
        </is>
      </c>
      <c r="D74" s="12" t="n">
        <v>32500</v>
      </c>
      <c r="E74" s="12" t="n">
        <v>12900</v>
      </c>
      <c r="F74" s="12">
        <f>D74-E74</f>
        <v/>
      </c>
      <c r="G74" s="13">
        <f>IF(D74=0,"",F74/D74)</f>
        <v/>
      </c>
    </row>
    <row r="75">
      <c r="A75" s="16" t="inlineStr">
        <is>
          <t>Retainers</t>
        </is>
      </c>
      <c r="B75" s="16" t="inlineStr">
        <is>
          <t>Aug 26</t>
        </is>
      </c>
      <c r="C75" s="16" t="inlineStr">
        <is>
          <t>Locked</t>
        </is>
      </c>
      <c r="D75" s="12" t="n">
        <v>32500</v>
      </c>
      <c r="E75" s="12" t="n">
        <v>12840</v>
      </c>
      <c r="F75" s="12">
        <f>D75-E75</f>
        <v/>
      </c>
      <c r="G75" s="13">
        <f>IF(D75=0,"",F75/D75)</f>
        <v/>
      </c>
    </row>
    <row r="76">
      <c r="A76" s="16" t="inlineStr">
        <is>
          <t>Retainers</t>
        </is>
      </c>
      <c r="B76" s="16" t="inlineStr">
        <is>
          <t>Sep 26</t>
        </is>
      </c>
      <c r="C76" s="16" t="inlineStr">
        <is>
          <t>Locked</t>
        </is>
      </c>
      <c r="D76" s="12" t="n">
        <v>32500</v>
      </c>
      <c r="E76" s="12" t="n">
        <v>13440</v>
      </c>
      <c r="F76" s="12">
        <f>D76-E76</f>
        <v/>
      </c>
      <c r="G76" s="13">
        <f>IF(D76=0,"",F76/D76)</f>
        <v/>
      </c>
    </row>
    <row r="77">
      <c r="A77" s="16" t="inlineStr">
        <is>
          <t>Retainers</t>
        </is>
      </c>
      <c r="B77" s="16" t="inlineStr">
        <is>
          <t>Oct 26</t>
        </is>
      </c>
      <c r="C77" s="16" t="inlineStr">
        <is>
          <t>Incomplete</t>
        </is>
      </c>
      <c r="D77" s="12" t="n">
        <v>32500</v>
      </c>
      <c r="E77" s="12" t="n">
        <v>1800</v>
      </c>
      <c r="F77" s="12">
        <f>D77-E77</f>
        <v/>
      </c>
      <c r="G77" s="13">
        <f>IF(D77=0,"",F77/D77)</f>
        <v/>
      </c>
    </row>
    <row r="78">
      <c r="A78" s="16" t="inlineStr">
        <is>
          <t>Training</t>
        </is>
      </c>
      <c r="B78" s="16" t="inlineStr">
        <is>
          <t>Nov 24</t>
        </is>
      </c>
      <c r="C78" s="16" t="inlineStr">
        <is>
          <t>Locked</t>
        </is>
      </c>
      <c r="D78" s="12" t="n">
        <v>4600</v>
      </c>
      <c r="E78" s="12" t="n">
        <v>840</v>
      </c>
      <c r="F78" s="12">
        <f>D78-E78</f>
        <v/>
      </c>
      <c r="G78" s="13">
        <f>IF(D78=0,"",F78/D78)</f>
        <v/>
      </c>
    </row>
    <row r="79">
      <c r="A79" s="16" t="inlineStr">
        <is>
          <t>Training</t>
        </is>
      </c>
      <c r="B79" s="16" t="inlineStr">
        <is>
          <t>Dec 24</t>
        </is>
      </c>
      <c r="C79" s="16" t="inlineStr">
        <is>
          <t>Locked</t>
        </is>
      </c>
      <c r="D79" s="12" t="n">
        <v>5200</v>
      </c>
      <c r="E79" s="12" t="n">
        <v>960</v>
      </c>
      <c r="F79" s="12">
        <f>D79-E79</f>
        <v/>
      </c>
      <c r="G79" s="13">
        <f>IF(D79=0,"",F79/D79)</f>
        <v/>
      </c>
    </row>
    <row r="80">
      <c r="A80" s="16" t="inlineStr">
        <is>
          <t>Training</t>
        </is>
      </c>
      <c r="B80" s="16" t="inlineStr">
        <is>
          <t>Jan 25</t>
        </is>
      </c>
      <c r="C80" s="16" t="inlineStr">
        <is>
          <t>Locked</t>
        </is>
      </c>
      <c r="D80" s="12" t="n">
        <v>6400</v>
      </c>
      <c r="E80" s="12" t="n">
        <v>2100</v>
      </c>
      <c r="F80" s="12">
        <f>D80-E80</f>
        <v/>
      </c>
      <c r="G80" s="13">
        <f>IF(D80=0,"",F80/D80)</f>
        <v/>
      </c>
    </row>
    <row r="81">
      <c r="A81" s="16" t="inlineStr">
        <is>
          <t>Training</t>
        </is>
      </c>
      <c r="B81" s="16" t="inlineStr">
        <is>
          <t>Feb 25</t>
        </is>
      </c>
      <c r="C81" s="16" t="inlineStr">
        <is>
          <t>Locked</t>
        </is>
      </c>
      <c r="D81" s="12" t="n">
        <v>11600</v>
      </c>
      <c r="E81" s="12" t="n">
        <v>3060</v>
      </c>
      <c r="F81" s="12">
        <f>D81-E81</f>
        <v/>
      </c>
      <c r="G81" s="13">
        <f>IF(D81=0,"",F81/D81)</f>
        <v/>
      </c>
    </row>
    <row r="82">
      <c r="A82" s="16" t="inlineStr">
        <is>
          <t>Training</t>
        </is>
      </c>
      <c r="B82" s="16" t="inlineStr">
        <is>
          <t>Mar 25</t>
        </is>
      </c>
      <c r="C82" s="16" t="inlineStr">
        <is>
          <t>Locked</t>
        </is>
      </c>
      <c r="D82" s="12" t="n">
        <v>6400</v>
      </c>
      <c r="E82" s="12" t="n">
        <v>2100</v>
      </c>
      <c r="F82" s="12">
        <f>D82-E82</f>
        <v/>
      </c>
      <c r="G82" s="13">
        <f>IF(D82=0,"",F82/D82)</f>
        <v/>
      </c>
    </row>
    <row r="83">
      <c r="A83" s="16" t="inlineStr">
        <is>
          <t>Training</t>
        </is>
      </c>
      <c r="B83" s="16" t="inlineStr">
        <is>
          <t>Apr 25</t>
        </is>
      </c>
      <c r="C83" s="16" t="inlineStr">
        <is>
          <t>Locked</t>
        </is>
      </c>
      <c r="D83" s="12" t="n">
        <v>4600</v>
      </c>
      <c r="E83" s="12" t="n">
        <v>840</v>
      </c>
      <c r="F83" s="12">
        <f>D83-E83</f>
        <v/>
      </c>
      <c r="G83" s="13">
        <f>IF(D83=0,"",F83/D83)</f>
        <v/>
      </c>
    </row>
    <row r="84">
      <c r="A84" s="16" t="inlineStr">
        <is>
          <t>Training</t>
        </is>
      </c>
      <c r="B84" s="16" t="inlineStr">
        <is>
          <t>May 25</t>
        </is>
      </c>
      <c r="C84" s="16" t="inlineStr">
        <is>
          <t>Locked</t>
        </is>
      </c>
      <c r="D84" s="12" t="n">
        <v>14000</v>
      </c>
      <c r="E84" s="12" t="n">
        <v>3660</v>
      </c>
      <c r="F84" s="12">
        <f>D84-E84</f>
        <v/>
      </c>
      <c r="G84" s="13">
        <f>IF(D84=0,"",F84/D84)</f>
        <v/>
      </c>
    </row>
    <row r="85">
      <c r="A85" s="16" t="inlineStr">
        <is>
          <t>Training</t>
        </is>
      </c>
      <c r="B85" s="16" t="inlineStr">
        <is>
          <t>Jun 25</t>
        </is>
      </c>
      <c r="C85" s="16" t="inlineStr">
        <is>
          <t>Locked</t>
        </is>
      </c>
      <c r="D85" s="12" t="n">
        <v>3900</v>
      </c>
      <c r="E85" s="12" t="n">
        <v>720</v>
      </c>
      <c r="F85" s="12">
        <f>D85-E85</f>
        <v/>
      </c>
      <c r="G85" s="13">
        <f>IF(D85=0,"",F85/D85)</f>
        <v/>
      </c>
    </row>
    <row r="86">
      <c r="A86" s="16" t="inlineStr">
        <is>
          <t>Training</t>
        </is>
      </c>
      <c r="B86" s="16" t="inlineStr">
        <is>
          <t>Jul 25</t>
        </is>
      </c>
      <c r="C86" s="16" t="inlineStr">
        <is>
          <t>Locked</t>
        </is>
      </c>
      <c r="D86" s="12" t="n">
        <v>5200</v>
      </c>
      <c r="E86" s="12" t="n">
        <v>960</v>
      </c>
      <c r="F86" s="12">
        <f>D86-E86</f>
        <v/>
      </c>
      <c r="G86" s="13">
        <f>IF(D86=0,"",F86/D86)</f>
        <v/>
      </c>
    </row>
    <row r="87">
      <c r="A87" s="16" t="inlineStr">
        <is>
          <t>Training</t>
        </is>
      </c>
      <c r="B87" s="16" t="inlineStr">
        <is>
          <t>Aug 25</t>
        </is>
      </c>
      <c r="C87" s="16" t="inlineStr">
        <is>
          <t>Locked</t>
        </is>
      </c>
      <c r="D87" s="12" t="n">
        <v>6400</v>
      </c>
      <c r="E87" s="12" t="n">
        <v>2100</v>
      </c>
      <c r="F87" s="12">
        <f>D87-E87</f>
        <v/>
      </c>
      <c r="G87" s="13">
        <f>IF(D87=0,"",F87/D87)</f>
        <v/>
      </c>
    </row>
    <row r="88">
      <c r="A88" s="16" t="inlineStr">
        <is>
          <t>Training</t>
        </is>
      </c>
      <c r="B88" s="16" t="inlineStr">
        <is>
          <t>Sep 25</t>
        </is>
      </c>
      <c r="C88" s="16" t="inlineStr">
        <is>
          <t>Locked</t>
        </is>
      </c>
      <c r="D88" s="12" t="n">
        <v>5200</v>
      </c>
      <c r="E88" s="12" t="n">
        <v>960</v>
      </c>
      <c r="F88" s="12">
        <f>D88-E88</f>
        <v/>
      </c>
      <c r="G88" s="13">
        <f>IF(D88=0,"",F88/D88)</f>
        <v/>
      </c>
    </row>
    <row r="89">
      <c r="A89" s="16" t="inlineStr">
        <is>
          <t>Training</t>
        </is>
      </c>
      <c r="B89" s="16" t="inlineStr">
        <is>
          <t>Oct 25</t>
        </is>
      </c>
      <c r="C89" s="16" t="inlineStr">
        <is>
          <t>Locked</t>
        </is>
      </c>
      <c r="D89" s="12" t="n">
        <v>9100</v>
      </c>
      <c r="E89" s="12" t="n">
        <v>1680</v>
      </c>
      <c r="F89" s="12">
        <f>D89-E89</f>
        <v/>
      </c>
      <c r="G89" s="13">
        <f>IF(D89=0,"",F89/D89)</f>
        <v/>
      </c>
    </row>
    <row r="90">
      <c r="A90" s="16" t="inlineStr">
        <is>
          <t>Training</t>
        </is>
      </c>
      <c r="B90" s="16" t="inlineStr">
        <is>
          <t>Nov 25</t>
        </is>
      </c>
      <c r="C90" s="16" t="inlineStr">
        <is>
          <t>Locked</t>
        </is>
      </c>
      <c r="D90" s="12" t="n">
        <v>8800</v>
      </c>
      <c r="E90" s="12" t="n">
        <v>2700</v>
      </c>
      <c r="F90" s="12">
        <f>D90-E90</f>
        <v/>
      </c>
      <c r="G90" s="13">
        <f>IF(D90=0,"",F90/D90)</f>
        <v/>
      </c>
    </row>
    <row r="91">
      <c r="A91" s="16" t="inlineStr">
        <is>
          <t>Training</t>
        </is>
      </c>
      <c r="B91" s="16" t="inlineStr">
        <is>
          <t>Dec 25</t>
        </is>
      </c>
      <c r="C91" s="16" t="inlineStr">
        <is>
          <t>Locked</t>
        </is>
      </c>
      <c r="D91" s="12" t="n">
        <v>11600</v>
      </c>
      <c r="E91" s="12" t="n">
        <v>3060</v>
      </c>
      <c r="F91" s="12">
        <f>D91-E91</f>
        <v/>
      </c>
      <c r="G91" s="13">
        <f>IF(D91=0,"",F91/D91)</f>
        <v/>
      </c>
    </row>
    <row r="92">
      <c r="A92" s="16" t="inlineStr">
        <is>
          <t>Training</t>
        </is>
      </c>
      <c r="B92" s="16" t="inlineStr">
        <is>
          <t>Jan 26</t>
        </is>
      </c>
      <c r="C92" s="16" t="inlineStr">
        <is>
          <t>Locked</t>
        </is>
      </c>
      <c r="D92" s="12" t="n">
        <v>3900</v>
      </c>
      <c r="E92" s="12" t="n">
        <v>720</v>
      </c>
      <c r="F92" s="12">
        <f>D92-E92</f>
        <v/>
      </c>
      <c r="G92" s="13">
        <f>IF(D92=0,"",F92/D92)</f>
        <v/>
      </c>
    </row>
    <row r="93">
      <c r="A93" s="16" t="inlineStr">
        <is>
          <t>Training</t>
        </is>
      </c>
      <c r="B93" s="16" t="inlineStr">
        <is>
          <t>Feb 26</t>
        </is>
      </c>
      <c r="C93" s="16" t="inlineStr">
        <is>
          <t>Locked</t>
        </is>
      </c>
      <c r="D93" s="12" t="n">
        <v>8800</v>
      </c>
      <c r="E93" s="12" t="n">
        <v>2700</v>
      </c>
      <c r="F93" s="12">
        <f>D93-E93</f>
        <v/>
      </c>
      <c r="G93" s="13">
        <f>IF(D93=0,"",F93/D93)</f>
        <v/>
      </c>
    </row>
    <row r="94">
      <c r="A94" s="16" t="inlineStr">
        <is>
          <t>Training</t>
        </is>
      </c>
      <c r="B94" s="16" t="inlineStr">
        <is>
          <t>Mar 26</t>
        </is>
      </c>
      <c r="C94" s="16" t="inlineStr">
        <is>
          <t>Locked</t>
        </is>
      </c>
      <c r="D94" s="12" t="n">
        <v>6400</v>
      </c>
      <c r="E94" s="12" t="n">
        <v>2100</v>
      </c>
      <c r="F94" s="12">
        <f>D94-E94</f>
        <v/>
      </c>
      <c r="G94" s="13">
        <f>IF(D94=0,"",F94/D94)</f>
        <v/>
      </c>
    </row>
    <row r="95">
      <c r="A95" s="16" t="inlineStr">
        <is>
          <t>Training</t>
        </is>
      </c>
      <c r="B95" s="16" t="inlineStr">
        <is>
          <t>Apr 26</t>
        </is>
      </c>
      <c r="C95" s="16" t="inlineStr">
        <is>
          <t>Locked</t>
        </is>
      </c>
      <c r="D95" s="12" t="n">
        <v>5200</v>
      </c>
      <c r="E95" s="12" t="n">
        <v>960</v>
      </c>
      <c r="F95" s="12">
        <f>D95-E95</f>
        <v/>
      </c>
      <c r="G95" s="13">
        <f>IF(D95=0,"",F95/D95)</f>
        <v/>
      </c>
    </row>
    <row r="96">
      <c r="A96" s="16" t="inlineStr">
        <is>
          <t>Training</t>
        </is>
      </c>
      <c r="B96" s="16" t="inlineStr">
        <is>
          <t>May 26</t>
        </is>
      </c>
      <c r="C96" s="16" t="inlineStr">
        <is>
          <t>Locked</t>
        </is>
      </c>
      <c r="D96" s="12" t="n">
        <v>5200</v>
      </c>
      <c r="E96" s="12" t="n">
        <v>960</v>
      </c>
      <c r="F96" s="12">
        <f>D96-E96</f>
        <v/>
      </c>
      <c r="G96" s="13">
        <f>IF(D96=0,"",F96/D96)</f>
        <v/>
      </c>
    </row>
    <row r="97">
      <c r="A97" s="16" t="inlineStr">
        <is>
          <t>Training</t>
        </is>
      </c>
      <c r="B97" s="16" t="inlineStr">
        <is>
          <t>Jun 26</t>
        </is>
      </c>
      <c r="C97" s="16" t="inlineStr">
        <is>
          <t>Locked</t>
        </is>
      </c>
      <c r="D97" s="12" t="n">
        <v>6400</v>
      </c>
      <c r="E97" s="12" t="n">
        <v>2100</v>
      </c>
      <c r="F97" s="12">
        <f>D97-E97</f>
        <v/>
      </c>
      <c r="G97" s="13">
        <f>IF(D97=0,"",F97/D97)</f>
        <v/>
      </c>
    </row>
    <row r="98">
      <c r="A98" s="16" t="inlineStr">
        <is>
          <t>Training</t>
        </is>
      </c>
      <c r="B98" s="16" t="inlineStr">
        <is>
          <t>Jul 26</t>
        </is>
      </c>
      <c r="C98" s="16" t="inlineStr">
        <is>
          <t>Locked</t>
        </is>
      </c>
      <c r="D98" s="12" t="n">
        <v>8800</v>
      </c>
      <c r="E98" s="12" t="n">
        <v>2700</v>
      </c>
      <c r="F98" s="12">
        <f>D98-E98</f>
        <v/>
      </c>
      <c r="G98" s="13">
        <f>IF(D98=0,"",F98/D98)</f>
        <v/>
      </c>
    </row>
    <row r="99">
      <c r="A99" s="16" t="inlineStr">
        <is>
          <t>Training</t>
        </is>
      </c>
      <c r="B99" s="16" t="inlineStr">
        <is>
          <t>Aug 26</t>
        </is>
      </c>
      <c r="C99" s="16" t="inlineStr">
        <is>
          <t>Locked</t>
        </is>
      </c>
      <c r="D99" s="12" t="n">
        <v>6400</v>
      </c>
      <c r="E99" s="12" t="n">
        <v>2100</v>
      </c>
      <c r="F99" s="12">
        <f>D99-E99</f>
        <v/>
      </c>
      <c r="G99" s="13">
        <f>IF(D99=0,"",F99/D99)</f>
        <v/>
      </c>
    </row>
    <row r="100">
      <c r="A100" s="16" t="inlineStr">
        <is>
          <t>Training</t>
        </is>
      </c>
      <c r="B100" s="16" t="inlineStr">
        <is>
          <t>Sep 26</t>
        </is>
      </c>
      <c r="C100" s="16" t="inlineStr">
        <is>
          <t>Locked</t>
        </is>
      </c>
      <c r="D100" s="12" t="n">
        <v>13400</v>
      </c>
      <c r="E100" s="12" t="n">
        <v>7200</v>
      </c>
      <c r="F100" s="12">
        <f>D100-E100</f>
        <v/>
      </c>
      <c r="G100" s="13">
        <f>IF(D100=0,"",F100/D100)</f>
        <v/>
      </c>
    </row>
    <row r="101">
      <c r="A101" s="16" t="inlineStr">
        <is>
          <t>Training</t>
        </is>
      </c>
      <c r="B101" s="16" t="inlineStr">
        <is>
          <t>Oct 26</t>
        </is>
      </c>
      <c r="C101" s="16" t="inlineStr">
        <is>
          <t>Incomplete</t>
        </is>
      </c>
      <c r="D101" s="12" t="n">
        <v>0</v>
      </c>
      <c r="E101" s="12" t="n">
        <v>0</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253250</v>
      </c>
      <c r="C6" s="12" t="n">
        <v>187490</v>
      </c>
      <c r="D6" s="13">
        <f>IF(C6=0,"",B6/C6-1)</f>
        <v/>
      </c>
      <c r="E6" s="12" t="n">
        <v>142550</v>
      </c>
      <c r="F6" s="13">
        <f>IF(B6=0,"",E6/B6)</f>
        <v/>
      </c>
    </row>
    <row r="7">
      <c r="A7" s="16" t="inlineStr">
        <is>
          <t>Retainers</t>
        </is>
      </c>
      <c r="B7" s="12" t="n">
        <v>130000</v>
      </c>
      <c r="C7" s="12" t="n">
        <v>65200</v>
      </c>
      <c r="D7" s="13">
        <f>IF(C7=0,"",B7/C7-1)</f>
        <v/>
      </c>
      <c r="E7" s="12" t="n">
        <v>89020</v>
      </c>
      <c r="F7" s="13">
        <f>IF(B7=0,"",E7/B7)</f>
        <v/>
      </c>
    </row>
    <row r="8">
      <c r="A8" s="16" t="inlineStr">
        <is>
          <t>Training</t>
        </is>
      </c>
      <c r="B8" s="12" t="n">
        <v>28600</v>
      </c>
      <c r="C8" s="12" t="n">
        <v>25900</v>
      </c>
      <c r="D8" s="13">
        <f>IF(C8=0,"",B8/C8-1)</f>
        <v/>
      </c>
      <c r="E8" s="12" t="n">
        <v>16600</v>
      </c>
      <c r="F8" s="13">
        <f>IF(B8=0,"",E8/B8)</f>
        <v/>
      </c>
    </row>
    <row r="9">
      <c r="A9" s="16" t="inlineStr">
        <is>
          <t>Total</t>
        </is>
      </c>
      <c r="B9" s="12" t="n">
        <v>411850</v>
      </c>
      <c r="C9" s="12" t="n">
        <v>278590</v>
      </c>
      <c r="D9" s="13">
        <f>IF(C9=0,"",B9/C9-1)</f>
        <v/>
      </c>
      <c r="E9" s="12" t="n">
        <v>248170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2026-10-07T12:57:55Z</dcterms:created>
  <dcterms:modified xmlns:dcterms="http://purl.org/dc/terms/" xmlns:xsi="http://www.w3.org/2001/XMLSchema-instance" xsi:type="dcterms:W3CDTF">2026-10-07T12:57:55Z</dcterms:modified>
</cp:coreProperties>
</file>