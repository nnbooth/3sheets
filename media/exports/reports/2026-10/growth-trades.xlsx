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October_so_far_against_October_last_year">'Report'!$B$16</definedName>
    <definedName name="Trades_Year_to_date_against_the_same_period_last_year">'Report'!$B$17</definedName>
    <definedName name="Trades_Gross_margin_year_to_date">'Report'!$B$18</definedName>
    <definedName name="Trades_October_so_far_against_October_last_year_2">'Report'!$B$28</definedName>
    <definedName name="Trades_Year_to_date_against_the_same_period_last_year_2">'Report'!$B$29</definedName>
    <definedName name="Trades_Gross_margin_year_to_date_2">'Report'!$B$30</definedName>
    <definedName name="Trades_October_so_far_against_October_last_year_3">'Report'!$B$40</definedName>
    <definedName name="Trades_Year_to_date_against_the_same_period_last_year_3">'Report'!$B$41</definedName>
    <definedName name="Trades_Gross_margin_year_to_date_3">'Report'!$B$42</definedName>
    <definedName name="Trades_October_so_far_against_October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'Workings'!$A$1:$B$143</definedName>
    <definedName name="_xlnm.Print_Titles" localSheetId="2">'Data Trades'!$5:$5</definedName>
    <definedName name="_xlnm.Print_Area" localSheetId="2">'Data Trades'!$A$1:$G$101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Trades'!$B$6:$B$29</f>
            </numRef>
          </cat>
          <val>
            <numRef>
              <f>'Data Trades'!$D$6:$D$29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Trades'!$B$6:$B$29</f>
            </numRef>
          </cat>
          <val>
            <numRef>
              <f>'Data Trades'!$D$30:$D$53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Trades'!$B$6:$B$29</f>
            </numRef>
          </cat>
          <val>
            <numRef>
              <f>'Data Trades'!$D$54:$D$77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Trades'!$B$6:$B$29</f>
            </numRef>
          </cat>
          <val>
            <numRef>
              <f>'Data Trades'!$D$78:$D$101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 · latest closed month: September</t>
        </is>
      </c>
    </row>
    <row r="9" ht="75" customHeight="1">
      <c r="A9" s="3" t="inlineStr">
        <is>
          <t>October is still in progress and wages are paid fortnightly, so a part month can't be bridged: this is September, the latest closed month. September's jobs made $96,230 gross margin (42.7%). Technician time not charged to jobs took $28,417 and overheads $59,580, leaving $8,233 profit before tax (3.7% of revenue). To cover overheads, jobs need a 39.0%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October so far against October last year</t>
        </is>
      </c>
      <c r="B16" s="9">
        <f>Workings!B27</f>
        <v/>
      </c>
      <c r="C16" s="10" t="inlineStr">
        <is>
          <t>$86,031 against $143,566</t>
        </is>
      </c>
    </row>
    <row r="17">
      <c r="A17" t="inlineStr">
        <is>
          <t>Year to date against the same period last year</t>
        </is>
      </c>
      <c r="B17" s="9">
        <f>Workings!B38</f>
        <v/>
      </c>
      <c r="C17" s="10" t="inlineStr">
        <is>
          <t>$726,624 against $650,349</t>
        </is>
      </c>
    </row>
    <row r="18">
      <c r="A18" t="inlineStr">
        <is>
          <t>Gross margin, year to date</t>
        </is>
      </c>
      <c r="B18" s="9">
        <f>Workings!B49</f>
        <v/>
      </c>
      <c r="C18" s="10" t="inlineStr">
        <is>
          <t>$325,918 before overheads</t>
        </is>
      </c>
    </row>
    <row r="19"/>
    <row r="20">
      <c r="A20" s="5" t="inlineStr">
        <is>
          <t>What it shows</t>
        </is>
      </c>
    </row>
    <row r="21" ht="45" customHeight="1">
      <c r="A21" s="3" t="inlineStr">
        <is>
          <t>Revenue is 11.7% up on the same period last year, year to date ($726,624 against $650,349). Maintenance contracts make the highest gross margin (63.9%); Installations the lowest (36.5%). The business needs 39.0% gross margin just to cover overheads.</t>
        </is>
      </c>
    </row>
    <row r="22"/>
    <row r="23">
      <c r="A23" s="5" t="inlineStr">
        <is>
          <t>What you'd do about it</t>
        </is>
      </c>
    </row>
    <row r="24" ht="45" customHeight="1">
      <c r="A24" s="3" t="inlineStr">
        <is>
          <t>Installations: 36.5% gross margin, 1.5 points over the 35.0% target ($6,565 ahead on $449,100 this financial year to date). Maintenance contracts: 63.9% gross margin, 28.9 points over the 35.0% target ($52,374 ahead on $181,400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October so far against October last year</t>
        </is>
      </c>
      <c r="B28" s="9">
        <f>Workings!B58</f>
        <v/>
      </c>
      <c r="C28" s="10" t="inlineStr">
        <is>
          <t>$45,350 against $40,100</t>
        </is>
      </c>
    </row>
    <row r="29">
      <c r="A29" t="inlineStr">
        <is>
          <t>Year to date against the same period last year</t>
        </is>
      </c>
      <c r="B29" s="9">
        <f>Workings!B69</f>
        <v/>
      </c>
      <c r="C29" s="10" t="inlineStr">
        <is>
          <t>$181,400 against $151,700</t>
        </is>
      </c>
    </row>
    <row r="30">
      <c r="A30" t="inlineStr">
        <is>
          <t>Gross margin, year to date</t>
        </is>
      </c>
      <c r="B30" s="9">
        <f>Workings!B80</f>
        <v/>
      </c>
      <c r="C30" s="10" t="inlineStr">
        <is>
          <t>$115,864 before overheads</t>
        </is>
      </c>
    </row>
    <row r="31"/>
    <row r="32">
      <c r="A32" s="5" t="inlineStr">
        <is>
          <t>What it shows</t>
        </is>
      </c>
    </row>
    <row r="33" ht="45" customHeight="1">
      <c r="A33" s="3" t="inlineStr">
        <is>
          <t>Maintenance contracts brought in $181,400 this financial year to date, 19.6% on the same period last year (faster than the business as a whole, 11.7%), at a 63.9% gross margin (above the 44.9% overall).</t>
        </is>
      </c>
    </row>
    <row r="34"/>
    <row r="35">
      <c r="A35" s="5" t="inlineStr">
        <is>
          <t>What you'd do about it</t>
        </is>
      </c>
    </row>
    <row r="36" ht="30" customHeight="1">
      <c r="A36" s="3" t="inlineStr">
        <is>
          <t>Maintenance contracts: 63.9% gross margin, 28.9 points over the 35.0% target ($52,374 ahead on $181,400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October so far against October last year</t>
        </is>
      </c>
      <c r="B40" s="9">
        <f>Workings!B89</f>
        <v/>
      </c>
      <c r="C40" s="10" t="inlineStr">
        <is>
          <t>$37,000 against $79,300</t>
        </is>
      </c>
    </row>
    <row r="41">
      <c r="A41" t="inlineStr">
        <is>
          <t>Year to date against the same period last year</t>
        </is>
      </c>
      <c r="B41" s="9">
        <f>Workings!B100</f>
        <v/>
      </c>
      <c r="C41" s="10" t="inlineStr">
        <is>
          <t>$449,100 against $412,100</t>
        </is>
      </c>
    </row>
    <row r="42">
      <c r="A42" t="inlineStr">
        <is>
          <t>Gross margin, year to date</t>
        </is>
      </c>
      <c r="B42" s="9">
        <f>Workings!B111</f>
        <v/>
      </c>
      <c r="C42" s="10" t="inlineStr">
        <is>
          <t>$163,750 before overheads</t>
        </is>
      </c>
    </row>
    <row r="43"/>
    <row r="44">
      <c r="A44" s="5" t="inlineStr">
        <is>
          <t>What it shows</t>
        </is>
      </c>
    </row>
    <row r="45" ht="45" customHeight="1">
      <c r="A45" s="3" t="inlineStr">
        <is>
          <t>Installations brought in $449,100 this financial year to date, 9.0% on the same period last year (slower than the business as a whole, 11.7%), at a 36.5% gross margin (below the 44.9% overall).</t>
        </is>
      </c>
    </row>
    <row r="46"/>
    <row r="47">
      <c r="A47" s="5" t="inlineStr">
        <is>
          <t>What you'd do about it</t>
        </is>
      </c>
    </row>
    <row r="48" ht="30" customHeight="1">
      <c r="A48" s="3" t="inlineStr">
        <is>
          <t>Installations: 36.5% gross margin, 1.5 points over the 35.0% target ($6,565 ahead on $449,100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October so far against October last year</t>
        </is>
      </c>
      <c r="B52" s="9">
        <f>Workings!B120</f>
        <v/>
      </c>
      <c r="C52" s="10" t="inlineStr">
        <is>
          <t>$3,681 against $24,166</t>
        </is>
      </c>
    </row>
    <row r="53">
      <c r="A53" t="inlineStr">
        <is>
          <t>Year to date against the same period last year</t>
        </is>
      </c>
      <c r="B53" s="9">
        <f>Workings!B131</f>
        <v/>
      </c>
      <c r="C53" s="10" t="inlineStr">
        <is>
          <t>$96,124 against $86,549</t>
        </is>
      </c>
    </row>
    <row r="54">
      <c r="A54" t="inlineStr">
        <is>
          <t>Gross margin, year to date</t>
        </is>
      </c>
      <c r="B54" s="9">
        <f>Workings!B142</f>
        <v/>
      </c>
      <c r="C54" s="10" t="inlineStr">
        <is>
          <t>$46,304 before overheads</t>
        </is>
      </c>
    </row>
    <row r="55"/>
    <row r="56">
      <c r="A56" s="5" t="inlineStr">
        <is>
          <t>What it shows</t>
        </is>
      </c>
    </row>
    <row r="57" ht="45" customHeight="1">
      <c r="A57" s="3" t="inlineStr">
        <is>
          <t>Call-outs and repairs brought in $96,124 this financial year to date, 11.1% on the same period last year (slower than the business as a whole, 11.7%), at a 48.2% gross margin (above the 44.9% overall).</t>
        </is>
      </c>
    </row>
    <row r="58"/>
    <row r="59">
      <c r="A59" s="5" t="inlineStr">
        <is>
          <t>What you'd do about it</t>
        </is>
      </c>
    </row>
    <row r="60" ht="30" customHeight="1">
      <c r="A60" s="3" t="inlineStr">
        <is>
          <t>Call-outs and repairs: 48.2% gross margin, 13.2 points over the 35.0% target ($12,661 ahead on $96,124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4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6" t="inlineStr">
        <is>
          <t>Trades: 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96230</v>
      </c>
    </row>
    <row r="9">
      <c r="A9" t="inlineStr">
        <is>
          <t>Technician wages and on-costs</t>
        </is>
      </c>
      <c r="B9" s="12" t="n">
        <v>79587</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225460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include their on-costs: super (12%) and leave as it's earned. No payroll tax: wages are under Queensland's $1.3 million threshold. October is still in progress, so this uses September.</t>
        </is>
      </c>
    </row>
    <row r="20"/>
    <row r="21"/>
    <row r="22">
      <c r="A22" s="6" t="inlineStr">
        <is>
          <t>Trades, all lines: October against October last year</t>
        </is>
      </c>
    </row>
    <row r="23">
      <c r="A23" s="11" t="inlineStr">
        <is>
          <t>October 2026 to date ÷ October 2025 − 1 (year on year)</t>
        </is>
      </c>
    </row>
    <row r="24">
      <c r="A24" s="7" t="inlineStr"/>
      <c r="B24" s="8" t="inlineStr">
        <is>
          <t>Oct</t>
        </is>
      </c>
    </row>
    <row r="25">
      <c r="A25" t="inlineStr">
        <is>
          <t>Revenue, Oct 2026</t>
        </is>
      </c>
      <c r="B25" s="12" t="n">
        <v>86031</v>
      </c>
    </row>
    <row r="26">
      <c r="A26" t="inlineStr">
        <is>
          <t>Revenue, Oct 2025</t>
        </is>
      </c>
      <c r="B26" s="12" t="n">
        <v>143566</v>
      </c>
    </row>
    <row r="27">
      <c r="A27" s="14" t="inlineStr">
        <is>
          <t>Growth</t>
        </is>
      </c>
      <c r="B27" s="15">
        <f>B25/B26-1</f>
        <v/>
      </c>
    </row>
    <row r="28">
      <c r="A28" s="2" t="inlineStr">
        <is>
          <t>October is still in progress (data to 6 October), so it is a part month against full months.</t>
        </is>
      </c>
    </row>
    <row r="29"/>
    <row r="30"/>
    <row r="31">
      <c r="A31" s="6" t="inlineStr">
        <is>
          <t>Trades, all lines: year to date against the same period last year</t>
        </is>
      </c>
    </row>
    <row r="32">
      <c r="A32" s="11" t="inlineStr">
        <is>
          <t>Jul to Oct 2026 ÷ Jul to Oct 2025 − 1 (financial year to date)</t>
        </is>
      </c>
    </row>
    <row r="33">
      <c r="A33" s="7" t="inlineStr"/>
      <c r="B33" s="8" t="inlineStr">
        <is>
          <t>Year to date</t>
        </is>
      </c>
    </row>
    <row r="34">
      <c r="A34" t="inlineStr">
        <is>
          <t>Revenue, year to date (Jul to Oct 2026)</t>
        </is>
      </c>
      <c r="B34" s="12" t="n">
        <v>726624</v>
      </c>
    </row>
    <row r="35">
      <c r="A35" t="inlineStr">
        <is>
          <t>Revenue, same period last year (Jul to Oct 2025)</t>
        </is>
      </c>
      <c r="B35" s="12" t="n">
        <v>650349</v>
      </c>
    </row>
    <row r="36">
      <c r="A36" t="inlineStr">
        <is>
          <t>Growth</t>
        </is>
      </c>
      <c r="B36" s="13">
        <f>B34/B35-1</f>
        <v/>
      </c>
    </row>
    <row r="37">
      <c r="A37" t="inlineStr">
        <is>
          <t>Gross margin, year to date</t>
        </is>
      </c>
      <c r="B37" s="12" t="n">
        <v>325918</v>
      </c>
    </row>
    <row r="38">
      <c r="A38" s="14" t="inlineStr">
        <is>
          <t>Gross margin %, year to date</t>
        </is>
      </c>
      <c r="B38" s="15">
        <f>B37/B34</f>
        <v/>
      </c>
    </row>
    <row r="39">
      <c r="A39" s="2" t="inlineStr">
        <is>
          <t>October is still in progress (data to 6 October), so it is a part month against full months.</t>
        </is>
      </c>
    </row>
    <row r="40"/>
    <row r="41"/>
    <row r="42">
      <c r="A42" s="6" t="inlineStr">
        <is>
          <t>Trades, all lines: year to date against the same period last year</t>
        </is>
      </c>
    </row>
    <row r="43">
      <c r="A43" s="11" t="inlineStr">
        <is>
          <t>Jul to Oct 2026 ÷ Jul to Oct 2025 − 1 (financial year to date)</t>
        </is>
      </c>
    </row>
    <row r="44">
      <c r="A44" s="7" t="inlineStr"/>
      <c r="B44" s="8" t="inlineStr">
        <is>
          <t>Year to date</t>
        </is>
      </c>
    </row>
    <row r="45">
      <c r="A45" t="inlineStr">
        <is>
          <t>Revenue, year to date (Jul to Oct 2026)</t>
        </is>
      </c>
      <c r="B45" s="12" t="n">
        <v>726624</v>
      </c>
    </row>
    <row r="46">
      <c r="A46" t="inlineStr">
        <is>
          <t>Revenue, same period last year (Jul to Oct 2025)</t>
        </is>
      </c>
      <c r="B46" s="12" t="n">
        <v>650349</v>
      </c>
    </row>
    <row r="47">
      <c r="A47" t="inlineStr">
        <is>
          <t>Growth</t>
        </is>
      </c>
      <c r="B47" s="13">
        <f>B45/B46-1</f>
        <v/>
      </c>
    </row>
    <row r="48">
      <c r="A48" t="inlineStr">
        <is>
          <t>Gross margin, year to date</t>
        </is>
      </c>
      <c r="B48" s="12" t="n">
        <v>325918</v>
      </c>
    </row>
    <row r="49">
      <c r="A49" s="14" t="inlineStr">
        <is>
          <t>Gross margin %, year to date</t>
        </is>
      </c>
      <c r="B49" s="15">
        <f>B48/B45</f>
        <v/>
      </c>
    </row>
    <row r="50">
      <c r="A50" s="2" t="inlineStr">
        <is>
          <t>October is still in progress (data to 6 October), so it is a part month against full months.</t>
        </is>
      </c>
    </row>
    <row r="51"/>
    <row r="52"/>
    <row r="53">
      <c r="A53" s="6" t="inlineStr">
        <is>
          <t>Trades, Maintenance contracts: October against October last year</t>
        </is>
      </c>
    </row>
    <row r="54">
      <c r="A54" s="11" t="inlineStr">
        <is>
          <t>October 2026 to date ÷ October 2025 − 1 (year on year)</t>
        </is>
      </c>
    </row>
    <row r="55">
      <c r="A55" s="7" t="inlineStr"/>
      <c r="B55" s="8" t="inlineStr">
        <is>
          <t>Oct</t>
        </is>
      </c>
    </row>
    <row r="56">
      <c r="A56" t="inlineStr">
        <is>
          <t>Revenue, Oct 2026</t>
        </is>
      </c>
      <c r="B56" s="12" t="n">
        <v>45350</v>
      </c>
    </row>
    <row r="57">
      <c r="A57" t="inlineStr">
        <is>
          <t>Revenue, Oct 2025</t>
        </is>
      </c>
      <c r="B57" s="12" t="n">
        <v>40100</v>
      </c>
    </row>
    <row r="58">
      <c r="A58" s="14" t="inlineStr">
        <is>
          <t>Growth</t>
        </is>
      </c>
      <c r="B58" s="15">
        <f>B56/B57-1</f>
        <v/>
      </c>
    </row>
    <row r="59">
      <c r="A59" s="2" t="inlineStr">
        <is>
          <t>October is still in progress (data to 6 October), so it is a part month against full months.</t>
        </is>
      </c>
    </row>
    <row r="60"/>
    <row r="61"/>
    <row r="62">
      <c r="A62" s="6" t="inlineStr">
        <is>
          <t>Trades, Maintenance contracts: year to date against the same period last year</t>
        </is>
      </c>
    </row>
    <row r="63">
      <c r="A63" s="11" t="inlineStr">
        <is>
          <t>Jul to Oct 2026 ÷ Jul to Oct 2025 − 1 (financial year to date)</t>
        </is>
      </c>
    </row>
    <row r="64">
      <c r="A64" s="7" t="inlineStr"/>
      <c r="B64" s="8" t="inlineStr">
        <is>
          <t>Year to date</t>
        </is>
      </c>
    </row>
    <row r="65">
      <c r="A65" t="inlineStr">
        <is>
          <t>Revenue, year to date (Jul to Oct 2026)</t>
        </is>
      </c>
      <c r="B65" s="12" t="n">
        <v>181400</v>
      </c>
    </row>
    <row r="66">
      <c r="A66" t="inlineStr">
        <is>
          <t>Revenue, same period last year (Jul to Oct 2025)</t>
        </is>
      </c>
      <c r="B66" s="12" t="n">
        <v>151700</v>
      </c>
    </row>
    <row r="67">
      <c r="A67" t="inlineStr">
        <is>
          <t>Growth</t>
        </is>
      </c>
      <c r="B67" s="13">
        <f>B65/B66-1</f>
        <v/>
      </c>
    </row>
    <row r="68">
      <c r="A68" t="inlineStr">
        <is>
          <t>Gross margin, year to date</t>
        </is>
      </c>
      <c r="B68" s="12" t="n">
        <v>115864</v>
      </c>
    </row>
    <row r="69">
      <c r="A69" s="14" t="inlineStr">
        <is>
          <t>Gross margin %, year to date</t>
        </is>
      </c>
      <c r="B69" s="15">
        <f>B68/B65</f>
        <v/>
      </c>
    </row>
    <row r="70">
      <c r="A70" s="2" t="inlineStr">
        <is>
          <t>October is still in progress (data to 6 October), so it is a part month against full months.</t>
        </is>
      </c>
    </row>
    <row r="71"/>
    <row r="72"/>
    <row r="73">
      <c r="A73" s="6" t="inlineStr">
        <is>
          <t>Trades, Maintenance contracts: year to date against the same period last year</t>
        </is>
      </c>
    </row>
    <row r="74">
      <c r="A74" s="11" t="inlineStr">
        <is>
          <t>Jul to Oct 2026 ÷ Jul to Oct 2025 − 1 (financial year to date)</t>
        </is>
      </c>
    </row>
    <row r="75">
      <c r="A75" s="7" t="inlineStr"/>
      <c r="B75" s="8" t="inlineStr">
        <is>
          <t>Year to date</t>
        </is>
      </c>
    </row>
    <row r="76">
      <c r="A76" t="inlineStr">
        <is>
          <t>Revenue, year to date (Jul to Oct 2026)</t>
        </is>
      </c>
      <c r="B76" s="12" t="n">
        <v>181400</v>
      </c>
    </row>
    <row r="77">
      <c r="A77" t="inlineStr">
        <is>
          <t>Revenue, same period last year (Jul to Oct 2025)</t>
        </is>
      </c>
      <c r="B77" s="12" t="n">
        <v>151700</v>
      </c>
    </row>
    <row r="78">
      <c r="A78" t="inlineStr">
        <is>
          <t>Growth</t>
        </is>
      </c>
      <c r="B78" s="13">
        <f>B76/B77-1</f>
        <v/>
      </c>
    </row>
    <row r="79">
      <c r="A79" t="inlineStr">
        <is>
          <t>Gross margin, year to date</t>
        </is>
      </c>
      <c r="B79" s="12" t="n">
        <v>115864</v>
      </c>
    </row>
    <row r="80">
      <c r="A80" s="14" t="inlineStr">
        <is>
          <t>Gross margin %, year to date</t>
        </is>
      </c>
      <c r="B80" s="15">
        <f>B79/B76</f>
        <v/>
      </c>
    </row>
    <row r="81">
      <c r="A81" s="2" t="inlineStr">
        <is>
          <t>October is still in progress (data to 6 October), so it is a part month against full months.</t>
        </is>
      </c>
    </row>
    <row r="82"/>
    <row r="83"/>
    <row r="84">
      <c r="A84" s="6" t="inlineStr">
        <is>
          <t>Trades, Installations: October against October last year</t>
        </is>
      </c>
    </row>
    <row r="85">
      <c r="A85" s="11" t="inlineStr">
        <is>
          <t>October 2026 to date ÷ October 2025 − 1 (year on year)</t>
        </is>
      </c>
    </row>
    <row r="86">
      <c r="A86" s="7" t="inlineStr"/>
      <c r="B86" s="8" t="inlineStr">
        <is>
          <t>Oct</t>
        </is>
      </c>
    </row>
    <row r="87">
      <c r="A87" t="inlineStr">
        <is>
          <t>Revenue, Oct 2026</t>
        </is>
      </c>
      <c r="B87" s="12" t="n">
        <v>37000</v>
      </c>
    </row>
    <row r="88">
      <c r="A88" t="inlineStr">
        <is>
          <t>Revenue, Oct 2025</t>
        </is>
      </c>
      <c r="B88" s="12" t="n">
        <v>79300</v>
      </c>
    </row>
    <row r="89">
      <c r="A89" s="14" t="inlineStr">
        <is>
          <t>Growth</t>
        </is>
      </c>
      <c r="B89" s="15">
        <f>B87/B88-1</f>
        <v/>
      </c>
    </row>
    <row r="90">
      <c r="A90" s="2" t="inlineStr">
        <is>
          <t>October is still in progress (data to 6 October), so it is a part month against full months.</t>
        </is>
      </c>
    </row>
    <row r="91"/>
    <row r="92"/>
    <row r="93">
      <c r="A93" s="6" t="inlineStr">
        <is>
          <t>Trades, Installations: year to date against the same period last year</t>
        </is>
      </c>
    </row>
    <row r="94">
      <c r="A94" s="11" t="inlineStr">
        <is>
          <t>Jul to Oct 2026 ÷ Jul to Oct 2025 − 1 (financial year to date)</t>
        </is>
      </c>
    </row>
    <row r="95">
      <c r="A95" s="7" t="inlineStr"/>
      <c r="B95" s="8" t="inlineStr">
        <is>
          <t>Year to date</t>
        </is>
      </c>
    </row>
    <row r="96">
      <c r="A96" t="inlineStr">
        <is>
          <t>Revenue, year to date (Jul to Oct 2026)</t>
        </is>
      </c>
      <c r="B96" s="12" t="n">
        <v>449100</v>
      </c>
    </row>
    <row r="97">
      <c r="A97" t="inlineStr">
        <is>
          <t>Revenue, same period last year (Jul to Oct 2025)</t>
        </is>
      </c>
      <c r="B97" s="12" t="n">
        <v>412100</v>
      </c>
    </row>
    <row r="98">
      <c r="A98" t="inlineStr">
        <is>
          <t>Growth</t>
        </is>
      </c>
      <c r="B98" s="13">
        <f>B96/B97-1</f>
        <v/>
      </c>
    </row>
    <row r="99">
      <c r="A99" t="inlineStr">
        <is>
          <t>Gross margin, year to date</t>
        </is>
      </c>
      <c r="B99" s="12" t="n">
        <v>163750</v>
      </c>
    </row>
    <row r="100">
      <c r="A100" s="14" t="inlineStr">
        <is>
          <t>Gross margin %, year to date</t>
        </is>
      </c>
      <c r="B100" s="15">
        <f>B99/B96</f>
        <v/>
      </c>
    </row>
    <row r="101">
      <c r="A101" s="2" t="inlineStr">
        <is>
          <t>October is still in progress (data to 6 October), so it is a part month against full months.</t>
        </is>
      </c>
    </row>
    <row r="102"/>
    <row r="103"/>
    <row r="104">
      <c r="A104" s="6" t="inlineStr">
        <is>
          <t>Trades, Installations: year to date against the same period last year</t>
        </is>
      </c>
    </row>
    <row r="105">
      <c r="A105" s="11" t="inlineStr">
        <is>
          <t>Jul to Oct 2026 ÷ Jul to Oct 2025 − 1 (financial year to date)</t>
        </is>
      </c>
    </row>
    <row r="106">
      <c r="A106" s="7" t="inlineStr"/>
      <c r="B106" s="8" t="inlineStr">
        <is>
          <t>Year to date</t>
        </is>
      </c>
    </row>
    <row r="107">
      <c r="A107" t="inlineStr">
        <is>
          <t>Revenue, year to date (Jul to Oct 2026)</t>
        </is>
      </c>
      <c r="B107" s="12" t="n">
        <v>449100</v>
      </c>
    </row>
    <row r="108">
      <c r="A108" t="inlineStr">
        <is>
          <t>Revenue, same period last year (Jul to Oct 2025)</t>
        </is>
      </c>
      <c r="B108" s="12" t="n">
        <v>412100</v>
      </c>
    </row>
    <row r="109">
      <c r="A109" t="inlineStr">
        <is>
          <t>Growth</t>
        </is>
      </c>
      <c r="B109" s="13">
        <f>B107/B108-1</f>
        <v/>
      </c>
    </row>
    <row r="110">
      <c r="A110" t="inlineStr">
        <is>
          <t>Gross margin, year to date</t>
        </is>
      </c>
      <c r="B110" s="12" t="n">
        <v>163750</v>
      </c>
    </row>
    <row r="111">
      <c r="A111" s="14" t="inlineStr">
        <is>
          <t>Gross margin %, year to date</t>
        </is>
      </c>
      <c r="B111" s="15">
        <f>B110/B107</f>
        <v/>
      </c>
    </row>
    <row r="112">
      <c r="A112" s="2" t="inlineStr">
        <is>
          <t>October is still in progress (data to 6 October), so it is a part month against full months.</t>
        </is>
      </c>
    </row>
    <row r="113"/>
    <row r="114"/>
    <row r="115">
      <c r="A115" s="6" t="inlineStr">
        <is>
          <t>Trades, Call-outs and repairs: October against October last year</t>
        </is>
      </c>
    </row>
    <row r="116">
      <c r="A116" s="11" t="inlineStr">
        <is>
          <t>October 2026 to date ÷ October 2025 − 1 (year on year)</t>
        </is>
      </c>
    </row>
    <row r="117">
      <c r="A117" s="7" t="inlineStr"/>
      <c r="B117" s="8" t="inlineStr">
        <is>
          <t>Oct</t>
        </is>
      </c>
    </row>
    <row r="118">
      <c r="A118" t="inlineStr">
        <is>
          <t>Revenue, Oct 2026</t>
        </is>
      </c>
      <c r="B118" s="12" t="n">
        <v>3681</v>
      </c>
    </row>
    <row r="119">
      <c r="A119" t="inlineStr">
        <is>
          <t>Revenue, Oct 2025</t>
        </is>
      </c>
      <c r="B119" s="12" t="n">
        <v>24166</v>
      </c>
    </row>
    <row r="120">
      <c r="A120" s="14" t="inlineStr">
        <is>
          <t>Growth</t>
        </is>
      </c>
      <c r="B120" s="15">
        <f>B118/B119-1</f>
        <v/>
      </c>
    </row>
    <row r="121">
      <c r="A121" s="2" t="inlineStr">
        <is>
          <t>October is still in progress (data to 6 October), so it is a part month against full months.</t>
        </is>
      </c>
    </row>
    <row r="122"/>
    <row r="123"/>
    <row r="124">
      <c r="A124" s="6" t="inlineStr">
        <is>
          <t>Trades, Call-outs and repairs: year to date against the same period last year</t>
        </is>
      </c>
    </row>
    <row r="125">
      <c r="A125" s="11" t="inlineStr">
        <is>
          <t>Jul to Oct 2026 ÷ Jul to Oct 2025 − 1 (financial year to date)</t>
        </is>
      </c>
    </row>
    <row r="126">
      <c r="A126" s="7" t="inlineStr"/>
      <c r="B126" s="8" t="inlineStr">
        <is>
          <t>Year to date</t>
        </is>
      </c>
    </row>
    <row r="127">
      <c r="A127" t="inlineStr">
        <is>
          <t>Revenue, year to date (Jul to Oct 2026)</t>
        </is>
      </c>
      <c r="B127" s="12" t="n">
        <v>96124</v>
      </c>
    </row>
    <row r="128">
      <c r="A128" t="inlineStr">
        <is>
          <t>Revenue, same period last year (Jul to Oct 2025)</t>
        </is>
      </c>
      <c r="B128" s="12" t="n">
        <v>86549</v>
      </c>
    </row>
    <row r="129">
      <c r="A129" t="inlineStr">
        <is>
          <t>Growth</t>
        </is>
      </c>
      <c r="B129" s="13">
        <f>B127/B128-1</f>
        <v/>
      </c>
    </row>
    <row r="130">
      <c r="A130" t="inlineStr">
        <is>
          <t>Gross margin, year to date</t>
        </is>
      </c>
      <c r="B130" s="12" t="n">
        <v>46304</v>
      </c>
    </row>
    <row r="131">
      <c r="A131" s="14" t="inlineStr">
        <is>
          <t>Gross margin %, year to date</t>
        </is>
      </c>
      <c r="B131" s="15">
        <f>B130/B127</f>
        <v/>
      </c>
    </row>
    <row r="132">
      <c r="A132" s="2" t="inlineStr">
        <is>
          <t>October is still in progress (data to 6 October), so it is a part month against full months.</t>
        </is>
      </c>
    </row>
    <row r="133"/>
    <row r="134"/>
    <row r="135">
      <c r="A135" s="6" t="inlineStr">
        <is>
          <t>Trades, Call-outs and repairs: year to date against the same period last year</t>
        </is>
      </c>
    </row>
    <row r="136">
      <c r="A136" s="11" t="inlineStr">
        <is>
          <t>Jul to Oct 2026 ÷ Jul to Oct 2025 − 1 (financial year to date)</t>
        </is>
      </c>
    </row>
    <row r="137">
      <c r="A137" s="7" t="inlineStr"/>
      <c r="B137" s="8" t="inlineStr">
        <is>
          <t>Year to date</t>
        </is>
      </c>
    </row>
    <row r="138">
      <c r="A138" t="inlineStr">
        <is>
          <t>Revenue, year to date (Jul to Oct 2026)</t>
        </is>
      </c>
      <c r="B138" s="12" t="n">
        <v>96124</v>
      </c>
    </row>
    <row r="139">
      <c r="A139" t="inlineStr">
        <is>
          <t>Revenue, same period last year (Jul to Oct 2025)</t>
        </is>
      </c>
      <c r="B139" s="12" t="n">
        <v>86549</v>
      </c>
    </row>
    <row r="140">
      <c r="A140" t="inlineStr">
        <is>
          <t>Growth</t>
        </is>
      </c>
      <c r="B140" s="13">
        <f>B138/B139-1</f>
        <v/>
      </c>
    </row>
    <row r="141">
      <c r="A141" t="inlineStr">
        <is>
          <t>Gross margin, year to date</t>
        </is>
      </c>
      <c r="B141" s="12" t="n">
        <v>46304</v>
      </c>
    </row>
    <row r="142">
      <c r="A142" s="14" t="inlineStr">
        <is>
          <t>Gross margin %, year to date</t>
        </is>
      </c>
      <c r="B142" s="15">
        <f>B141/B138</f>
        <v/>
      </c>
    </row>
    <row r="143">
      <c r="A143" s="2" t="inlineStr">
        <is>
          <t>October is still in progress (data to 6 October), so it is a part month against full months.</t>
        </is>
      </c>
    </row>
    <row r="144"/>
    <row r="145"/>
    <row r="146"/>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4" manualBreakCount="4">
    <brk id="30" min="0" max="16383" man="1"/>
    <brk id="61" min="0" max="16383" man="1"/>
    <brk id="92" min="0" max="16383" man="1"/>
    <brk id="123"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200124</v>
      </c>
      <c r="E6" s="12" t="n">
        <v>113016</v>
      </c>
      <c r="F6" s="12">
        <f>D6-E6</f>
        <v/>
      </c>
      <c r="G6" s="13">
        <f>IF(D6=0,"",F6/D6)</f>
        <v/>
      </c>
    </row>
    <row r="7">
      <c r="A7" s="16" t="inlineStr">
        <is>
          <t>All</t>
        </is>
      </c>
      <c r="B7" s="16" t="inlineStr">
        <is>
          <t>Dec 24</t>
        </is>
      </c>
      <c r="C7" s="16" t="inlineStr">
        <is>
          <t>Locked</t>
        </is>
      </c>
      <c r="D7" s="12" t="n">
        <v>159406</v>
      </c>
      <c r="E7" s="12" t="n">
        <v>85316</v>
      </c>
      <c r="F7" s="12">
        <f>D7-E7</f>
        <v/>
      </c>
      <c r="G7" s="13">
        <f>IF(D7=0,"",F7/D7)</f>
        <v/>
      </c>
    </row>
    <row r="8">
      <c r="A8" s="16" t="inlineStr">
        <is>
          <t>All</t>
        </is>
      </c>
      <c r="B8" s="16" t="inlineStr">
        <is>
          <t>Jan 25</t>
        </is>
      </c>
      <c r="C8" s="16" t="inlineStr">
        <is>
          <t>Locked</t>
        </is>
      </c>
      <c r="D8" s="12" t="n">
        <v>156794</v>
      </c>
      <c r="E8" s="12" t="n">
        <v>80742</v>
      </c>
      <c r="F8" s="12">
        <f>D8-E8</f>
        <v/>
      </c>
      <c r="G8" s="13">
        <f>IF(D8=0,"",F8/D8)</f>
        <v/>
      </c>
    </row>
    <row r="9">
      <c r="A9" s="16" t="inlineStr">
        <is>
          <t>All</t>
        </is>
      </c>
      <c r="B9" s="16" t="inlineStr">
        <is>
          <t>Feb 25</t>
        </is>
      </c>
      <c r="C9" s="16" t="inlineStr">
        <is>
          <t>Locked</t>
        </is>
      </c>
      <c r="D9" s="12" t="n">
        <v>179190</v>
      </c>
      <c r="E9" s="12" t="n">
        <v>102348</v>
      </c>
      <c r="F9" s="12">
        <f>D9-E9</f>
        <v/>
      </c>
      <c r="G9" s="13">
        <f>IF(D9=0,"",F9/D9)</f>
        <v/>
      </c>
    </row>
    <row r="10">
      <c r="A10" s="16" t="inlineStr">
        <is>
          <t>All</t>
        </is>
      </c>
      <c r="B10" s="16" t="inlineStr">
        <is>
          <t>Mar 25</t>
        </is>
      </c>
      <c r="C10" s="16" t="inlineStr">
        <is>
          <t>Locked</t>
        </is>
      </c>
      <c r="D10" s="12" t="n">
        <v>150465</v>
      </c>
      <c r="E10" s="12" t="n">
        <v>85752</v>
      </c>
      <c r="F10" s="12">
        <f>D10-E10</f>
        <v/>
      </c>
      <c r="G10" s="13">
        <f>IF(D10=0,"",F10/D10)</f>
        <v/>
      </c>
    </row>
    <row r="11">
      <c r="A11" s="16" t="inlineStr">
        <is>
          <t>All</t>
        </is>
      </c>
      <c r="B11" s="16" t="inlineStr">
        <is>
          <t>Apr 25</t>
        </is>
      </c>
      <c r="C11" s="16" t="inlineStr">
        <is>
          <t>Locked</t>
        </is>
      </c>
      <c r="D11" s="12" t="n">
        <v>138865</v>
      </c>
      <c r="E11" s="12" t="n">
        <v>76808</v>
      </c>
      <c r="F11" s="12">
        <f>D11-E11</f>
        <v/>
      </c>
      <c r="G11" s="13">
        <f>IF(D11=0,"",F11/D11)</f>
        <v/>
      </c>
    </row>
    <row r="12">
      <c r="A12" s="16" t="inlineStr">
        <is>
          <t>All</t>
        </is>
      </c>
      <c r="B12" s="16" t="inlineStr">
        <is>
          <t>May 25</t>
        </is>
      </c>
      <c r="C12" s="16" t="inlineStr">
        <is>
          <t>Locked</t>
        </is>
      </c>
      <c r="D12" s="12" t="n">
        <v>144649</v>
      </c>
      <c r="E12" s="12" t="n">
        <v>83700</v>
      </c>
      <c r="F12" s="12">
        <f>D12-E12</f>
        <v/>
      </c>
      <c r="G12" s="13">
        <f>IF(D12=0,"",F12/D12)</f>
        <v/>
      </c>
    </row>
    <row r="13">
      <c r="A13" s="16" t="inlineStr">
        <is>
          <t>All</t>
        </is>
      </c>
      <c r="B13" s="16" t="inlineStr">
        <is>
          <t>Jun 25</t>
        </is>
      </c>
      <c r="C13" s="16" t="inlineStr">
        <is>
          <t>Locked</t>
        </is>
      </c>
      <c r="D13" s="12" t="n">
        <v>183265</v>
      </c>
      <c r="E13" s="12" t="n">
        <v>97584</v>
      </c>
      <c r="F13" s="12">
        <f>D13-E13</f>
        <v/>
      </c>
      <c r="G13" s="13">
        <f>IF(D13=0,"",F13/D13)</f>
        <v/>
      </c>
    </row>
    <row r="14">
      <c r="A14" s="16" t="inlineStr">
        <is>
          <t>All</t>
        </is>
      </c>
      <c r="B14" s="16" t="inlineStr">
        <is>
          <t>Jul 25</t>
        </is>
      </c>
      <c r="C14" s="16" t="inlineStr">
        <is>
          <t>Locked</t>
        </is>
      </c>
      <c r="D14" s="12" t="n">
        <v>208588</v>
      </c>
      <c r="E14" s="12" t="n">
        <v>120326</v>
      </c>
      <c r="F14" s="12">
        <f>D14-E14</f>
        <v/>
      </c>
      <c r="G14" s="13">
        <f>IF(D14=0,"",F14/D14)</f>
        <v/>
      </c>
    </row>
    <row r="15">
      <c r="A15" s="16" t="inlineStr">
        <is>
          <t>All</t>
        </is>
      </c>
      <c r="B15" s="16" t="inlineStr">
        <is>
          <t>Aug 25</t>
        </is>
      </c>
      <c r="C15" s="16" t="inlineStr">
        <is>
          <t>Locked</t>
        </is>
      </c>
      <c r="D15" s="12" t="n">
        <v>155118</v>
      </c>
      <c r="E15" s="12" t="n">
        <v>78258</v>
      </c>
      <c r="F15" s="12">
        <f>D15-E15</f>
        <v/>
      </c>
      <c r="G15" s="13">
        <f>IF(D15=0,"",F15/D15)</f>
        <v/>
      </c>
    </row>
    <row r="16">
      <c r="A16" s="16" t="inlineStr">
        <is>
          <t>All</t>
        </is>
      </c>
      <c r="B16" s="16" t="inlineStr">
        <is>
          <t>Sep 25</t>
        </is>
      </c>
      <c r="C16" s="16" t="inlineStr">
        <is>
          <t>Locked</t>
        </is>
      </c>
      <c r="D16" s="12" t="n">
        <v>143077</v>
      </c>
      <c r="E16" s="12" t="n">
        <v>80054</v>
      </c>
      <c r="F16" s="12">
        <f>D16-E16</f>
        <v/>
      </c>
      <c r="G16" s="13">
        <f>IF(D16=0,"",F16/D16)</f>
        <v/>
      </c>
    </row>
    <row r="17">
      <c r="A17" s="16" t="inlineStr">
        <is>
          <t>All</t>
        </is>
      </c>
      <c r="B17" s="16" t="inlineStr">
        <is>
          <t>Oct 25</t>
        </is>
      </c>
      <c r="C17" s="16" t="inlineStr">
        <is>
          <t>Locked</t>
        </is>
      </c>
      <c r="D17" s="12" t="n">
        <v>143566</v>
      </c>
      <c r="E17" s="12" t="n">
        <v>79452</v>
      </c>
      <c r="F17" s="12">
        <f>D17-E17</f>
        <v/>
      </c>
      <c r="G17" s="13">
        <f>IF(D17=0,"",F17/D17)</f>
        <v/>
      </c>
    </row>
    <row r="18">
      <c r="A18" s="16" t="inlineStr">
        <is>
          <t>All</t>
        </is>
      </c>
      <c r="B18" s="16" t="inlineStr">
        <is>
          <t>Nov 25</t>
        </is>
      </c>
      <c r="C18" s="16" t="inlineStr">
        <is>
          <t>Locked</t>
        </is>
      </c>
      <c r="D18" s="12" t="n">
        <v>194966</v>
      </c>
      <c r="E18" s="12" t="n">
        <v>115942</v>
      </c>
      <c r="F18" s="12">
        <f>D18-E18</f>
        <v/>
      </c>
      <c r="G18" s="13">
        <f>IF(D18=0,"",F18/D18)</f>
        <v/>
      </c>
    </row>
    <row r="19">
      <c r="A19" s="16" t="inlineStr">
        <is>
          <t>All</t>
        </is>
      </c>
      <c r="B19" s="16" t="inlineStr">
        <is>
          <t>Dec 25</t>
        </is>
      </c>
      <c r="C19" s="16" t="inlineStr">
        <is>
          <t>Locked</t>
        </is>
      </c>
      <c r="D19" s="12" t="n">
        <v>150283</v>
      </c>
      <c r="E19" s="12" t="n">
        <v>84626</v>
      </c>
      <c r="F19" s="12">
        <f>D19-E19</f>
        <v/>
      </c>
      <c r="G19" s="13">
        <f>IF(D19=0,"",F19/D19)</f>
        <v/>
      </c>
    </row>
    <row r="20">
      <c r="A20" s="16" t="inlineStr">
        <is>
          <t>All</t>
        </is>
      </c>
      <c r="B20" s="16" t="inlineStr">
        <is>
          <t>Jan 26</t>
        </is>
      </c>
      <c r="C20" s="16" t="inlineStr">
        <is>
          <t>Locked</t>
        </is>
      </c>
      <c r="D20" s="12" t="n">
        <v>183306</v>
      </c>
      <c r="E20" s="12" t="n">
        <v>106590</v>
      </c>
      <c r="F20" s="12">
        <f>D20-E20</f>
        <v/>
      </c>
      <c r="G20" s="13">
        <f>IF(D20=0,"",F20/D20)</f>
        <v/>
      </c>
    </row>
    <row r="21">
      <c r="A21" s="16" t="inlineStr">
        <is>
          <t>All</t>
        </is>
      </c>
      <c r="B21" s="16" t="inlineStr">
        <is>
          <t>Feb 26</t>
        </is>
      </c>
      <c r="C21" s="16" t="inlineStr">
        <is>
          <t>Locked</t>
        </is>
      </c>
      <c r="D21" s="12" t="n">
        <v>218908</v>
      </c>
      <c r="E21" s="12" t="n">
        <v>120662</v>
      </c>
      <c r="F21" s="12">
        <f>D21-E21</f>
        <v/>
      </c>
      <c r="G21" s="13">
        <f>IF(D21=0,"",F21/D21)</f>
        <v/>
      </c>
    </row>
    <row r="22">
      <c r="A22" s="16" t="inlineStr">
        <is>
          <t>All</t>
        </is>
      </c>
      <c r="B22" s="16" t="inlineStr">
        <is>
          <t>Mar 26</t>
        </is>
      </c>
      <c r="C22" s="16" t="inlineStr">
        <is>
          <t>Locked</t>
        </is>
      </c>
      <c r="D22" s="12" t="n">
        <v>213578</v>
      </c>
      <c r="E22" s="12" t="n">
        <v>123342</v>
      </c>
      <c r="F22" s="12">
        <f>D22-E22</f>
        <v/>
      </c>
      <c r="G22" s="13">
        <f>IF(D22=0,"",F22/D22)</f>
        <v/>
      </c>
    </row>
    <row r="23">
      <c r="A23" s="16" t="inlineStr">
        <is>
          <t>All</t>
        </is>
      </c>
      <c r="B23" s="16" t="inlineStr">
        <is>
          <t>Apr 26</t>
        </is>
      </c>
      <c r="C23" s="16" t="inlineStr">
        <is>
          <t>Locked</t>
        </is>
      </c>
      <c r="D23" s="12" t="n">
        <v>183967</v>
      </c>
      <c r="E23" s="12" t="n">
        <v>96144</v>
      </c>
      <c r="F23" s="12">
        <f>D23-E23</f>
        <v/>
      </c>
      <c r="G23" s="13">
        <f>IF(D23=0,"",F23/D23)</f>
        <v/>
      </c>
    </row>
    <row r="24">
      <c r="A24" s="16" t="inlineStr">
        <is>
          <t>All</t>
        </is>
      </c>
      <c r="B24" s="16" t="inlineStr">
        <is>
          <t>May 26</t>
        </is>
      </c>
      <c r="C24" s="16" t="inlineStr">
        <is>
          <t>Locked</t>
        </is>
      </c>
      <c r="D24" s="12" t="n">
        <v>180342</v>
      </c>
      <c r="E24" s="12" t="n">
        <v>98858</v>
      </c>
      <c r="F24" s="12">
        <f>D24-E24</f>
        <v/>
      </c>
      <c r="G24" s="13">
        <f>IF(D24=0,"",F24/D24)</f>
        <v/>
      </c>
    </row>
    <row r="25">
      <c r="A25" s="16" t="inlineStr">
        <is>
          <t>All</t>
        </is>
      </c>
      <c r="B25" s="16" t="inlineStr">
        <is>
          <t>Jun 26</t>
        </is>
      </c>
      <c r="C25" s="16" t="inlineStr">
        <is>
          <t>Locked</t>
        </is>
      </c>
      <c r="D25" s="12" t="n">
        <v>193032</v>
      </c>
      <c r="E25" s="12" t="n">
        <v>106500</v>
      </c>
      <c r="F25" s="12">
        <f>D25-E25</f>
        <v/>
      </c>
      <c r="G25" s="13">
        <f>IF(D25=0,"",F25/D25)</f>
        <v/>
      </c>
    </row>
    <row r="26">
      <c r="A26" s="16" t="inlineStr">
        <is>
          <t>All</t>
        </is>
      </c>
      <c r="B26" s="16" t="inlineStr">
        <is>
          <t>Jul 26</t>
        </is>
      </c>
      <c r="C26" s="16" t="inlineStr">
        <is>
          <t>Locked</t>
        </is>
      </c>
      <c r="D26" s="12" t="n">
        <v>215610</v>
      </c>
      <c r="E26" s="12" t="n">
        <v>122124</v>
      </c>
      <c r="F26" s="12">
        <f>D26-E26</f>
        <v/>
      </c>
      <c r="G26" s="13">
        <f>IF(D26=0,"",F26/D26)</f>
        <v/>
      </c>
    </row>
    <row r="27">
      <c r="A27" s="16" t="inlineStr">
        <is>
          <t>All</t>
        </is>
      </c>
      <c r="B27" s="16" t="inlineStr">
        <is>
          <t>Aug 26</t>
        </is>
      </c>
      <c r="C27" s="16" t="inlineStr">
        <is>
          <t>Locked</t>
        </is>
      </c>
      <c r="D27" s="12" t="n">
        <v>199523</v>
      </c>
      <c r="E27" s="12" t="n">
        <v>105370</v>
      </c>
      <c r="F27" s="12">
        <f>D27-E27</f>
        <v/>
      </c>
      <c r="G27" s="13">
        <f>IF(D27=0,"",F27/D27)</f>
        <v/>
      </c>
    </row>
    <row r="28">
      <c r="A28" s="16" t="inlineStr">
        <is>
          <t>All</t>
        </is>
      </c>
      <c r="B28" s="16" t="inlineStr">
        <is>
          <t>Sep 26</t>
        </is>
      </c>
      <c r="C28" s="16" t="inlineStr">
        <is>
          <t>Locked</t>
        </is>
      </c>
      <c r="D28" s="12" t="n">
        <v>225460</v>
      </c>
      <c r="E28" s="12" t="n">
        <v>129230</v>
      </c>
      <c r="F28" s="12">
        <f>D28-E28</f>
        <v/>
      </c>
      <c r="G28" s="13">
        <f>IF(D28=0,"",F28/D28)</f>
        <v/>
      </c>
    </row>
    <row r="29">
      <c r="A29" s="16" t="inlineStr">
        <is>
          <t>All</t>
        </is>
      </c>
      <c r="B29" s="16" t="inlineStr">
        <is>
          <t>Oct 26</t>
        </is>
      </c>
      <c r="C29" s="16" t="inlineStr">
        <is>
          <t>Incomplete</t>
        </is>
      </c>
      <c r="D29" s="12" t="n">
        <v>86031</v>
      </c>
      <c r="E29" s="12" t="n">
        <v>43982</v>
      </c>
      <c r="F29" s="12">
        <f>D29-E29</f>
        <v/>
      </c>
      <c r="G29" s="13">
        <f>IF(D29=0,"",F29/D29)</f>
        <v/>
      </c>
    </row>
    <row r="30">
      <c r="A30" s="16" t="inlineStr">
        <is>
          <t>Maintenance contracts</t>
        </is>
      </c>
      <c r="B30" s="16" t="inlineStr">
        <is>
          <t>Nov 24</t>
        </is>
      </c>
      <c r="C30" s="16" t="inlineStr">
        <is>
          <t>Locked</t>
        </is>
      </c>
      <c r="D30" s="12" t="n">
        <v>27650</v>
      </c>
      <c r="E30" s="12" t="n">
        <v>10420</v>
      </c>
      <c r="F30" s="12">
        <f>D30-E30</f>
        <v/>
      </c>
      <c r="G30" s="13">
        <f>IF(D30=0,"",F30/D30)</f>
        <v/>
      </c>
    </row>
    <row r="31">
      <c r="A31" s="16" t="inlineStr">
        <is>
          <t>Maintenance contracts</t>
        </is>
      </c>
      <c r="B31" s="16" t="inlineStr">
        <is>
          <t>Dec 24</t>
        </is>
      </c>
      <c r="C31" s="16" t="inlineStr">
        <is>
          <t>Locked</t>
        </is>
      </c>
      <c r="D31" s="12" t="n">
        <v>27650</v>
      </c>
      <c r="E31" s="12" t="n">
        <v>10420</v>
      </c>
      <c r="F31" s="12">
        <f>D31-E31</f>
        <v/>
      </c>
      <c r="G31" s="13">
        <f>IF(D31=0,"",F31/D31)</f>
        <v/>
      </c>
    </row>
    <row r="32">
      <c r="A32" s="16" t="inlineStr">
        <is>
          <t>Maintenance contracts</t>
        </is>
      </c>
      <c r="B32" s="16" t="inlineStr">
        <is>
          <t>Jan 25</t>
        </is>
      </c>
      <c r="C32" s="16" t="inlineStr">
        <is>
          <t>Locked</t>
        </is>
      </c>
      <c r="D32" s="12" t="n">
        <v>27650</v>
      </c>
      <c r="E32" s="12" t="n">
        <v>10420</v>
      </c>
      <c r="F32" s="12">
        <f>D32-E32</f>
        <v/>
      </c>
      <c r="G32" s="13">
        <f>IF(D32=0,"",F32/D32)</f>
        <v/>
      </c>
    </row>
    <row r="33">
      <c r="A33" s="16" t="inlineStr">
        <is>
          <t>Maintenance contracts</t>
        </is>
      </c>
      <c r="B33" s="16" t="inlineStr">
        <is>
          <t>Feb 25</t>
        </is>
      </c>
      <c r="C33" s="16" t="inlineStr">
        <is>
          <t>Locked</t>
        </is>
      </c>
      <c r="D33" s="12" t="n">
        <v>31300</v>
      </c>
      <c r="E33" s="12" t="n">
        <v>11782</v>
      </c>
      <c r="F33" s="12">
        <f>D33-E33</f>
        <v/>
      </c>
      <c r="G33" s="13">
        <f>IF(D33=0,"",F33/D33)</f>
        <v/>
      </c>
    </row>
    <row r="34">
      <c r="A34" s="16" t="inlineStr">
        <is>
          <t>Maintenance contracts</t>
        </is>
      </c>
      <c r="B34" s="16" t="inlineStr">
        <is>
          <t>Mar 25</t>
        </is>
      </c>
      <c r="C34" s="16" t="inlineStr">
        <is>
          <t>Locked</t>
        </is>
      </c>
      <c r="D34" s="12" t="n">
        <v>31300</v>
      </c>
      <c r="E34" s="12" t="n">
        <v>11782</v>
      </c>
      <c r="F34" s="12">
        <f>D34-E34</f>
        <v/>
      </c>
      <c r="G34" s="13">
        <f>IF(D34=0,"",F34/D34)</f>
        <v/>
      </c>
    </row>
    <row r="35">
      <c r="A35" s="16" t="inlineStr">
        <is>
          <t>Maintenance contracts</t>
        </is>
      </c>
      <c r="B35" s="16" t="inlineStr">
        <is>
          <t>Apr 25</t>
        </is>
      </c>
      <c r="C35" s="16" t="inlineStr">
        <is>
          <t>Locked</t>
        </is>
      </c>
      <c r="D35" s="12" t="n">
        <v>31300</v>
      </c>
      <c r="E35" s="12" t="n">
        <v>11782</v>
      </c>
      <c r="F35" s="12">
        <f>D35-E35</f>
        <v/>
      </c>
      <c r="G35" s="13">
        <f>IF(D35=0,"",F35/D35)</f>
        <v/>
      </c>
    </row>
    <row r="36">
      <c r="A36" s="16" t="inlineStr">
        <is>
          <t>Maintenance contracts</t>
        </is>
      </c>
      <c r="B36" s="16" t="inlineStr">
        <is>
          <t>May 25</t>
        </is>
      </c>
      <c r="C36" s="16" t="inlineStr">
        <is>
          <t>Locked</t>
        </is>
      </c>
      <c r="D36" s="12" t="n">
        <v>31300</v>
      </c>
      <c r="E36" s="12" t="n">
        <v>11782</v>
      </c>
      <c r="F36" s="12">
        <f>D36-E36</f>
        <v/>
      </c>
      <c r="G36" s="13">
        <f>IF(D36=0,"",F36/D36)</f>
        <v/>
      </c>
    </row>
    <row r="37">
      <c r="A37" s="16" t="inlineStr">
        <is>
          <t>Maintenance contracts</t>
        </is>
      </c>
      <c r="B37" s="16" t="inlineStr">
        <is>
          <t>Jun 25</t>
        </is>
      </c>
      <c r="C37" s="16" t="inlineStr">
        <is>
          <t>Locked</t>
        </is>
      </c>
      <c r="D37" s="12" t="n">
        <v>35720</v>
      </c>
      <c r="E37" s="12" t="n">
        <v>13446</v>
      </c>
      <c r="F37" s="12">
        <f>D37-E37</f>
        <v/>
      </c>
      <c r="G37" s="13">
        <f>IF(D37=0,"",F37/D37)</f>
        <v/>
      </c>
    </row>
    <row r="38">
      <c r="A38" s="16" t="inlineStr">
        <is>
          <t>Maintenance contracts</t>
        </is>
      </c>
      <c r="B38" s="16" t="inlineStr">
        <is>
          <t>Jul 25</t>
        </is>
      </c>
      <c r="C38" s="16" t="inlineStr">
        <is>
          <t>Locked</t>
        </is>
      </c>
      <c r="D38" s="12" t="n">
        <v>37200</v>
      </c>
      <c r="E38" s="12" t="n">
        <v>13446</v>
      </c>
      <c r="F38" s="12">
        <f>D38-E38</f>
        <v/>
      </c>
      <c r="G38" s="13">
        <f>IF(D38=0,"",F38/D38)</f>
        <v/>
      </c>
    </row>
    <row r="39">
      <c r="A39" s="16" t="inlineStr">
        <is>
          <t>Maintenance contracts</t>
        </is>
      </c>
      <c r="B39" s="16" t="inlineStr">
        <is>
          <t>Aug 25</t>
        </is>
      </c>
      <c r="C39" s="16" t="inlineStr">
        <is>
          <t>Locked</t>
        </is>
      </c>
      <c r="D39" s="12" t="n">
        <v>37200</v>
      </c>
      <c r="E39" s="12" t="n">
        <v>13446</v>
      </c>
      <c r="F39" s="12">
        <f>D39-E39</f>
        <v/>
      </c>
      <c r="G39" s="13">
        <f>IF(D39=0,"",F39/D39)</f>
        <v/>
      </c>
    </row>
    <row r="40">
      <c r="A40" s="16" t="inlineStr">
        <is>
          <t>Maintenance contracts</t>
        </is>
      </c>
      <c r="B40" s="16" t="inlineStr">
        <is>
          <t>Sep 25</t>
        </is>
      </c>
      <c r="C40" s="16" t="inlineStr">
        <is>
          <t>Locked</t>
        </is>
      </c>
      <c r="D40" s="12" t="n">
        <v>37200</v>
      </c>
      <c r="E40" s="12" t="n">
        <v>13446</v>
      </c>
      <c r="F40" s="12">
        <f>D40-E40</f>
        <v/>
      </c>
      <c r="G40" s="13">
        <f>IF(D40=0,"",F40/D40)</f>
        <v/>
      </c>
    </row>
    <row r="41">
      <c r="A41" s="16" t="inlineStr">
        <is>
          <t>Maintenance contracts</t>
        </is>
      </c>
      <c r="B41" s="16" t="inlineStr">
        <is>
          <t>Oct 25</t>
        </is>
      </c>
      <c r="C41" s="16" t="inlineStr">
        <is>
          <t>Locked</t>
        </is>
      </c>
      <c r="D41" s="12" t="n">
        <v>40100</v>
      </c>
      <c r="E41" s="12" t="n">
        <v>14516</v>
      </c>
      <c r="F41" s="12">
        <f>D41-E41</f>
        <v/>
      </c>
      <c r="G41" s="13">
        <f>IF(D41=0,"",F41/D41)</f>
        <v/>
      </c>
    </row>
    <row r="42">
      <c r="A42" s="16" t="inlineStr">
        <is>
          <t>Maintenance contracts</t>
        </is>
      </c>
      <c r="B42" s="16" t="inlineStr">
        <is>
          <t>Nov 25</t>
        </is>
      </c>
      <c r="C42" s="16" t="inlineStr">
        <is>
          <t>Locked</t>
        </is>
      </c>
      <c r="D42" s="12" t="n">
        <v>40100</v>
      </c>
      <c r="E42" s="12" t="n">
        <v>14516</v>
      </c>
      <c r="F42" s="12">
        <f>D42-E42</f>
        <v/>
      </c>
      <c r="G42" s="13">
        <f>IF(D42=0,"",F42/D42)</f>
        <v/>
      </c>
    </row>
    <row r="43">
      <c r="A43" s="16" t="inlineStr">
        <is>
          <t>Maintenance contracts</t>
        </is>
      </c>
      <c r="B43" s="16" t="inlineStr">
        <is>
          <t>Dec 25</t>
        </is>
      </c>
      <c r="C43" s="16" t="inlineStr">
        <is>
          <t>Locked</t>
        </is>
      </c>
      <c r="D43" s="12" t="n">
        <v>40100</v>
      </c>
      <c r="E43" s="12" t="n">
        <v>14516</v>
      </c>
      <c r="F43" s="12">
        <f>D43-E43</f>
        <v/>
      </c>
      <c r="G43" s="13">
        <f>IF(D43=0,"",F43/D43)</f>
        <v/>
      </c>
    </row>
    <row r="44">
      <c r="A44" s="16" t="inlineStr">
        <is>
          <t>Maintenance contracts</t>
        </is>
      </c>
      <c r="B44" s="16" t="inlineStr">
        <is>
          <t>Jan 26</t>
        </is>
      </c>
      <c r="C44" s="16" t="inlineStr">
        <is>
          <t>Locked</t>
        </is>
      </c>
      <c r="D44" s="12" t="n">
        <v>40100</v>
      </c>
      <c r="E44" s="12" t="n">
        <v>14516</v>
      </c>
      <c r="F44" s="12">
        <f>D44-E44</f>
        <v/>
      </c>
      <c r="G44" s="13">
        <f>IF(D44=0,"",F44/D44)</f>
        <v/>
      </c>
    </row>
    <row r="45">
      <c r="A45" s="16" t="inlineStr">
        <is>
          <t>Maintenance contracts</t>
        </is>
      </c>
      <c r="B45" s="16" t="inlineStr">
        <is>
          <t>Feb 26</t>
        </is>
      </c>
      <c r="C45" s="16" t="inlineStr">
        <is>
          <t>Locked</t>
        </is>
      </c>
      <c r="D45" s="12" t="n">
        <v>42000</v>
      </c>
      <c r="E45" s="12" t="n">
        <v>15158</v>
      </c>
      <c r="F45" s="12">
        <f>D45-E45</f>
        <v/>
      </c>
      <c r="G45" s="13">
        <f>IF(D45=0,"",F45/D45)</f>
        <v/>
      </c>
    </row>
    <row r="46">
      <c r="A46" s="16" t="inlineStr">
        <is>
          <t>Maintenance contracts</t>
        </is>
      </c>
      <c r="B46" s="16" t="inlineStr">
        <is>
          <t>Mar 26</t>
        </is>
      </c>
      <c r="C46" s="16" t="inlineStr">
        <is>
          <t>Locked</t>
        </is>
      </c>
      <c r="D46" s="12" t="n">
        <v>42000</v>
      </c>
      <c r="E46" s="12" t="n">
        <v>15158</v>
      </c>
      <c r="F46" s="12">
        <f>D46-E46</f>
        <v/>
      </c>
      <c r="G46" s="13">
        <f>IF(D46=0,"",F46/D46)</f>
        <v/>
      </c>
    </row>
    <row r="47">
      <c r="A47" s="16" t="inlineStr">
        <is>
          <t>Maintenance contracts</t>
        </is>
      </c>
      <c r="B47" s="16" t="inlineStr">
        <is>
          <t>Apr 26</t>
        </is>
      </c>
      <c r="C47" s="16" t="inlineStr">
        <is>
          <t>Locked</t>
        </is>
      </c>
      <c r="D47" s="12" t="n">
        <v>42000</v>
      </c>
      <c r="E47" s="12" t="n">
        <v>15158</v>
      </c>
      <c r="F47" s="12">
        <f>D47-E47</f>
        <v/>
      </c>
      <c r="G47" s="13">
        <f>IF(D47=0,"",F47/D47)</f>
        <v/>
      </c>
    </row>
    <row r="48">
      <c r="A48" s="16" t="inlineStr">
        <is>
          <t>Maintenance contracts</t>
        </is>
      </c>
      <c r="B48" s="16" t="inlineStr">
        <is>
          <t>May 26</t>
        </is>
      </c>
      <c r="C48" s="16" t="inlineStr">
        <is>
          <t>Locked</t>
        </is>
      </c>
      <c r="D48" s="12" t="n">
        <v>45350</v>
      </c>
      <c r="E48" s="12" t="n">
        <v>16384</v>
      </c>
      <c r="F48" s="12">
        <f>D48-E48</f>
        <v/>
      </c>
      <c r="G48" s="13">
        <f>IF(D48=0,"",F48/D48)</f>
        <v/>
      </c>
    </row>
    <row r="49">
      <c r="A49" s="16" t="inlineStr">
        <is>
          <t>Maintenance contracts</t>
        </is>
      </c>
      <c r="B49" s="16" t="inlineStr">
        <is>
          <t>Jun 26</t>
        </is>
      </c>
      <c r="C49" s="16" t="inlineStr">
        <is>
          <t>Locked</t>
        </is>
      </c>
      <c r="D49" s="12" t="n">
        <v>45350</v>
      </c>
      <c r="E49" s="12" t="n">
        <v>16384</v>
      </c>
      <c r="F49" s="12">
        <f>D49-E49</f>
        <v/>
      </c>
      <c r="G49" s="13">
        <f>IF(D49=0,"",F49/D49)</f>
        <v/>
      </c>
    </row>
    <row r="50">
      <c r="A50" s="16" t="inlineStr">
        <is>
          <t>Maintenance contracts</t>
        </is>
      </c>
      <c r="B50" s="16" t="inlineStr">
        <is>
          <t>Jul 26</t>
        </is>
      </c>
      <c r="C50" s="16" t="inlineStr">
        <is>
          <t>Locked</t>
        </is>
      </c>
      <c r="D50" s="12" t="n">
        <v>45350</v>
      </c>
      <c r="E50" s="12" t="n">
        <v>16384</v>
      </c>
      <c r="F50" s="12">
        <f>D50-E50</f>
        <v/>
      </c>
      <c r="G50" s="13">
        <f>IF(D50=0,"",F50/D50)</f>
        <v/>
      </c>
    </row>
    <row r="51">
      <c r="A51" s="16" t="inlineStr">
        <is>
          <t>Maintenance contracts</t>
        </is>
      </c>
      <c r="B51" s="16" t="inlineStr">
        <is>
          <t>Aug 26</t>
        </is>
      </c>
      <c r="C51" s="16" t="inlineStr">
        <is>
          <t>Locked</t>
        </is>
      </c>
      <c r="D51" s="12" t="n">
        <v>45350</v>
      </c>
      <c r="E51" s="12" t="n">
        <v>16384</v>
      </c>
      <c r="F51" s="12">
        <f>D51-E51</f>
        <v/>
      </c>
      <c r="G51" s="13">
        <f>IF(D51=0,"",F51/D51)</f>
        <v/>
      </c>
    </row>
    <row r="52">
      <c r="A52" s="16" t="inlineStr">
        <is>
          <t>Maintenance contracts</t>
        </is>
      </c>
      <c r="B52" s="16" t="inlineStr">
        <is>
          <t>Sep 26</t>
        </is>
      </c>
      <c r="C52" s="16" t="inlineStr">
        <is>
          <t>Locked</t>
        </is>
      </c>
      <c r="D52" s="12" t="n">
        <v>45350</v>
      </c>
      <c r="E52" s="12" t="n">
        <v>16384</v>
      </c>
      <c r="F52" s="12">
        <f>D52-E52</f>
        <v/>
      </c>
      <c r="G52" s="13">
        <f>IF(D52=0,"",F52/D52)</f>
        <v/>
      </c>
    </row>
    <row r="53">
      <c r="A53" s="16" t="inlineStr">
        <is>
          <t>Maintenance contracts</t>
        </is>
      </c>
      <c r="B53" s="16" t="inlineStr">
        <is>
          <t>Oct 26</t>
        </is>
      </c>
      <c r="C53" s="16" t="inlineStr">
        <is>
          <t>Incomplete</t>
        </is>
      </c>
      <c r="D53" s="12" t="n">
        <v>45350</v>
      </c>
      <c r="E53" s="12" t="n">
        <v>16384</v>
      </c>
      <c r="F53" s="12">
        <f>D53-E53</f>
        <v/>
      </c>
      <c r="G53" s="13">
        <f>IF(D53=0,"",F53/D53)</f>
        <v/>
      </c>
    </row>
    <row r="54">
      <c r="A54" s="16" t="inlineStr">
        <is>
          <t>Installations</t>
        </is>
      </c>
      <c r="B54" s="16" t="inlineStr">
        <is>
          <t>Nov 24</t>
        </is>
      </c>
      <c r="C54" s="16" t="inlineStr">
        <is>
          <t>Locked</t>
        </is>
      </c>
      <c r="D54" s="12" t="n">
        <v>147100</v>
      </c>
      <c r="E54" s="12" t="n">
        <v>89070</v>
      </c>
      <c r="F54" s="12">
        <f>D54-E54</f>
        <v/>
      </c>
      <c r="G54" s="13">
        <f>IF(D54=0,"",F54/D54)</f>
        <v/>
      </c>
    </row>
    <row r="55">
      <c r="A55" s="16" t="inlineStr">
        <is>
          <t>Installations</t>
        </is>
      </c>
      <c r="B55" s="16" t="inlineStr">
        <is>
          <t>Dec 24</t>
        </is>
      </c>
      <c r="C55" s="16" t="inlineStr">
        <is>
          <t>Locked</t>
        </is>
      </c>
      <c r="D55" s="12" t="n">
        <v>103700</v>
      </c>
      <c r="E55" s="12" t="n">
        <v>59908</v>
      </c>
      <c r="F55" s="12">
        <f>D55-E55</f>
        <v/>
      </c>
      <c r="G55" s="13">
        <f>IF(D55=0,"",F55/D55)</f>
        <v/>
      </c>
    </row>
    <row r="56">
      <c r="A56" s="16" t="inlineStr">
        <is>
          <t>Installations</t>
        </is>
      </c>
      <c r="B56" s="16" t="inlineStr">
        <is>
          <t>Jan 25</t>
        </is>
      </c>
      <c r="C56" s="16" t="inlineStr">
        <is>
          <t>Locked</t>
        </is>
      </c>
      <c r="D56" s="12" t="n">
        <v>100100</v>
      </c>
      <c r="E56" s="12" t="n">
        <v>54678</v>
      </c>
      <c r="F56" s="12">
        <f>D56-E56</f>
        <v/>
      </c>
      <c r="G56" s="13">
        <f>IF(D56=0,"",F56/D56)</f>
        <v/>
      </c>
    </row>
    <row r="57">
      <c r="A57" s="16" t="inlineStr">
        <is>
          <t>Installations</t>
        </is>
      </c>
      <c r="B57" s="16" t="inlineStr">
        <is>
          <t>Feb 25</t>
        </is>
      </c>
      <c r="C57" s="16" t="inlineStr">
        <is>
          <t>Locked</t>
        </is>
      </c>
      <c r="D57" s="12" t="n">
        <v>118600</v>
      </c>
      <c r="E57" s="12" t="n">
        <v>74966</v>
      </c>
      <c r="F57" s="12">
        <f>D57-E57</f>
        <v/>
      </c>
      <c r="G57" s="13">
        <f>IF(D57=0,"",F57/D57)</f>
        <v/>
      </c>
    </row>
    <row r="58">
      <c r="A58" s="16" t="inlineStr">
        <is>
          <t>Installations</t>
        </is>
      </c>
      <c r="B58" s="16" t="inlineStr">
        <is>
          <t>Mar 25</t>
        </is>
      </c>
      <c r="C58" s="16" t="inlineStr">
        <is>
          <t>Locked</t>
        </is>
      </c>
      <c r="D58" s="12" t="n">
        <v>96400</v>
      </c>
      <c r="E58" s="12" t="n">
        <v>61664</v>
      </c>
      <c r="F58" s="12">
        <f>D58-E58</f>
        <v/>
      </c>
      <c r="G58" s="13">
        <f>IF(D58=0,"",F58/D58)</f>
        <v/>
      </c>
    </row>
    <row r="59">
      <c r="A59" s="16" t="inlineStr">
        <is>
          <t>Installations</t>
        </is>
      </c>
      <c r="B59" s="16" t="inlineStr">
        <is>
          <t>Apr 25</t>
        </is>
      </c>
      <c r="C59" s="16" t="inlineStr">
        <is>
          <t>Locked</t>
        </is>
      </c>
      <c r="D59" s="12" t="n">
        <v>83900</v>
      </c>
      <c r="E59" s="12" t="n">
        <v>52264</v>
      </c>
      <c r="F59" s="12">
        <f>D59-E59</f>
        <v/>
      </c>
      <c r="G59" s="13">
        <f>IF(D59=0,"",F59/D59)</f>
        <v/>
      </c>
    </row>
    <row r="60">
      <c r="A60" s="16" t="inlineStr">
        <is>
          <t>Installations</t>
        </is>
      </c>
      <c r="B60" s="16" t="inlineStr">
        <is>
          <t>May 25</t>
        </is>
      </c>
      <c r="C60" s="16" t="inlineStr">
        <is>
          <t>Locked</t>
        </is>
      </c>
      <c r="D60" s="12" t="n">
        <v>89900</v>
      </c>
      <c r="E60" s="12" t="n">
        <v>59534</v>
      </c>
      <c r="F60" s="12">
        <f>D60-E60</f>
        <v/>
      </c>
      <c r="G60" s="13">
        <f>IF(D60=0,"",F60/D60)</f>
        <v/>
      </c>
    </row>
    <row r="61">
      <c r="A61" s="16" t="inlineStr">
        <is>
          <t>Installations</t>
        </is>
      </c>
      <c r="B61" s="16" t="inlineStr">
        <is>
          <t>Jun 25</t>
        </is>
      </c>
      <c r="C61" s="16" t="inlineStr">
        <is>
          <t>Locked</t>
        </is>
      </c>
      <c r="D61" s="12" t="n">
        <v>126300</v>
      </c>
      <c r="E61" s="12" t="n">
        <v>72976</v>
      </c>
      <c r="F61" s="12">
        <f>D61-E61</f>
        <v/>
      </c>
      <c r="G61" s="13">
        <f>IF(D61=0,"",F61/D61)</f>
        <v/>
      </c>
    </row>
    <row r="62">
      <c r="A62" s="16" t="inlineStr">
        <is>
          <t>Installations</t>
        </is>
      </c>
      <c r="B62" s="16" t="inlineStr">
        <is>
          <t>Jul 25</t>
        </is>
      </c>
      <c r="C62" s="16" t="inlineStr">
        <is>
          <t>Locked</t>
        </is>
      </c>
      <c r="D62" s="12" t="n">
        <v>152100</v>
      </c>
      <c r="E62" s="12" t="n">
        <v>96920</v>
      </c>
      <c r="F62" s="12">
        <f>D62-E62</f>
        <v/>
      </c>
      <c r="G62" s="13">
        <f>IF(D62=0,"",F62/D62)</f>
        <v/>
      </c>
    </row>
    <row r="63">
      <c r="A63" s="16" t="inlineStr">
        <is>
          <t>Installations</t>
        </is>
      </c>
      <c r="B63" s="16" t="inlineStr">
        <is>
          <t>Aug 25</t>
        </is>
      </c>
      <c r="C63" s="16" t="inlineStr">
        <is>
          <t>Locked</t>
        </is>
      </c>
      <c r="D63" s="12" t="n">
        <v>96500</v>
      </c>
      <c r="E63" s="12" t="n">
        <v>53590</v>
      </c>
      <c r="F63" s="12">
        <f>D63-E63</f>
        <v/>
      </c>
      <c r="G63" s="13">
        <f>IF(D63=0,"",F63/D63)</f>
        <v/>
      </c>
    </row>
    <row r="64">
      <c r="A64" s="16" t="inlineStr">
        <is>
          <t>Installations</t>
        </is>
      </c>
      <c r="B64" s="16" t="inlineStr">
        <is>
          <t>Sep 25</t>
        </is>
      </c>
      <c r="C64" s="16" t="inlineStr">
        <is>
          <t>Locked</t>
        </is>
      </c>
      <c r="D64" s="12" t="n">
        <v>84200</v>
      </c>
      <c r="E64" s="12" t="n">
        <v>55440</v>
      </c>
      <c r="F64" s="12">
        <f>D64-E64</f>
        <v/>
      </c>
      <c r="G64" s="13">
        <f>IF(D64=0,"",F64/D64)</f>
        <v/>
      </c>
    </row>
    <row r="65">
      <c r="A65" s="16" t="inlineStr">
        <is>
          <t>Installations</t>
        </is>
      </c>
      <c r="B65" s="16" t="inlineStr">
        <is>
          <t>Oct 25</t>
        </is>
      </c>
      <c r="C65" s="16" t="inlineStr">
        <is>
          <t>Locked</t>
        </is>
      </c>
      <c r="D65" s="12" t="n">
        <v>79300</v>
      </c>
      <c r="E65" s="12" t="n">
        <v>52288</v>
      </c>
      <c r="F65" s="12">
        <f>D65-E65</f>
        <v/>
      </c>
      <c r="G65" s="13">
        <f>IF(D65=0,"",F65/D65)</f>
        <v/>
      </c>
    </row>
    <row r="66">
      <c r="A66" s="16" t="inlineStr">
        <is>
          <t>Installations</t>
        </is>
      </c>
      <c r="B66" s="16" t="inlineStr">
        <is>
          <t>Nov 25</t>
        </is>
      </c>
      <c r="C66" s="16" t="inlineStr">
        <is>
          <t>Locked</t>
        </is>
      </c>
      <c r="D66" s="12" t="n">
        <v>126900</v>
      </c>
      <c r="E66" s="12" t="n">
        <v>87174</v>
      </c>
      <c r="F66" s="12">
        <f>D66-E66</f>
        <v/>
      </c>
      <c r="G66" s="13">
        <f>IF(D66=0,"",F66/D66)</f>
        <v/>
      </c>
    </row>
    <row r="67">
      <c r="A67" s="16" t="inlineStr">
        <is>
          <t>Installations</t>
        </is>
      </c>
      <c r="B67" s="16" t="inlineStr">
        <is>
          <t>Dec 25</t>
        </is>
      </c>
      <c r="C67" s="16" t="inlineStr">
        <is>
          <t>Locked</t>
        </is>
      </c>
      <c r="D67" s="12" t="n">
        <v>78100</v>
      </c>
      <c r="E67" s="12" t="n">
        <v>53408</v>
      </c>
      <c r="F67" s="12">
        <f>D67-E67</f>
        <v/>
      </c>
      <c r="G67" s="13">
        <f>IF(D67=0,"",F67/D67)</f>
        <v/>
      </c>
    </row>
    <row r="68">
      <c r="A68" s="16" t="inlineStr">
        <is>
          <t>Installations</t>
        </is>
      </c>
      <c r="B68" s="16" t="inlineStr">
        <is>
          <t>Jan 26</t>
        </is>
      </c>
      <c r="C68" s="16" t="inlineStr">
        <is>
          <t>Locked</t>
        </is>
      </c>
      <c r="D68" s="12" t="n">
        <v>109100</v>
      </c>
      <c r="E68" s="12" t="n">
        <v>74216</v>
      </c>
      <c r="F68" s="12">
        <f>D68-E68</f>
        <v/>
      </c>
      <c r="G68" s="13">
        <f>IF(D68=0,"",F68/D68)</f>
        <v/>
      </c>
    </row>
    <row r="69">
      <c r="A69" s="16" t="inlineStr">
        <is>
          <t>Installations</t>
        </is>
      </c>
      <c r="B69" s="16" t="inlineStr">
        <is>
          <t>Feb 26</t>
        </is>
      </c>
      <c r="C69" s="16" t="inlineStr">
        <is>
          <t>Locked</t>
        </is>
      </c>
      <c r="D69" s="12" t="n">
        <v>144800</v>
      </c>
      <c r="E69" s="12" t="n">
        <v>88896</v>
      </c>
      <c r="F69" s="12">
        <f>D69-E69</f>
        <v/>
      </c>
      <c r="G69" s="13">
        <f>IF(D69=0,"",F69/D69)</f>
        <v/>
      </c>
    </row>
    <row r="70">
      <c r="A70" s="16" t="inlineStr">
        <is>
          <t>Installations</t>
        </is>
      </c>
      <c r="B70" s="16" t="inlineStr">
        <is>
          <t>Mar 26</t>
        </is>
      </c>
      <c r="C70" s="16" t="inlineStr">
        <is>
          <t>Locked</t>
        </is>
      </c>
      <c r="D70" s="12" t="n">
        <v>144900</v>
      </c>
      <c r="E70" s="12" t="n">
        <v>94290</v>
      </c>
      <c r="F70" s="12">
        <f>D70-E70</f>
        <v/>
      </c>
      <c r="G70" s="13">
        <f>IF(D70=0,"",F70/D70)</f>
        <v/>
      </c>
    </row>
    <row r="71">
      <c r="A71" s="16" t="inlineStr">
        <is>
          <t>Installations</t>
        </is>
      </c>
      <c r="B71" s="16" t="inlineStr">
        <is>
          <t>Apr 26</t>
        </is>
      </c>
      <c r="C71" s="16" t="inlineStr">
        <is>
          <t>Locked</t>
        </is>
      </c>
      <c r="D71" s="12" t="n">
        <v>116900</v>
      </c>
      <c r="E71" s="12" t="n">
        <v>68016</v>
      </c>
      <c r="F71" s="12">
        <f>D71-E71</f>
        <v/>
      </c>
      <c r="G71" s="13">
        <f>IF(D71=0,"",F71/D71)</f>
        <v/>
      </c>
    </row>
    <row r="72">
      <c r="A72" s="16" t="inlineStr">
        <is>
          <t>Installations</t>
        </is>
      </c>
      <c r="B72" s="16" t="inlineStr">
        <is>
          <t>May 26</t>
        </is>
      </c>
      <c r="C72" s="16" t="inlineStr">
        <is>
          <t>Locked</t>
        </is>
      </c>
      <c r="D72" s="12" t="n">
        <v>103400</v>
      </c>
      <c r="E72" s="12" t="n">
        <v>66240</v>
      </c>
      <c r="F72" s="12">
        <f>D72-E72</f>
        <v/>
      </c>
      <c r="G72" s="13">
        <f>IF(D72=0,"",F72/D72)</f>
        <v/>
      </c>
    </row>
    <row r="73">
      <c r="A73" s="16" t="inlineStr">
        <is>
          <t>Installations</t>
        </is>
      </c>
      <c r="B73" s="16" t="inlineStr">
        <is>
          <t>Jun 26</t>
        </is>
      </c>
      <c r="C73" s="16" t="inlineStr">
        <is>
          <t>Locked</t>
        </is>
      </c>
      <c r="D73" s="12" t="n">
        <v>115600</v>
      </c>
      <c r="E73" s="12" t="n">
        <v>73792</v>
      </c>
      <c r="F73" s="12">
        <f>D73-E73</f>
        <v/>
      </c>
      <c r="G73" s="13">
        <f>IF(D73=0,"",F73/D73)</f>
        <v/>
      </c>
    </row>
    <row r="74">
      <c r="A74" s="16" t="inlineStr">
        <is>
          <t>Installations</t>
        </is>
      </c>
      <c r="B74" s="16" t="inlineStr">
        <is>
          <t>Jul 26</t>
        </is>
      </c>
      <c r="C74" s="16" t="inlineStr">
        <is>
          <t>Locked</t>
        </is>
      </c>
      <c r="D74" s="12" t="n">
        <v>143000</v>
      </c>
      <c r="E74" s="12" t="n">
        <v>91520</v>
      </c>
      <c r="F74" s="12">
        <f>D74-E74</f>
        <v/>
      </c>
      <c r="G74" s="13">
        <f>IF(D74=0,"",F74/D74)</f>
        <v/>
      </c>
    </row>
    <row r="75">
      <c r="A75" s="16" t="inlineStr">
        <is>
          <t>Installations</t>
        </is>
      </c>
      <c r="B75" s="16" t="inlineStr">
        <is>
          <t>Aug 26</t>
        </is>
      </c>
      <c r="C75" s="16" t="inlineStr">
        <is>
          <t>Locked</t>
        </is>
      </c>
      <c r="D75" s="12" t="n">
        <v>122800</v>
      </c>
      <c r="E75" s="12" t="n">
        <v>72720</v>
      </c>
      <c r="F75" s="12">
        <f>D75-E75</f>
        <v/>
      </c>
      <c r="G75" s="13">
        <f>IF(D75=0,"",F75/D75)</f>
        <v/>
      </c>
    </row>
    <row r="76">
      <c r="A76" s="16" t="inlineStr">
        <is>
          <t>Installations</t>
        </is>
      </c>
      <c r="B76" s="16" t="inlineStr">
        <is>
          <t>Sep 26</t>
        </is>
      </c>
      <c r="C76" s="16" t="inlineStr">
        <is>
          <t>Locked</t>
        </is>
      </c>
      <c r="D76" s="12" t="n">
        <v>146300</v>
      </c>
      <c r="E76" s="12" t="n">
        <v>95368</v>
      </c>
      <c r="F76" s="12">
        <f>D76-E76</f>
        <v/>
      </c>
      <c r="G76" s="13">
        <f>IF(D76=0,"",F76/D76)</f>
        <v/>
      </c>
    </row>
    <row r="77">
      <c r="A77" s="16" t="inlineStr">
        <is>
          <t>Installations</t>
        </is>
      </c>
      <c r="B77" s="16" t="inlineStr">
        <is>
          <t>Oct 26</t>
        </is>
      </c>
      <c r="C77" s="16" t="inlineStr">
        <is>
          <t>Incomplete</t>
        </is>
      </c>
      <c r="D77" s="12" t="n">
        <v>37000</v>
      </c>
      <c r="E77" s="12" t="n">
        <v>25742</v>
      </c>
      <c r="F77" s="12">
        <f>D77-E77</f>
        <v/>
      </c>
      <c r="G77" s="13">
        <f>IF(D77=0,"",F77/D77)</f>
        <v/>
      </c>
    </row>
    <row r="78">
      <c r="A78" s="16" t="inlineStr">
        <is>
          <t>Call-outs and repairs</t>
        </is>
      </c>
      <c r="B78" s="16" t="inlineStr">
        <is>
          <t>Nov 24</t>
        </is>
      </c>
      <c r="C78" s="16" t="inlineStr">
        <is>
          <t>Locked</t>
        </is>
      </c>
      <c r="D78" s="12" t="n">
        <v>25374</v>
      </c>
      <c r="E78" s="12" t="n">
        <v>13526</v>
      </c>
      <c r="F78" s="12">
        <f>D78-E78</f>
        <v/>
      </c>
      <c r="G78" s="13">
        <f>IF(D78=0,"",F78/D78)</f>
        <v/>
      </c>
    </row>
    <row r="79">
      <c r="A79" s="16" t="inlineStr">
        <is>
          <t>Call-outs and repairs</t>
        </is>
      </c>
      <c r="B79" s="16" t="inlineStr">
        <is>
          <t>Dec 24</t>
        </is>
      </c>
      <c r="C79" s="16" t="inlineStr">
        <is>
          <t>Locked</t>
        </is>
      </c>
      <c r="D79" s="12" t="n">
        <v>28056</v>
      </c>
      <c r="E79" s="12" t="n">
        <v>14988</v>
      </c>
      <c r="F79" s="12">
        <f>D79-E79</f>
        <v/>
      </c>
      <c r="G79" s="13">
        <f>IF(D79=0,"",F79/D79)</f>
        <v/>
      </c>
    </row>
    <row r="80">
      <c r="A80" s="16" t="inlineStr">
        <is>
          <t>Call-outs and repairs</t>
        </is>
      </c>
      <c r="B80" s="16" t="inlineStr">
        <is>
          <t>Jan 25</t>
        </is>
      </c>
      <c r="C80" s="16" t="inlineStr">
        <is>
          <t>Locked</t>
        </is>
      </c>
      <c r="D80" s="12" t="n">
        <v>29044</v>
      </c>
      <c r="E80" s="12" t="n">
        <v>15644</v>
      </c>
      <c r="F80" s="12">
        <f>D80-E80</f>
        <v/>
      </c>
      <c r="G80" s="13">
        <f>IF(D80=0,"",F80/D80)</f>
        <v/>
      </c>
    </row>
    <row r="81">
      <c r="A81" s="16" t="inlineStr">
        <is>
          <t>Call-outs and repairs</t>
        </is>
      </c>
      <c r="B81" s="16" t="inlineStr">
        <is>
          <t>Feb 25</t>
        </is>
      </c>
      <c r="C81" s="16" t="inlineStr">
        <is>
          <t>Locked</t>
        </is>
      </c>
      <c r="D81" s="12" t="n">
        <v>29290</v>
      </c>
      <c r="E81" s="12" t="n">
        <v>15600</v>
      </c>
      <c r="F81" s="12">
        <f>D81-E81</f>
        <v/>
      </c>
      <c r="G81" s="13">
        <f>IF(D81=0,"",F81/D81)</f>
        <v/>
      </c>
    </row>
    <row r="82">
      <c r="A82" s="16" t="inlineStr">
        <is>
          <t>Call-outs and repairs</t>
        </is>
      </c>
      <c r="B82" s="16" t="inlineStr">
        <is>
          <t>Mar 25</t>
        </is>
      </c>
      <c r="C82" s="16" t="inlineStr">
        <is>
          <t>Locked</t>
        </is>
      </c>
      <c r="D82" s="12" t="n">
        <v>22765</v>
      </c>
      <c r="E82" s="12" t="n">
        <v>12306</v>
      </c>
      <c r="F82" s="12">
        <f>D82-E82</f>
        <v/>
      </c>
      <c r="G82" s="13">
        <f>IF(D82=0,"",F82/D82)</f>
        <v/>
      </c>
    </row>
    <row r="83">
      <c r="A83" s="16" t="inlineStr">
        <is>
          <t>Call-outs and repairs</t>
        </is>
      </c>
      <c r="B83" s="16" t="inlineStr">
        <is>
          <t>Apr 25</t>
        </is>
      </c>
      <c r="C83" s="16" t="inlineStr">
        <is>
          <t>Locked</t>
        </is>
      </c>
      <c r="D83" s="12" t="n">
        <v>23665</v>
      </c>
      <c r="E83" s="12" t="n">
        <v>12762</v>
      </c>
      <c r="F83" s="12">
        <f>D83-E83</f>
        <v/>
      </c>
      <c r="G83" s="13">
        <f>IF(D83=0,"",F83/D83)</f>
        <v/>
      </c>
    </row>
    <row r="84">
      <c r="A84" s="16" t="inlineStr">
        <is>
          <t>Call-outs and repairs</t>
        </is>
      </c>
      <c r="B84" s="16" t="inlineStr">
        <is>
          <t>May 25</t>
        </is>
      </c>
      <c r="C84" s="16" t="inlineStr">
        <is>
          <t>Locked</t>
        </is>
      </c>
      <c r="D84" s="12" t="n">
        <v>23449</v>
      </c>
      <c r="E84" s="12" t="n">
        <v>12384</v>
      </c>
      <c r="F84" s="12">
        <f>D84-E84</f>
        <v/>
      </c>
      <c r="G84" s="13">
        <f>IF(D84=0,"",F84/D84)</f>
        <v/>
      </c>
    </row>
    <row r="85">
      <c r="A85" s="16" t="inlineStr">
        <is>
          <t>Call-outs and repairs</t>
        </is>
      </c>
      <c r="B85" s="16" t="inlineStr">
        <is>
          <t>Jun 25</t>
        </is>
      </c>
      <c r="C85" s="16" t="inlineStr">
        <is>
          <t>Locked</t>
        </is>
      </c>
      <c r="D85" s="12" t="n">
        <v>21245</v>
      </c>
      <c r="E85" s="12" t="n">
        <v>11162</v>
      </c>
      <c r="F85" s="12">
        <f>D85-E85</f>
        <v/>
      </c>
      <c r="G85" s="13">
        <f>IF(D85=0,"",F85/D85)</f>
        <v/>
      </c>
    </row>
    <row r="86">
      <c r="A86" s="16" t="inlineStr">
        <is>
          <t>Call-outs and repairs</t>
        </is>
      </c>
      <c r="B86" s="16" t="inlineStr">
        <is>
          <t>Jul 25</t>
        </is>
      </c>
      <c r="C86" s="16" t="inlineStr">
        <is>
          <t>Locked</t>
        </is>
      </c>
      <c r="D86" s="12" t="n">
        <v>19288</v>
      </c>
      <c r="E86" s="12" t="n">
        <v>9960</v>
      </c>
      <c r="F86" s="12">
        <f>D86-E86</f>
        <v/>
      </c>
      <c r="G86" s="13">
        <f>IF(D86=0,"",F86/D86)</f>
        <v/>
      </c>
    </row>
    <row r="87">
      <c r="A87" s="16" t="inlineStr">
        <is>
          <t>Call-outs and repairs</t>
        </is>
      </c>
      <c r="B87" s="16" t="inlineStr">
        <is>
          <t>Aug 25</t>
        </is>
      </c>
      <c r="C87" s="16" t="inlineStr">
        <is>
          <t>Locked</t>
        </is>
      </c>
      <c r="D87" s="12" t="n">
        <v>21418</v>
      </c>
      <c r="E87" s="12" t="n">
        <v>11222</v>
      </c>
      <c r="F87" s="12">
        <f>D87-E87</f>
        <v/>
      </c>
      <c r="G87" s="13">
        <f>IF(D87=0,"",F87/D87)</f>
        <v/>
      </c>
    </row>
    <row r="88">
      <c r="A88" s="16" t="inlineStr">
        <is>
          <t>Call-outs and repairs</t>
        </is>
      </c>
      <c r="B88" s="16" t="inlineStr">
        <is>
          <t>Sep 25</t>
        </is>
      </c>
      <c r="C88" s="16" t="inlineStr">
        <is>
          <t>Locked</t>
        </is>
      </c>
      <c r="D88" s="12" t="n">
        <v>21677</v>
      </c>
      <c r="E88" s="12" t="n">
        <v>11168</v>
      </c>
      <c r="F88" s="12">
        <f>D88-E88</f>
        <v/>
      </c>
      <c r="G88" s="13">
        <f>IF(D88=0,"",F88/D88)</f>
        <v/>
      </c>
    </row>
    <row r="89">
      <c r="A89" s="16" t="inlineStr">
        <is>
          <t>Call-outs and repairs</t>
        </is>
      </c>
      <c r="B89" s="16" t="inlineStr">
        <is>
          <t>Oct 25</t>
        </is>
      </c>
      <c r="C89" s="16" t="inlineStr">
        <is>
          <t>Locked</t>
        </is>
      </c>
      <c r="D89" s="12" t="n">
        <v>24166</v>
      </c>
      <c r="E89" s="12" t="n">
        <v>12648</v>
      </c>
      <c r="F89" s="12">
        <f>D89-E89</f>
        <v/>
      </c>
      <c r="G89" s="13">
        <f>IF(D89=0,"",F89/D89)</f>
        <v/>
      </c>
    </row>
    <row r="90">
      <c r="A90" s="16" t="inlineStr">
        <is>
          <t>Call-outs and repairs</t>
        </is>
      </c>
      <c r="B90" s="16" t="inlineStr">
        <is>
          <t>Nov 25</t>
        </is>
      </c>
      <c r="C90" s="16" t="inlineStr">
        <is>
          <t>Locked</t>
        </is>
      </c>
      <c r="D90" s="12" t="n">
        <v>27966</v>
      </c>
      <c r="E90" s="12" t="n">
        <v>14252</v>
      </c>
      <c r="F90" s="12">
        <f>D90-E90</f>
        <v/>
      </c>
      <c r="G90" s="13">
        <f>IF(D90=0,"",F90/D90)</f>
        <v/>
      </c>
    </row>
    <row r="91">
      <c r="A91" s="16" t="inlineStr">
        <is>
          <t>Call-outs and repairs</t>
        </is>
      </c>
      <c r="B91" s="16" t="inlineStr">
        <is>
          <t>Dec 25</t>
        </is>
      </c>
      <c r="C91" s="16" t="inlineStr">
        <is>
          <t>Locked</t>
        </is>
      </c>
      <c r="D91" s="12" t="n">
        <v>32083</v>
      </c>
      <c r="E91" s="12" t="n">
        <v>16702</v>
      </c>
      <c r="F91" s="12">
        <f>D91-E91</f>
        <v/>
      </c>
      <c r="G91" s="13">
        <f>IF(D91=0,"",F91/D91)</f>
        <v/>
      </c>
    </row>
    <row r="92">
      <c r="A92" s="16" t="inlineStr">
        <is>
          <t>Call-outs and repairs</t>
        </is>
      </c>
      <c r="B92" s="16" t="inlineStr">
        <is>
          <t>Jan 26</t>
        </is>
      </c>
      <c r="C92" s="16" t="inlineStr">
        <is>
          <t>Locked</t>
        </is>
      </c>
      <c r="D92" s="12" t="n">
        <v>34106</v>
      </c>
      <c r="E92" s="12" t="n">
        <v>17858</v>
      </c>
      <c r="F92" s="12">
        <f>D92-E92</f>
        <v/>
      </c>
      <c r="G92" s="13">
        <f>IF(D92=0,"",F92/D92)</f>
        <v/>
      </c>
    </row>
    <row r="93">
      <c r="A93" s="16" t="inlineStr">
        <is>
          <t>Call-outs and repairs</t>
        </is>
      </c>
      <c r="B93" s="16" t="inlineStr">
        <is>
          <t>Feb 26</t>
        </is>
      </c>
      <c r="C93" s="16" t="inlineStr">
        <is>
          <t>Locked</t>
        </is>
      </c>
      <c r="D93" s="12" t="n">
        <v>32108</v>
      </c>
      <c r="E93" s="12" t="n">
        <v>16608</v>
      </c>
      <c r="F93" s="12">
        <f>D93-E93</f>
        <v/>
      </c>
      <c r="G93" s="13">
        <f>IF(D93=0,"",F93/D93)</f>
        <v/>
      </c>
    </row>
    <row r="94">
      <c r="A94" s="16" t="inlineStr">
        <is>
          <t>Call-outs and repairs</t>
        </is>
      </c>
      <c r="B94" s="16" t="inlineStr">
        <is>
          <t>Mar 26</t>
        </is>
      </c>
      <c r="C94" s="16" t="inlineStr">
        <is>
          <t>Locked</t>
        </is>
      </c>
      <c r="D94" s="12" t="n">
        <v>26678</v>
      </c>
      <c r="E94" s="12" t="n">
        <v>13894</v>
      </c>
      <c r="F94" s="12">
        <f>D94-E94</f>
        <v/>
      </c>
      <c r="G94" s="13">
        <f>IF(D94=0,"",F94/D94)</f>
        <v/>
      </c>
    </row>
    <row r="95">
      <c r="A95" s="16" t="inlineStr">
        <is>
          <t>Call-outs and repairs</t>
        </is>
      </c>
      <c r="B95" s="16" t="inlineStr">
        <is>
          <t>Apr 26</t>
        </is>
      </c>
      <c r="C95" s="16" t="inlineStr">
        <is>
          <t>Locked</t>
        </is>
      </c>
      <c r="D95" s="12" t="n">
        <v>25067</v>
      </c>
      <c r="E95" s="12" t="n">
        <v>12970</v>
      </c>
      <c r="F95" s="12">
        <f>D95-E95</f>
        <v/>
      </c>
      <c r="G95" s="13">
        <f>IF(D95=0,"",F95/D95)</f>
        <v/>
      </c>
    </row>
    <row r="96">
      <c r="A96" s="16" t="inlineStr">
        <is>
          <t>Call-outs and repairs</t>
        </is>
      </c>
      <c r="B96" s="16" t="inlineStr">
        <is>
          <t>May 26</t>
        </is>
      </c>
      <c r="C96" s="16" t="inlineStr">
        <is>
          <t>Locked</t>
        </is>
      </c>
      <c r="D96" s="12" t="n">
        <v>31592</v>
      </c>
      <c r="E96" s="12" t="n">
        <v>16234</v>
      </c>
      <c r="F96" s="12">
        <f>D96-E96</f>
        <v/>
      </c>
      <c r="G96" s="13">
        <f>IF(D96=0,"",F96/D96)</f>
        <v/>
      </c>
    </row>
    <row r="97">
      <c r="A97" s="16" t="inlineStr">
        <is>
          <t>Call-outs and repairs</t>
        </is>
      </c>
      <c r="B97" s="16" t="inlineStr">
        <is>
          <t>Jun 26</t>
        </is>
      </c>
      <c r="C97" s="16" t="inlineStr">
        <is>
          <t>Locked</t>
        </is>
      </c>
      <c r="D97" s="12" t="n">
        <v>32082</v>
      </c>
      <c r="E97" s="12" t="n">
        <v>16324</v>
      </c>
      <c r="F97" s="12">
        <f>D97-E97</f>
        <v/>
      </c>
      <c r="G97" s="13">
        <f>IF(D97=0,"",F97/D97)</f>
        <v/>
      </c>
    </row>
    <row r="98">
      <c r="A98" s="16" t="inlineStr">
        <is>
          <t>Call-outs and repairs</t>
        </is>
      </c>
      <c r="B98" s="16" t="inlineStr">
        <is>
          <t>Jul 26</t>
        </is>
      </c>
      <c r="C98" s="16" t="inlineStr">
        <is>
          <t>Locked</t>
        </is>
      </c>
      <c r="D98" s="12" t="n">
        <v>27260</v>
      </c>
      <c r="E98" s="12" t="n">
        <v>14220</v>
      </c>
      <c r="F98" s="12">
        <f>D98-E98</f>
        <v/>
      </c>
      <c r="G98" s="13">
        <f>IF(D98=0,"",F98/D98)</f>
        <v/>
      </c>
    </row>
    <row r="99">
      <c r="A99" s="16" t="inlineStr">
        <is>
          <t>Call-outs and repairs</t>
        </is>
      </c>
      <c r="B99" s="16" t="inlineStr">
        <is>
          <t>Aug 26</t>
        </is>
      </c>
      <c r="C99" s="16" t="inlineStr">
        <is>
          <t>Locked</t>
        </is>
      </c>
      <c r="D99" s="12" t="n">
        <v>31373</v>
      </c>
      <c r="E99" s="12" t="n">
        <v>16266</v>
      </c>
      <c r="F99" s="12">
        <f>D99-E99</f>
        <v/>
      </c>
      <c r="G99" s="13">
        <f>IF(D99=0,"",F99/D99)</f>
        <v/>
      </c>
    </row>
    <row r="100">
      <c r="A100" s="16" t="inlineStr">
        <is>
          <t>Call-outs and repairs</t>
        </is>
      </c>
      <c r="B100" s="16" t="inlineStr">
        <is>
          <t>Sep 26</t>
        </is>
      </c>
      <c r="C100" s="16" t="inlineStr">
        <is>
          <t>Locked</t>
        </is>
      </c>
      <c r="D100" s="12" t="n">
        <v>33810</v>
      </c>
      <c r="E100" s="12" t="n">
        <v>17478</v>
      </c>
      <c r="F100" s="12">
        <f>D100-E100</f>
        <v/>
      </c>
      <c r="G100" s="13">
        <f>IF(D100=0,"",F100/D100)</f>
        <v/>
      </c>
    </row>
    <row r="101">
      <c r="A101" s="16" t="inlineStr">
        <is>
          <t>Call-outs and repairs</t>
        </is>
      </c>
      <c r="B101" s="16" t="inlineStr">
        <is>
          <t>Oct 26</t>
        </is>
      </c>
      <c r="C101" s="16" t="inlineStr">
        <is>
          <t>Incomplete</t>
        </is>
      </c>
      <c r="D101" s="12" t="n">
        <v>3681</v>
      </c>
      <c r="E101" s="12" t="n">
        <v>1856</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181400</v>
      </c>
      <c r="C6" s="12" t="n">
        <v>151700</v>
      </c>
      <c r="D6" s="13">
        <f>IF(C6=0,"",B6/C6-1)</f>
        <v/>
      </c>
      <c r="E6" s="12" t="n">
        <v>115864</v>
      </c>
      <c r="F6" s="13">
        <f>IF(B6=0,"",E6/B6)</f>
        <v/>
      </c>
    </row>
    <row r="7">
      <c r="A7" s="16" t="inlineStr">
        <is>
          <t>Installations</t>
        </is>
      </c>
      <c r="B7" s="12" t="n">
        <v>449100</v>
      </c>
      <c r="C7" s="12" t="n">
        <v>412100</v>
      </c>
      <c r="D7" s="13">
        <f>IF(C7=0,"",B7/C7-1)</f>
        <v/>
      </c>
      <c r="E7" s="12" t="n">
        <v>163750</v>
      </c>
      <c r="F7" s="13">
        <f>IF(B7=0,"",E7/B7)</f>
        <v/>
      </c>
    </row>
    <row r="8">
      <c r="A8" s="16" t="inlineStr">
        <is>
          <t>Call-outs and repairs</t>
        </is>
      </c>
      <c r="B8" s="12" t="n">
        <v>96124</v>
      </c>
      <c r="C8" s="12" t="n">
        <v>86549</v>
      </c>
      <c r="D8" s="13">
        <f>IF(C8=0,"",B8/C8-1)</f>
        <v/>
      </c>
      <c r="E8" s="12" t="n">
        <v>46304</v>
      </c>
      <c r="F8" s="13">
        <f>IF(B8=0,"",E8/B8)</f>
        <v/>
      </c>
    </row>
    <row r="9">
      <c r="A9" s="16" t="inlineStr">
        <is>
          <t>Total</t>
        </is>
      </c>
      <c r="B9" s="12" t="n">
        <v>726624</v>
      </c>
      <c r="C9" s="12" t="n">
        <v>650349</v>
      </c>
      <c r="D9" s="13">
        <f>IF(C9=0,"",B9/C9-1)</f>
        <v/>
      </c>
      <c r="E9" s="12" t="n">
        <v>325918</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2026-10-08T22:42:07Z</dcterms:created>
  <dcterms:modified xmlns:dcterms="http://purl.org/dc/terms/" xmlns:xsi="http://www.w3.org/2001/XMLSchema-instance" xsi:type="dcterms:W3CDTF">2026-10-08T22:42:07Z</dcterms:modified>
</cp:coreProperties>
</file>