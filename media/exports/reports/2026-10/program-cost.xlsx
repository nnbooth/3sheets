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'Data'!$9:$9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9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2F7A5D"/>
      <sz val="12"/>
    </font>
    <font>
      <b val="1"/>
      <color rgb="0025342A"/>
    </font>
    <font>
      <b val="1"/>
      <color rgb="00FFFFFF"/>
    </font>
    <font>
      <i val="1"/>
      <color rgb="005F6F63"/>
    </font>
    <font>
      <b val="1"/>
    </font>
    <font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165" fontId="0" fillId="0" borderId="0" pivotButton="0" quotePrefix="0" xfId="0"/>
    <xf numFmtId="0" fontId="8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each program really cost?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October 2026 to date · Data status: Sep 2026 locked · Oct 2026 incomplete (data retrieved 2pm, Tue 6 Oct 2026)</t>
        </is>
      </c>
    </row>
    <row r="4"/>
    <row r="5" ht="32" customHeight="1">
      <c r="A5" s="3" t="inlineStr">
        <is>
          <t>Each program's full cost: what its grant pays for, plus its fair share of the costs no single grant covers (untied program costs and administration, shared by grant spending). Pick a program and every chart and note follows it.</t>
        </is>
      </c>
    </row>
    <row r="6"/>
    <row r="7">
      <c r="A7" s="4" t="inlineStr">
        <is>
          <t>Program: All programs</t>
        </is>
      </c>
    </row>
    <row r="8">
      <c r="A8" s="5" t="inlineStr">
        <is>
          <t>Full cost of each program, October 2026 to date</t>
        </is>
      </c>
    </row>
    <row r="9">
      <c r="A9" s="6" t="inlineStr"/>
      <c r="B9" s="7" t="inlineStr">
        <is>
          <t>$</t>
        </is>
      </c>
      <c r="C9" s="7" t="inlineStr">
        <is>
          <t>% of total</t>
        </is>
      </c>
    </row>
    <row r="10">
      <c r="A10" t="inlineStr">
        <is>
          <t>Housing support</t>
        </is>
      </c>
      <c r="B10" s="8">
        <f>Workings!B15</f>
        <v/>
      </c>
      <c r="C10" s="9">
        <f>Workings!B10</f>
        <v/>
      </c>
    </row>
    <row r="11">
      <c r="A11" t="inlineStr">
        <is>
          <t>Youth outreach</t>
        </is>
      </c>
      <c r="B11" s="8">
        <f>Workings!B29</f>
        <v/>
      </c>
      <c r="C11" s="9">
        <f>Workings!B24</f>
        <v/>
      </c>
    </row>
    <row r="12">
      <c r="A12" t="inlineStr">
        <is>
          <t>Mental health first aid</t>
        </is>
      </c>
      <c r="B12" s="8">
        <f>Workings!B43</f>
        <v/>
      </c>
      <c r="C12" s="9">
        <f>Workings!B38</f>
        <v/>
      </c>
    </row>
    <row r="13">
      <c r="A13" t="inlineStr">
        <is>
          <t>Digital literacy</t>
        </is>
      </c>
      <c r="B13" s="8">
        <f>Workings!B57</f>
        <v/>
      </c>
      <c r="C13" s="9">
        <f>Workings!B52</f>
        <v/>
      </c>
    </row>
    <row r="14">
      <c r="A14" t="inlineStr">
        <is>
          <t>Community meals</t>
        </is>
      </c>
      <c r="B14" s="8">
        <f>Workings!B71</f>
        <v/>
      </c>
      <c r="C14" s="9">
        <f>Workings!B66</f>
        <v/>
      </c>
    </row>
    <row r="15">
      <c r="A15" t="inlineStr">
        <is>
          <t>Volunteer coordinator</t>
        </is>
      </c>
      <c r="B15" s="8">
        <f>Workings!B85</f>
        <v/>
      </c>
      <c r="C15" s="9">
        <f>Workings!B80</f>
        <v/>
      </c>
    </row>
    <row r="16"/>
    <row r="17">
      <c r="A17" s="10" t="inlineStr">
        <is>
          <t>What it shows</t>
        </is>
      </c>
    </row>
    <row r="18" ht="45" customHeight="1">
      <c r="A18" s="3" t="inlineStr">
        <is>
          <t>Housing support is the biggest program: $11,022 in October so far once its share of untied program costs and administration is added to $4,458 of grant spending. Shared costs add 147.2% on top of grant spending across all programs.</t>
        </is>
      </c>
    </row>
    <row r="19"/>
    <row r="20">
      <c r="A20" s="10" t="inlineStr">
        <is>
          <t>What you'd do about it</t>
        </is>
      </c>
    </row>
    <row r="21" ht="30" customHeight="1">
      <c r="A21" s="3" t="inlineStr">
        <is>
          <t>The full cost (not just the grant line) is the number for renewal applications, where the funder lets you recover a share of overheads. Pick a program above to see it on its own.</t>
        </is>
      </c>
    </row>
    <row r="22"/>
    <row r="23">
      <c r="A23" s="4" t="inlineStr">
        <is>
          <t>Program: Housing support</t>
        </is>
      </c>
    </row>
    <row r="24">
      <c r="A24" s="10" t="inlineStr">
        <is>
          <t>What it shows</t>
        </is>
      </c>
    </row>
    <row r="25" ht="45" customHeight="1">
      <c r="A25" s="3" t="inlineStr">
        <is>
          <t>Housing support cost $11,022 in full in October so far: $4,458 paid by the State Housing Program grant, and $6,564 of shared costs no grant covers. It has spent 87.4% of its budget to date, with $97,842 left and 2 months to go.</t>
        </is>
      </c>
    </row>
    <row r="26"/>
    <row r="27">
      <c r="A27" s="10" t="inlineStr">
        <is>
          <t>What you'd do about it</t>
        </is>
      </c>
    </row>
    <row r="28" ht="30" customHeight="1">
      <c r="A28" s="3" t="inlineStr">
        <is>
          <t>The full cost is $11,022 a month; $6,564 of it is shared cost the grant doesn't pay for. Worth asking for as much of it as the funder allows at renewal.</t>
        </is>
      </c>
    </row>
    <row r="29"/>
    <row r="30">
      <c r="A30" s="4" t="inlineStr">
        <is>
          <t>Program: Youth outreach</t>
        </is>
      </c>
    </row>
    <row r="31">
      <c r="A31" s="10" t="inlineStr">
        <is>
          <t>What it shows</t>
        </is>
      </c>
    </row>
    <row r="32" ht="45" customHeight="1">
      <c r="A32" s="3" t="inlineStr">
        <is>
          <t>Youth outreach cost $8,055 in full in October so far: $3,258 paid by the State Department of Families grant, and $4,797 of shared costs no grant covers. It has spent 96.7% of its budget to date, with $170,442 left and 8 months to go.</t>
        </is>
      </c>
    </row>
    <row r="33"/>
    <row r="34">
      <c r="A34" s="10" t="inlineStr">
        <is>
          <t>What you'd do about it</t>
        </is>
      </c>
    </row>
    <row r="35" ht="30" customHeight="1">
      <c r="A35" s="3" t="inlineStr">
        <is>
          <t>The full cost is $8,055 a month; $4,797 of it is shared cost the grant doesn't pay for. Worth asking for as much of it as the funder allows at renewal.</t>
        </is>
      </c>
    </row>
    <row r="36"/>
    <row r="37">
      <c r="A37" s="4" t="inlineStr">
        <is>
          <t>Program: Mental health first aid</t>
        </is>
      </c>
    </row>
    <row r="38">
      <c r="A38" s="10" t="inlineStr">
        <is>
          <t>What it shows</t>
        </is>
      </c>
    </row>
    <row r="39" ht="45" customHeight="1">
      <c r="A39" s="3" t="inlineStr">
        <is>
          <t>Mental health first aid cost $3,820 in full in October so far: $1,545 paid by the Federal health program grant, and $2,275 of shared costs no grant covers. It has spent 83.9% of its budget to date, with $61,255 left and 5 months to go.</t>
        </is>
      </c>
    </row>
    <row r="40"/>
    <row r="41">
      <c r="A41" s="10" t="inlineStr">
        <is>
          <t>What you'd do about it</t>
        </is>
      </c>
    </row>
    <row r="42" ht="30" customHeight="1">
      <c r="A42" s="3" t="inlineStr">
        <is>
          <t>The full cost is $3,820 a month; $2,275 of it is shared cost the grant doesn't pay for. Worth asking for as much of it as the funder allows at renewal.</t>
        </is>
      </c>
    </row>
    <row r="43"/>
    <row r="44">
      <c r="A44" s="4" t="inlineStr">
        <is>
          <t>Program: Digital literacy</t>
        </is>
      </c>
    </row>
    <row r="45">
      <c r="A45" s="10" t="inlineStr">
        <is>
          <t>What it shows</t>
        </is>
      </c>
    </row>
    <row r="46" ht="45" customHeight="1">
      <c r="A46" s="3" t="inlineStr">
        <is>
          <t>Digital literacy cost $1,736 in full in October so far: $702 paid by the Philanthropic foundation grant, and $1,034 of shared costs no grant covers. It has spent 92.8% of its budget to date, with $29,698 left and 5 months to go.</t>
        </is>
      </c>
    </row>
    <row r="47"/>
    <row r="48">
      <c r="A48" s="10" t="inlineStr">
        <is>
          <t>What you'd do about it</t>
        </is>
      </c>
    </row>
    <row r="49" ht="30" customHeight="1">
      <c r="A49" s="3" t="inlineStr">
        <is>
          <t>The full cost is $1,736 a month; $1,034 of it is shared cost the grant doesn't pay for. Worth asking for as much of it as the funder allows at renewal.</t>
        </is>
      </c>
    </row>
    <row r="50"/>
    <row r="51">
      <c r="A51" s="4" t="inlineStr">
        <is>
          <t>Program: Community meals</t>
        </is>
      </c>
    </row>
    <row r="52">
      <c r="A52" s="10" t="inlineStr">
        <is>
          <t>What it shows</t>
        </is>
      </c>
    </row>
    <row r="53" ht="45" customHeight="1">
      <c r="A53" s="3" t="inlineStr">
        <is>
          <t>Community meals cost $1,521 in full in October so far: $615 paid by the Local council community grant grant, and $906 of shared costs no grant covers. It has spent 78.8% of its budget to date, with $35,385 left and 8 months to go.</t>
        </is>
      </c>
    </row>
    <row r="54"/>
    <row r="55">
      <c r="A55" s="10" t="inlineStr">
        <is>
          <t>What you'd do about it</t>
        </is>
      </c>
    </row>
    <row r="56" ht="30" customHeight="1">
      <c r="A56" s="3" t="inlineStr">
        <is>
          <t>The full cost is $1,521 a month; $906 of it is shared cost the grant doesn't pay for. Worth asking for as much of it as the funder allows at renewal.</t>
        </is>
      </c>
    </row>
    <row r="57"/>
    <row r="58">
      <c r="A58" s="4" t="inlineStr">
        <is>
          <t>Program: Volunteer coordinator</t>
        </is>
      </c>
    </row>
    <row r="59">
      <c r="A59" s="10" t="inlineStr">
        <is>
          <t>What it shows</t>
        </is>
      </c>
    </row>
    <row r="60" ht="45" customHeight="1">
      <c r="A60" s="3" t="inlineStr">
        <is>
          <t>Volunteer coordinator cost $1,061 in full in October so far: $429 paid by the State volunteering grant grant, and $632 of shared costs no grant covers. It has spent 89.3% of its budget to date, with $14,571 left and 4 months to go.</t>
        </is>
      </c>
    </row>
    <row r="61"/>
    <row r="62">
      <c r="A62" s="10" t="inlineStr">
        <is>
          <t>What you'd do about it</t>
        </is>
      </c>
    </row>
    <row r="63" ht="30" customHeight="1">
      <c r="A63" s="3" t="inlineStr">
        <is>
          <t>The full cost is $1,061 a month; $632 of it is shared cost the grant doesn't pay for. Worth asking for as much of it as the funder allows at renewal.</t>
        </is>
      </c>
    </row>
    <row r="64"/>
    <row r="65">
      <c r="A65" s="4" t="inlineStr">
        <is>
          <t>Every program at once</t>
        </is>
      </c>
    </row>
    <row r="66">
      <c r="A66" s="11" t="inlineStr">
        <is>
          <t>Grant spending, by month: every month is on the Data sheet.</t>
        </is>
      </c>
    </row>
    <row r="67"/>
    <row r="68"/>
  </sheetData>
  <mergeCells count="15">
    <mergeCell ref="A5:D5"/>
    <mergeCell ref="A18:D18"/>
    <mergeCell ref="A56:D56"/>
    <mergeCell ref="A42:D42"/>
    <mergeCell ref="A53:D53"/>
    <mergeCell ref="A60:D60"/>
    <mergeCell ref="A35:D35"/>
    <mergeCell ref="A63:D63"/>
    <mergeCell ref="A21:D21"/>
    <mergeCell ref="A39:D39"/>
    <mergeCell ref="A25:D25"/>
    <mergeCell ref="A49:D49"/>
    <mergeCell ref="A28:D28"/>
    <mergeCell ref="A46:D46"/>
    <mergeCell ref="A32:D32"/>
  </mergeCells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program-cost.xlsx&amp;C&amp;8 Data retrieved 2pm, Tue 6 Oct 2026&amp;R&amp;8 Page &amp;P of &amp;N</oddFooter>
    <evenHeader/>
    <evenFooter/>
    <firstHeader/>
    <firstFooter/>
  </headerFooter>
  <rowBreaks count="3" manualBreakCount="3">
    <brk id="23" min="0" max="16383" man="1"/>
    <brk id="44" min="0" max="16383" man="1"/>
    <brk id="64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8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October 2026 to date · Data status: Sep 2026 locked · Oct 2026 incomplete (data retrieved 2pm, Tue 6 Oct 2026)</t>
        </is>
      </c>
    </row>
    <row r="4"/>
    <row r="5">
      <c r="A5" s="4" t="inlineStr">
        <is>
          <t>Housing support: full cost, October so far</t>
        </is>
      </c>
    </row>
    <row r="6">
      <c r="A6" s="11" t="inlineStr">
        <is>
          <t>Grant spending + its share of untied program costs and administration (shared by grant spending)</t>
        </is>
      </c>
    </row>
    <row r="7">
      <c r="A7" s="6" t="inlineStr"/>
      <c r="B7" s="7" t="inlineStr">
        <is>
          <t>Oct 2026</t>
        </is>
      </c>
    </row>
    <row r="8">
      <c r="A8" t="inlineStr">
        <is>
          <t>Grant spending on the program</t>
        </is>
      </c>
      <c r="B8" s="12" t="n">
        <v>4458</v>
      </c>
    </row>
    <row r="9">
      <c r="A9" t="inlineStr">
        <is>
          <t>All grant-funded program spending</t>
        </is>
      </c>
      <c r="B9" s="12" t="n">
        <v>11007</v>
      </c>
    </row>
    <row r="10">
      <c r="A10" t="inlineStr">
        <is>
          <t>Share of program spending</t>
        </is>
      </c>
      <c r="B10" s="13">
        <f>B8/B9</f>
        <v/>
      </c>
    </row>
    <row r="11">
      <c r="A11" t="inlineStr">
        <is>
          <t>Untied program costs (all programs)</t>
        </is>
      </c>
      <c r="B11" s="12" t="n">
        <v>2532</v>
      </c>
    </row>
    <row r="12">
      <c r="A12" t="inlineStr">
        <is>
          <t>Share of untied program costs</t>
        </is>
      </c>
      <c r="B12" s="12">
        <f>B10*B11</f>
        <v/>
      </c>
    </row>
    <row r="13">
      <c r="A13" t="inlineStr">
        <is>
          <t>Administration (all)</t>
        </is>
      </c>
      <c r="B13" s="12" t="n">
        <v>13675</v>
      </c>
    </row>
    <row r="14">
      <c r="A14" t="inlineStr">
        <is>
          <t>Share of administration</t>
        </is>
      </c>
      <c r="B14" s="12">
        <f>B10*B13</f>
        <v/>
      </c>
    </row>
    <row r="15">
      <c r="A15" s="14" t="inlineStr">
        <is>
          <t>Full cost of the program</t>
        </is>
      </c>
      <c r="B15" s="15">
        <f>B8+B12+B14</f>
        <v/>
      </c>
    </row>
    <row r="16">
      <c r="A16" s="2" t="inlineStr">
        <is>
          <t>October is still in progress (data to 6 October), so it is a part month against full months.</t>
        </is>
      </c>
    </row>
    <row r="17"/>
    <row r="18"/>
    <row r="19">
      <c r="A19" s="4" t="inlineStr">
        <is>
          <t>Youth outreach: full cost, October so far</t>
        </is>
      </c>
    </row>
    <row r="20">
      <c r="A20" s="11" t="inlineStr">
        <is>
          <t>Grant spending + its share of untied program costs and administration (shared by grant spending)</t>
        </is>
      </c>
    </row>
    <row r="21">
      <c r="A21" s="6" t="inlineStr"/>
      <c r="B21" s="7" t="inlineStr">
        <is>
          <t>Oct 2026</t>
        </is>
      </c>
    </row>
    <row r="22">
      <c r="A22" t="inlineStr">
        <is>
          <t>Grant spending on the program</t>
        </is>
      </c>
      <c r="B22" s="12" t="n">
        <v>3258</v>
      </c>
    </row>
    <row r="23">
      <c r="A23" t="inlineStr">
        <is>
          <t>All grant-funded program spending</t>
        </is>
      </c>
      <c r="B23" s="12" t="n">
        <v>11007</v>
      </c>
    </row>
    <row r="24">
      <c r="A24" t="inlineStr">
        <is>
          <t>Share of program spending</t>
        </is>
      </c>
      <c r="B24" s="13">
        <f>B22/B23</f>
        <v/>
      </c>
    </row>
    <row r="25">
      <c r="A25" t="inlineStr">
        <is>
          <t>Untied program costs (all programs)</t>
        </is>
      </c>
      <c r="B25" s="12" t="n">
        <v>2532</v>
      </c>
    </row>
    <row r="26">
      <c r="A26" t="inlineStr">
        <is>
          <t>Share of untied program costs</t>
        </is>
      </c>
      <c r="B26" s="12">
        <f>B24*B25</f>
        <v/>
      </c>
    </row>
    <row r="27">
      <c r="A27" t="inlineStr">
        <is>
          <t>Administration (all)</t>
        </is>
      </c>
      <c r="B27" s="12" t="n">
        <v>13675</v>
      </c>
    </row>
    <row r="28">
      <c r="A28" t="inlineStr">
        <is>
          <t>Share of administration</t>
        </is>
      </c>
      <c r="B28" s="12">
        <f>B24*B27</f>
        <v/>
      </c>
    </row>
    <row r="29">
      <c r="A29" s="14" t="inlineStr">
        <is>
          <t>Full cost of the program</t>
        </is>
      </c>
      <c r="B29" s="15">
        <f>B22+B26+B28</f>
        <v/>
      </c>
    </row>
    <row r="30">
      <c r="A30" s="2" t="inlineStr">
        <is>
          <t>October is still in progress (data to 6 October), so it is a part month against full months.</t>
        </is>
      </c>
    </row>
    <row r="31"/>
    <row r="32"/>
    <row r="33">
      <c r="A33" s="4" t="inlineStr">
        <is>
          <t>Mental health first aid: full cost, October so far</t>
        </is>
      </c>
    </row>
    <row r="34">
      <c r="A34" s="11" t="inlineStr">
        <is>
          <t>Grant spending + its share of untied program costs and administration (shared by grant spending)</t>
        </is>
      </c>
    </row>
    <row r="35">
      <c r="A35" s="6" t="inlineStr"/>
      <c r="B35" s="7" t="inlineStr">
        <is>
          <t>Oct 2026</t>
        </is>
      </c>
    </row>
    <row r="36">
      <c r="A36" t="inlineStr">
        <is>
          <t>Grant spending on the program</t>
        </is>
      </c>
      <c r="B36" s="12" t="n">
        <v>1545</v>
      </c>
    </row>
    <row r="37">
      <c r="A37" t="inlineStr">
        <is>
          <t>All grant-funded program spending</t>
        </is>
      </c>
      <c r="B37" s="12" t="n">
        <v>11007</v>
      </c>
    </row>
    <row r="38">
      <c r="A38" t="inlineStr">
        <is>
          <t>Share of program spending</t>
        </is>
      </c>
      <c r="B38" s="13">
        <f>B36/B37</f>
        <v/>
      </c>
    </row>
    <row r="39">
      <c r="A39" t="inlineStr">
        <is>
          <t>Untied program costs (all programs)</t>
        </is>
      </c>
      <c r="B39" s="12" t="n">
        <v>2532</v>
      </c>
    </row>
    <row r="40">
      <c r="A40" t="inlineStr">
        <is>
          <t>Share of untied program costs</t>
        </is>
      </c>
      <c r="B40" s="12">
        <f>B38*B39</f>
        <v/>
      </c>
    </row>
    <row r="41">
      <c r="A41" t="inlineStr">
        <is>
          <t>Administration (all)</t>
        </is>
      </c>
      <c r="B41" s="12" t="n">
        <v>13675</v>
      </c>
    </row>
    <row r="42">
      <c r="A42" t="inlineStr">
        <is>
          <t>Share of administration</t>
        </is>
      </c>
      <c r="B42" s="12">
        <f>B38*B41</f>
        <v/>
      </c>
    </row>
    <row r="43">
      <c r="A43" s="14" t="inlineStr">
        <is>
          <t>Full cost of the program</t>
        </is>
      </c>
      <c r="B43" s="15">
        <f>B36+B40+B42</f>
        <v/>
      </c>
    </row>
    <row r="44">
      <c r="A44" s="2" t="inlineStr">
        <is>
          <t>October is still in progress (data to 6 October), so it is a part month against full months.</t>
        </is>
      </c>
    </row>
    <row r="45"/>
    <row r="46"/>
    <row r="47">
      <c r="A47" s="4" t="inlineStr">
        <is>
          <t>Digital literacy: full cost, October so far</t>
        </is>
      </c>
    </row>
    <row r="48">
      <c r="A48" s="11" t="inlineStr">
        <is>
          <t>Grant spending + its share of untied program costs and administration (shared by grant spending)</t>
        </is>
      </c>
    </row>
    <row r="49">
      <c r="A49" s="6" t="inlineStr"/>
      <c r="B49" s="7" t="inlineStr">
        <is>
          <t>Oct 2026</t>
        </is>
      </c>
    </row>
    <row r="50">
      <c r="A50" t="inlineStr">
        <is>
          <t>Grant spending on the program</t>
        </is>
      </c>
      <c r="B50" s="12" t="n">
        <v>702</v>
      </c>
    </row>
    <row r="51">
      <c r="A51" t="inlineStr">
        <is>
          <t>All grant-funded program spending</t>
        </is>
      </c>
      <c r="B51" s="12" t="n">
        <v>11007</v>
      </c>
    </row>
    <row r="52">
      <c r="A52" t="inlineStr">
        <is>
          <t>Share of program spending</t>
        </is>
      </c>
      <c r="B52" s="13">
        <f>B50/B51</f>
        <v/>
      </c>
    </row>
    <row r="53">
      <c r="A53" t="inlineStr">
        <is>
          <t>Untied program costs (all programs)</t>
        </is>
      </c>
      <c r="B53" s="12" t="n">
        <v>2532</v>
      </c>
    </row>
    <row r="54">
      <c r="A54" t="inlineStr">
        <is>
          <t>Share of untied program costs</t>
        </is>
      </c>
      <c r="B54" s="12">
        <f>B52*B53</f>
        <v/>
      </c>
    </row>
    <row r="55">
      <c r="A55" t="inlineStr">
        <is>
          <t>Administration (all)</t>
        </is>
      </c>
      <c r="B55" s="12" t="n">
        <v>13675</v>
      </c>
    </row>
    <row r="56">
      <c r="A56" t="inlineStr">
        <is>
          <t>Share of administration</t>
        </is>
      </c>
      <c r="B56" s="12">
        <f>B52*B55</f>
        <v/>
      </c>
    </row>
    <row r="57">
      <c r="A57" s="14" t="inlineStr">
        <is>
          <t>Full cost of the program</t>
        </is>
      </c>
      <c r="B57" s="15">
        <f>B50+B54+B56</f>
        <v/>
      </c>
    </row>
    <row r="58">
      <c r="A58" s="2" t="inlineStr">
        <is>
          <t>October is still in progress (data to 6 October), so it is a part month against full months.</t>
        </is>
      </c>
    </row>
    <row r="59"/>
    <row r="60"/>
    <row r="61">
      <c r="A61" s="4" t="inlineStr">
        <is>
          <t>Community meals: full cost, October so far</t>
        </is>
      </c>
    </row>
    <row r="62">
      <c r="A62" s="11" t="inlineStr">
        <is>
          <t>Grant spending + its share of untied program costs and administration (shared by grant spending)</t>
        </is>
      </c>
    </row>
    <row r="63">
      <c r="A63" s="6" t="inlineStr"/>
      <c r="B63" s="7" t="inlineStr">
        <is>
          <t>Oct 2026</t>
        </is>
      </c>
    </row>
    <row r="64">
      <c r="A64" t="inlineStr">
        <is>
          <t>Grant spending on the program</t>
        </is>
      </c>
      <c r="B64" s="12" t="n">
        <v>615</v>
      </c>
    </row>
    <row r="65">
      <c r="A65" t="inlineStr">
        <is>
          <t>All grant-funded program spending</t>
        </is>
      </c>
      <c r="B65" s="12" t="n">
        <v>11007</v>
      </c>
    </row>
    <row r="66">
      <c r="A66" t="inlineStr">
        <is>
          <t>Share of program spending</t>
        </is>
      </c>
      <c r="B66" s="13">
        <f>B64/B65</f>
        <v/>
      </c>
    </row>
    <row r="67">
      <c r="A67" t="inlineStr">
        <is>
          <t>Untied program costs (all programs)</t>
        </is>
      </c>
      <c r="B67" s="12" t="n">
        <v>2532</v>
      </c>
    </row>
    <row r="68">
      <c r="A68" t="inlineStr">
        <is>
          <t>Share of untied program costs</t>
        </is>
      </c>
      <c r="B68" s="12">
        <f>B66*B67</f>
        <v/>
      </c>
    </row>
    <row r="69">
      <c r="A69" t="inlineStr">
        <is>
          <t>Administration (all)</t>
        </is>
      </c>
      <c r="B69" s="12" t="n">
        <v>13675</v>
      </c>
    </row>
    <row r="70">
      <c r="A70" t="inlineStr">
        <is>
          <t>Share of administration</t>
        </is>
      </c>
      <c r="B70" s="12">
        <f>B66*B69</f>
        <v/>
      </c>
    </row>
    <row r="71">
      <c r="A71" s="14" t="inlineStr">
        <is>
          <t>Full cost of the program</t>
        </is>
      </c>
      <c r="B71" s="15">
        <f>B64+B68+B70</f>
        <v/>
      </c>
    </row>
    <row r="72">
      <c r="A72" s="2" t="inlineStr">
        <is>
          <t>October is still in progress (data to 6 October), so it is a part month against full months.</t>
        </is>
      </c>
    </row>
    <row r="73"/>
    <row r="74"/>
    <row r="75">
      <c r="A75" s="4" t="inlineStr">
        <is>
          <t>Volunteer coordinator: full cost, October so far</t>
        </is>
      </c>
    </row>
    <row r="76">
      <c r="A76" s="11" t="inlineStr">
        <is>
          <t>Grant spending + its share of untied program costs and administration (shared by grant spending)</t>
        </is>
      </c>
    </row>
    <row r="77">
      <c r="A77" s="6" t="inlineStr"/>
      <c r="B77" s="7" t="inlineStr">
        <is>
          <t>Oct 2026</t>
        </is>
      </c>
    </row>
    <row r="78">
      <c r="A78" t="inlineStr">
        <is>
          <t>Grant spending on the program</t>
        </is>
      </c>
      <c r="B78" s="12" t="n">
        <v>429</v>
      </c>
    </row>
    <row r="79">
      <c r="A79" t="inlineStr">
        <is>
          <t>All grant-funded program spending</t>
        </is>
      </c>
      <c r="B79" s="12" t="n">
        <v>11007</v>
      </c>
    </row>
    <row r="80">
      <c r="A80" t="inlineStr">
        <is>
          <t>Share of program spending</t>
        </is>
      </c>
      <c r="B80" s="13">
        <f>B78/B79</f>
        <v/>
      </c>
    </row>
    <row r="81">
      <c r="A81" t="inlineStr">
        <is>
          <t>Untied program costs (all programs)</t>
        </is>
      </c>
      <c r="B81" s="12" t="n">
        <v>2532</v>
      </c>
    </row>
    <row r="82">
      <c r="A82" t="inlineStr">
        <is>
          <t>Share of untied program costs</t>
        </is>
      </c>
      <c r="B82" s="12">
        <f>B80*B81</f>
        <v/>
      </c>
    </row>
    <row r="83">
      <c r="A83" t="inlineStr">
        <is>
          <t>Administration (all)</t>
        </is>
      </c>
      <c r="B83" s="12" t="n">
        <v>13675</v>
      </c>
    </row>
    <row r="84">
      <c r="A84" t="inlineStr">
        <is>
          <t>Share of administration</t>
        </is>
      </c>
      <c r="B84" s="12">
        <f>B80*B83</f>
        <v/>
      </c>
    </row>
    <row r="85">
      <c r="A85" s="14" t="inlineStr">
        <is>
          <t>Full cost of the program</t>
        </is>
      </c>
      <c r="B85" s="15">
        <f>B78+B82+B84</f>
        <v/>
      </c>
    </row>
    <row r="86">
      <c r="A86" s="2" t="inlineStr">
        <is>
          <t>October is still in progress (data to 6 October), so it is a part month against full months.</t>
        </is>
      </c>
    </row>
    <row r="87"/>
    <row r="88"/>
    <row r="89"/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program-cost.xlsx&amp;C&amp;8 Data retrieved 2pm, Tue 6 Oct 2026&amp;R&amp;8 Page &amp;P of &amp;N</oddFooter>
    <evenHeader/>
    <evenFooter/>
    <firstHeader/>
    <firstFooter/>
  </headerFooter>
  <rowBreaks count="2" manualBreakCount="2">
    <brk id="32" min="0" max="16383" man="1"/>
    <brk id="6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October 2026 to date · Data status: Sep 2026 locked · Oct 2026 incomplete (data retrieved 2pm, Tue 6 Oct 2026)</t>
        </is>
      </c>
    </row>
    <row r="4"/>
    <row r="5">
      <c r="A5" t="inlineStr">
        <is>
          <t>All grant-funded program spending, October 2026 to date</t>
        </is>
      </c>
      <c r="B5" s="8" t="n">
        <v>11007</v>
      </c>
    </row>
    <row r="6">
      <c r="A6" t="inlineStr">
        <is>
          <t>Untied program costs, October 2026 to date (all programs)</t>
        </is>
      </c>
      <c r="B6" s="8" t="n">
        <v>2532</v>
      </c>
    </row>
    <row r="7">
      <c r="A7" t="inlineStr">
        <is>
          <t>Administration, October 2026 to date (all)</t>
        </is>
      </c>
      <c r="B7" s="8" t="n">
        <v>13675</v>
      </c>
    </row>
    <row r="8"/>
    <row r="9">
      <c r="A9" s="6" t="inlineStr">
        <is>
          <t>Program</t>
        </is>
      </c>
      <c r="B9" s="7" t="inlineStr">
        <is>
          <t>Grant spending, Oct 2026</t>
        </is>
      </c>
      <c r="C9" s="7" t="inlineStr">
        <is>
          <t>Share</t>
        </is>
      </c>
      <c r="D9" s="7" t="inlineStr">
        <is>
          <t>Untied costs share</t>
        </is>
      </c>
      <c r="E9" s="7" t="inlineStr">
        <is>
          <t>Administration share</t>
        </is>
      </c>
      <c r="F9" s="7" t="inlineStr">
        <is>
          <t>Full cost</t>
        </is>
      </c>
    </row>
    <row r="10">
      <c r="A10" s="16" t="inlineStr">
        <is>
          <t>Housing support</t>
        </is>
      </c>
      <c r="B10" s="12" t="n">
        <v>4458</v>
      </c>
      <c r="C10" s="13">
        <f>B10/$B$5</f>
        <v/>
      </c>
      <c r="D10" s="12">
        <f>C10*$B$6</f>
        <v/>
      </c>
      <c r="E10" s="12">
        <f>C10*$B$7</f>
        <v/>
      </c>
      <c r="F10" s="12">
        <f>B10+D10+E10</f>
        <v/>
      </c>
    </row>
    <row r="11">
      <c r="A11" s="16" t="inlineStr">
        <is>
          <t>Youth outreach</t>
        </is>
      </c>
      <c r="B11" s="12" t="n">
        <v>3258</v>
      </c>
      <c r="C11" s="13">
        <f>B11/$B$5</f>
        <v/>
      </c>
      <c r="D11" s="12">
        <f>C11*$B$6</f>
        <v/>
      </c>
      <c r="E11" s="12">
        <f>C11*$B$7</f>
        <v/>
      </c>
      <c r="F11" s="12">
        <f>B11+D11+E11</f>
        <v/>
      </c>
    </row>
    <row r="12">
      <c r="A12" s="16" t="inlineStr">
        <is>
          <t>Mental health first aid</t>
        </is>
      </c>
      <c r="B12" s="12" t="n">
        <v>1545</v>
      </c>
      <c r="C12" s="13">
        <f>B12/$B$5</f>
        <v/>
      </c>
      <c r="D12" s="12">
        <f>C12*$B$6</f>
        <v/>
      </c>
      <c r="E12" s="12">
        <f>C12*$B$7</f>
        <v/>
      </c>
      <c r="F12" s="12">
        <f>B12+D12+E12</f>
        <v/>
      </c>
    </row>
    <row r="13">
      <c r="A13" s="16" t="inlineStr">
        <is>
          <t>Digital literacy</t>
        </is>
      </c>
      <c r="B13" s="12" t="n">
        <v>702</v>
      </c>
      <c r="C13" s="13">
        <f>B13/$B$5</f>
        <v/>
      </c>
      <c r="D13" s="12">
        <f>C13*$B$6</f>
        <v/>
      </c>
      <c r="E13" s="12">
        <f>C13*$B$7</f>
        <v/>
      </c>
      <c r="F13" s="12">
        <f>B13+D13+E13</f>
        <v/>
      </c>
    </row>
    <row r="14">
      <c r="A14" s="16" t="inlineStr">
        <is>
          <t>Community meals</t>
        </is>
      </c>
      <c r="B14" s="12" t="n">
        <v>615</v>
      </c>
      <c r="C14" s="13">
        <f>B14/$B$5</f>
        <v/>
      </c>
      <c r="D14" s="12">
        <f>C14*$B$6</f>
        <v/>
      </c>
      <c r="E14" s="12">
        <f>C14*$B$7</f>
        <v/>
      </c>
      <c r="F14" s="12">
        <f>B14+D14+E14</f>
        <v/>
      </c>
    </row>
    <row r="15">
      <c r="A15" s="16" t="inlineStr">
        <is>
          <t>Volunteer coordinator</t>
        </is>
      </c>
      <c r="B15" s="12" t="n">
        <v>429</v>
      </c>
      <c r="C15" s="13">
        <f>B15/$B$5</f>
        <v/>
      </c>
      <c r="D15" s="12">
        <f>C15*$B$6</f>
        <v/>
      </c>
      <c r="E15" s="12">
        <f>C15*$B$7</f>
        <v/>
      </c>
      <c r="F15" s="12">
        <f>B15+D15+E15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program-cost.xlsx&amp;C&amp;8 Data retrieved 2pm, Tue 6 Oct 2026&amp;R&amp;8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2026-10-06T07:09:34Z</dcterms:created>
  <dcterms:modified xmlns:dcterms="http://purl.org/dc/terms/" xmlns:xsi="http://www.w3.org/2001/XMLSchema-instance" xsi:type="dcterms:W3CDTF">2026-10-06T07:09:34Z</dcterms:modified>
</cp:coreProperties>
</file>