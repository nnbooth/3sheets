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March_against_March_last_year">'Report'!$B$16</definedName>
    <definedName name="Trades_Year_to_date_Jul_to_Mar_2026">'Report'!$B$17</definedName>
    <definedName name="Trades_Gross_margin_year_to_date">'Report'!$B$18</definedName>
    <definedName name="Trades_March_against_March_last_year_2">'Report'!$B$28</definedName>
    <definedName name="Trades_Year_to_date_Jul_to_Mar_2026_2">'Report'!$B$29</definedName>
    <definedName name="Trades_Gross_margin_year_to_date_2">'Report'!$B$30</definedName>
    <definedName name="Trades_March_against_March_last_year_3">'Report'!$B$40</definedName>
    <definedName name="Trades_Year_to_date_Jul_to_Mar_2026_3">'Report'!$B$41</definedName>
    <definedName name="Trades_Gross_margin_year_to_date_3">'Report'!$B$42</definedName>
    <definedName name="Trades_March_against_March_last_year_4">'Report'!$B$52</definedName>
    <definedName name="Trades_Year_to_date_Jul_to_Mar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Trades'!$A$1:$G$77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Trades'!$B$6:$B$23</f>
            </numRef>
          </cat>
          <val>
            <numRef>
              <f>'Data Trades'!$D$6:$D$23</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Trades'!$B$6:$B$23</f>
            </numRef>
          </cat>
          <val>
            <numRef>
              <f>'Data Trades'!$D$24:$D$41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Trades'!$B$6:$B$23</f>
            </numRef>
          </cat>
          <val>
            <numRef>
              <f>'Data Trades'!$D$42:$D$59</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Trades'!$B$6:$B$23</f>
            </numRef>
          </cat>
          <val>
            <numRef>
              <f>'Data Trades'!$D$60:$D$77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77" headerRowCount="1">
  <autoFilter ref="A5:G7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March 2026 · Data status: Feb 2026 locked · Mar 2026 locked · Oct 2026 incomplete (data retrieved 2pm, Tue 6 Oct 2026) · Generated 8 Oct 2026, 9:35am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March's jobs made $68,158 gross margin (35.6%). Technician time not charged to jobs took ($1,092) and overheads $59,200, leaving $10,050 profit before tax (5.2% of revenue). To cover overheads, jobs need a 30.3%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March against March last year</t>
        </is>
      </c>
      <c r="B16" s="9">
        <f>Workings!B27</f>
        <v/>
      </c>
      <c r="C16" s="10" t="inlineStr">
        <is>
          <t>$191,500 against $135,082</t>
        </is>
      </c>
    </row>
    <row r="17">
      <c r="A17" t="inlineStr">
        <is>
          <t>Year to date (Jul to Mar 2026)</t>
        </is>
      </c>
      <c r="B17" s="9">
        <f>Workings!B35</f>
        <v/>
      </c>
      <c r="C17" s="10" t="inlineStr">
        <is>
          <t>same period last year: not in the data</t>
        </is>
      </c>
    </row>
    <row r="18">
      <c r="A18" t="inlineStr">
        <is>
          <t>Gross margin, year to date</t>
        </is>
      </c>
      <c r="B18" s="9">
        <f>Workings!B43</f>
        <v/>
      </c>
      <c r="C18" s="10" t="inlineStr">
        <is>
          <t>$536,342 before overheads</t>
        </is>
      </c>
    </row>
    <row r="19"/>
    <row r="20">
      <c r="A20" s="5" t="inlineStr">
        <is>
          <t>What it shows</t>
        </is>
      </c>
    </row>
    <row r="21" ht="45" customHeight="1">
      <c r="A21" s="3" t="inlineStr">
        <is>
          <t>Revenue is $1,445,594 this financial year to date (Jul to Mar 2026). Maintenance contracts make the highest gross margin (59.5%); Installations the lowest (27.7%). The business needs 30.3% gross margin just to cover overheads.</t>
        </is>
      </c>
    </row>
    <row r="22"/>
    <row r="23">
      <c r="A23" s="5" t="inlineStr">
        <is>
          <t>What you'd do about it</t>
        </is>
      </c>
    </row>
    <row r="24" ht="60" customHeight="1">
      <c r="A24" s="3" t="inlineStr">
        <is>
          <t>Installations: 27.7% gross margin, 7.3 points under the 35.0% target: about $66,607 on $907,100 of revenue this financial year to date. It's below the 30.3% needed to cover overheads, too. Maintenance contracts: 59.5% gross margin, 24.5 points over the 35.0% target ($77,852 ahead on $317,800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March against March last year</t>
        </is>
      </c>
      <c r="B28" s="9">
        <f>Workings!B51</f>
        <v/>
      </c>
      <c r="C28" s="10" t="inlineStr">
        <is>
          <t>$37,500 against $27,930</t>
        </is>
      </c>
    </row>
    <row r="29">
      <c r="A29" t="inlineStr">
        <is>
          <t>Year to date (Jul to Mar 2026)</t>
        </is>
      </c>
      <c r="B29" s="9">
        <f>Workings!B59</f>
        <v/>
      </c>
      <c r="C29" s="10" t="inlineStr">
        <is>
          <t>same period last year: not in the data</t>
        </is>
      </c>
    </row>
    <row r="30">
      <c r="A30" t="inlineStr">
        <is>
          <t>Gross margin, year to date</t>
        </is>
      </c>
      <c r="B30" s="9">
        <f>Workings!B67</f>
        <v/>
      </c>
      <c r="C30" s="10" t="inlineStr">
        <is>
          <t>$189,082 before overheads</t>
        </is>
      </c>
    </row>
    <row r="31"/>
    <row r="32">
      <c r="A32" s="5" t="inlineStr">
        <is>
          <t>What it shows</t>
        </is>
      </c>
    </row>
    <row r="33" ht="30" customHeight="1">
      <c r="A33" s="3" t="inlineStr">
        <is>
          <t>Maintenance contracts brought in $317,800 this financial year to date, at a 59.5% gross margin (above the 37.1% overall).</t>
        </is>
      </c>
    </row>
    <row r="34"/>
    <row r="35">
      <c r="A35" s="5" t="inlineStr">
        <is>
          <t>What you'd do about it</t>
        </is>
      </c>
    </row>
    <row r="36" ht="30" customHeight="1">
      <c r="A36" s="3" t="inlineStr">
        <is>
          <t>Maintenance contracts: 59.5% gross margin, 24.5 points over the 35.0% target ($77,852 ahead on $317,800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March against March last year</t>
        </is>
      </c>
      <c r="B40" s="9">
        <f>Workings!B75</f>
        <v/>
      </c>
      <c r="C40" s="10" t="inlineStr">
        <is>
          <t>$129,400 against $86,100</t>
        </is>
      </c>
    </row>
    <row r="41">
      <c r="A41" t="inlineStr">
        <is>
          <t>Year to date (Jul to Mar 2026)</t>
        </is>
      </c>
      <c r="B41" s="9">
        <f>Workings!B83</f>
        <v/>
      </c>
      <c r="C41" s="10" t="inlineStr">
        <is>
          <t>same period last year: not in the data</t>
        </is>
      </c>
    </row>
    <row r="42">
      <c r="A42" t="inlineStr">
        <is>
          <t>Gross margin, year to date</t>
        </is>
      </c>
      <c r="B42" s="9">
        <f>Workings!B91</f>
        <v/>
      </c>
      <c r="C42" s="10" t="inlineStr">
        <is>
          <t>$250,878 before overheads</t>
        </is>
      </c>
    </row>
    <row r="43"/>
    <row r="44">
      <c r="A44" s="5" t="inlineStr">
        <is>
          <t>What it shows</t>
        </is>
      </c>
    </row>
    <row r="45" ht="30" customHeight="1">
      <c r="A45" s="3" t="inlineStr">
        <is>
          <t>Installations brought in $907,100 this financial year to date, at a 27.7% gross margin (below the 37.1% overall).</t>
        </is>
      </c>
    </row>
    <row r="46"/>
    <row r="47">
      <c r="A47" s="5" t="inlineStr">
        <is>
          <t>What you'd do about it</t>
        </is>
      </c>
    </row>
    <row r="48" ht="30" customHeight="1">
      <c r="A48" s="3" t="inlineStr">
        <is>
          <t>Installations: 27.7% gross margin, 7.3 points under the 35.0% target: about $66,607 on $907,100 of revenue this financial year to date. It's below the 30.3%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March against March last year</t>
        </is>
      </c>
      <c r="B52" s="9">
        <f>Workings!B99</f>
        <v/>
      </c>
      <c r="C52" s="10" t="inlineStr">
        <is>
          <t>$24,600 against $21,052</t>
        </is>
      </c>
    </row>
    <row r="53">
      <c r="A53" t="inlineStr">
        <is>
          <t>Year to date (Jul to Mar 2026)</t>
        </is>
      </c>
      <c r="B53" s="9">
        <f>Workings!B107</f>
        <v/>
      </c>
      <c r="C53" s="10" t="inlineStr">
        <is>
          <t>same period last year: not in the data</t>
        </is>
      </c>
    </row>
    <row r="54">
      <c r="A54" t="inlineStr">
        <is>
          <t>Gross margin, year to date</t>
        </is>
      </c>
      <c r="B54" s="9">
        <f>Workings!B115</f>
        <v/>
      </c>
      <c r="C54" s="10" t="inlineStr">
        <is>
          <t>$96,382 before overheads</t>
        </is>
      </c>
    </row>
    <row r="55"/>
    <row r="56">
      <c r="A56" s="5" t="inlineStr">
        <is>
          <t>What it shows</t>
        </is>
      </c>
    </row>
    <row r="57" ht="30" customHeight="1">
      <c r="A57" s="3" t="inlineStr">
        <is>
          <t>Call-outs and repairs brought in $220,694 this financial year to date, at a 43.7% gross margin (above the 37.1% overall).</t>
        </is>
      </c>
    </row>
    <row r="58"/>
    <row r="59">
      <c r="A59" s="5" t="inlineStr">
        <is>
          <t>What you'd do about it</t>
        </is>
      </c>
    </row>
    <row r="60" ht="30" customHeight="1">
      <c r="A60" s="3" t="inlineStr">
        <is>
          <t>Call-outs and repairs: 43.7% gross margin, 8.7 points over the 35.0% target ($19,139 ahead on $220,694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March 2026 · Data status: Feb 2026 locked · Mar 2026 locked · Oct 2026 incomplete (data retrieved 2pm, Tue 6 Oct 2026) · Generated 8 Oct 2026, 9:35am</t>
        </is>
      </c>
    </row>
    <row r="4"/>
    <row r="5">
      <c r="A5" s="6" t="inlineStr">
        <is>
          <t>Trades: From gross margin to profit, March 2026</t>
        </is>
      </c>
    </row>
    <row r="6">
      <c r="A6" s="11" t="inlineStr">
        <is>
          <t>Gross margin on the work − time not charged − overheads = profit before tax</t>
        </is>
      </c>
    </row>
    <row r="7">
      <c r="A7" s="7" t="inlineStr"/>
      <c r="B7" s="8" t="inlineStr">
        <is>
          <t>Mar 2026</t>
        </is>
      </c>
    </row>
    <row r="8">
      <c r="A8" t="inlineStr">
        <is>
          <t>Gross margin on jobs</t>
        </is>
      </c>
      <c r="B8" s="12" t="n">
        <v>68158</v>
      </c>
    </row>
    <row r="9">
      <c r="A9" t="inlineStr">
        <is>
          <t>Technician wages and on-costs</t>
        </is>
      </c>
      <c r="B9" s="12" t="n">
        <v>54600</v>
      </c>
    </row>
    <row r="10">
      <c r="A10" t="inlineStr">
        <is>
          <t>Technician time charged to jobs (at cost)</t>
        </is>
      </c>
      <c r="B10" s="12" t="n">
        <v>55692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59200</v>
      </c>
    </row>
    <row r="14">
      <c r="A14" t="inlineStr">
        <is>
          <t>Profit before tax (the P&amp;L)</t>
        </is>
      </c>
      <c r="B14" s="12">
        <f>B12-B13</f>
        <v/>
      </c>
    </row>
    <row r="15">
      <c r="A15" t="inlineStr">
        <is>
          <t>Revenue</t>
        </is>
      </c>
      <c r="B15" s="12" t="n">
        <v>191500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March 2026 P&amp;L (locked). Wages always include all on-costs: super, payroll tax, workers' compensation insurance and leave.</t>
        </is>
      </c>
    </row>
    <row r="20"/>
    <row r="21"/>
    <row r="22">
      <c r="A22" s="6" t="inlineStr">
        <is>
          <t>Trades, all lines: March against March last year</t>
        </is>
      </c>
    </row>
    <row r="23">
      <c r="A23" s="11" t="inlineStr">
        <is>
          <t>March 2026 ÷ March 2025 − 1 (year on year)</t>
        </is>
      </c>
    </row>
    <row r="24">
      <c r="A24" s="7" t="inlineStr"/>
      <c r="B24" s="8" t="inlineStr">
        <is>
          <t>Mar</t>
        </is>
      </c>
    </row>
    <row r="25">
      <c r="A25" t="inlineStr">
        <is>
          <t>Revenue, Mar 2026</t>
        </is>
      </c>
      <c r="B25" s="12" t="n">
        <v>191500</v>
      </c>
    </row>
    <row r="26">
      <c r="A26" t="inlineStr">
        <is>
          <t>Revenue, Mar 2025</t>
        </is>
      </c>
      <c r="B26" s="12" t="n">
        <v>135082</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Mar 2026)</t>
        </is>
      </c>
      <c r="B33" s="12" t="n">
        <v>1445594</v>
      </c>
    </row>
    <row r="34">
      <c r="A34" t="inlineStr">
        <is>
          <t>Gross margin, year to date</t>
        </is>
      </c>
      <c r="B34" s="12" t="n">
        <v>536342</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Mar 2026)</t>
        </is>
      </c>
      <c r="B41" s="12" t="n">
        <v>1445594</v>
      </c>
    </row>
    <row r="42">
      <c r="A42" t="inlineStr">
        <is>
          <t>Gross margin, year to date</t>
        </is>
      </c>
      <c r="B42" s="12" t="n">
        <v>536342</v>
      </c>
    </row>
    <row r="43">
      <c r="A43" s="14" t="inlineStr">
        <is>
          <t>Gross margin %, year to date</t>
        </is>
      </c>
      <c r="B43" s="15">
        <f>B42/B41</f>
        <v/>
      </c>
    </row>
    <row r="44"/>
    <row r="45"/>
    <row r="46">
      <c r="A46" s="6" t="inlineStr">
        <is>
          <t>Trades, Maintenance contracts: March against March last year</t>
        </is>
      </c>
    </row>
    <row r="47">
      <c r="A47" s="11" t="inlineStr">
        <is>
          <t>March 2026 ÷ March 2025 − 1 (year on year)</t>
        </is>
      </c>
    </row>
    <row r="48">
      <c r="A48" s="7" t="inlineStr"/>
      <c r="B48" s="8" t="inlineStr">
        <is>
          <t>Mar</t>
        </is>
      </c>
    </row>
    <row r="49">
      <c r="A49" t="inlineStr">
        <is>
          <t>Revenue, Mar 2026</t>
        </is>
      </c>
      <c r="B49" s="12" t="n">
        <v>37500</v>
      </c>
    </row>
    <row r="50">
      <c r="A50" t="inlineStr">
        <is>
          <t>Revenue, Mar 2025</t>
        </is>
      </c>
      <c r="B50" s="12" t="n">
        <v>27930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Mar 2026)</t>
        </is>
      </c>
      <c r="B57" s="12" t="n">
        <v>317800</v>
      </c>
    </row>
    <row r="58">
      <c r="A58" t="inlineStr">
        <is>
          <t>Gross margin, year to date</t>
        </is>
      </c>
      <c r="B58" s="12" t="n">
        <v>189082</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Mar 2026)</t>
        </is>
      </c>
      <c r="B65" s="12" t="n">
        <v>317800</v>
      </c>
    </row>
    <row r="66">
      <c r="A66" t="inlineStr">
        <is>
          <t>Gross margin, year to date</t>
        </is>
      </c>
      <c r="B66" s="12" t="n">
        <v>189082</v>
      </c>
    </row>
    <row r="67">
      <c r="A67" s="14" t="inlineStr">
        <is>
          <t>Gross margin %, year to date</t>
        </is>
      </c>
      <c r="B67" s="15">
        <f>B66/B65</f>
        <v/>
      </c>
    </row>
    <row r="68"/>
    <row r="69"/>
    <row r="70">
      <c r="A70" s="6" t="inlineStr">
        <is>
          <t>Trades, Installations: March against March last year</t>
        </is>
      </c>
    </row>
    <row r="71">
      <c r="A71" s="11" t="inlineStr">
        <is>
          <t>March 2026 ÷ March 2025 − 1 (year on year)</t>
        </is>
      </c>
    </row>
    <row r="72">
      <c r="A72" s="7" t="inlineStr"/>
      <c r="B72" s="8" t="inlineStr">
        <is>
          <t>Mar</t>
        </is>
      </c>
    </row>
    <row r="73">
      <c r="A73" t="inlineStr">
        <is>
          <t>Revenue, Mar 2026</t>
        </is>
      </c>
      <c r="B73" s="12" t="n">
        <v>129400</v>
      </c>
    </row>
    <row r="74">
      <c r="A74" t="inlineStr">
        <is>
          <t>Revenue, Mar 2025</t>
        </is>
      </c>
      <c r="B74" s="12" t="n">
        <v>86100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Mar 2026)</t>
        </is>
      </c>
      <c r="B81" s="12" t="n">
        <v>907100</v>
      </c>
    </row>
    <row r="82">
      <c r="A82" t="inlineStr">
        <is>
          <t>Gross margin, year to date</t>
        </is>
      </c>
      <c r="B82" s="12" t="n">
        <v>250878</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Mar 2026)</t>
        </is>
      </c>
      <c r="B89" s="12" t="n">
        <v>907100</v>
      </c>
    </row>
    <row r="90">
      <c r="A90" t="inlineStr">
        <is>
          <t>Gross margin, year to date</t>
        </is>
      </c>
      <c r="B90" s="12" t="n">
        <v>250878</v>
      </c>
    </row>
    <row r="91">
      <c r="A91" s="14" t="inlineStr">
        <is>
          <t>Gross margin %, year to date</t>
        </is>
      </c>
      <c r="B91" s="15">
        <f>B90/B89</f>
        <v/>
      </c>
    </row>
    <row r="92"/>
    <row r="93"/>
    <row r="94">
      <c r="A94" s="6" t="inlineStr">
        <is>
          <t>Trades, Call-outs and repairs: March against March last year</t>
        </is>
      </c>
    </row>
    <row r="95">
      <c r="A95" s="11" t="inlineStr">
        <is>
          <t>March 2026 ÷ March 2025 − 1 (year on year)</t>
        </is>
      </c>
    </row>
    <row r="96">
      <c r="A96" s="7" t="inlineStr"/>
      <c r="B96" s="8" t="inlineStr">
        <is>
          <t>Mar</t>
        </is>
      </c>
    </row>
    <row r="97">
      <c r="A97" t="inlineStr">
        <is>
          <t>Revenue, Mar 2026</t>
        </is>
      </c>
      <c r="B97" s="12" t="n">
        <v>24600</v>
      </c>
    </row>
    <row r="98">
      <c r="A98" t="inlineStr">
        <is>
          <t>Revenue, Mar 2025</t>
        </is>
      </c>
      <c r="B98" s="12" t="n">
        <v>21052</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Mar 2026)</t>
        </is>
      </c>
      <c r="B105" s="12" t="n">
        <v>220694</v>
      </c>
    </row>
    <row r="106">
      <c r="A106" t="inlineStr">
        <is>
          <t>Gross margin, year to date</t>
        </is>
      </c>
      <c r="B106" s="12" t="n">
        <v>96382</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Mar 2026)</t>
        </is>
      </c>
      <c r="B113" s="12" t="n">
        <v>220694</v>
      </c>
    </row>
    <row r="114">
      <c r="A114" t="inlineStr">
        <is>
          <t>Gross margin, year to date</t>
        </is>
      </c>
      <c r="B114" s="12" t="n">
        <v>96382</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March 2026 · Data status: Feb 2026 locked · Mar 2026 locked · Oct 2026 incomplete (data retrieved 2pm, Tue 6 Oct 2026) · Generated 8 Oct 2026, 9:35am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Maintenance contracts</t>
        </is>
      </c>
      <c r="B24" s="16" t="inlineStr">
        <is>
          <t>Oct 24</t>
        </is>
      </c>
      <c r="C24" s="16" t="inlineStr">
        <is>
          <t>Locked</t>
        </is>
      </c>
      <c r="D24" s="12" t="n">
        <v>24670</v>
      </c>
      <c r="E24" s="12" t="n">
        <v>10420</v>
      </c>
      <c r="F24" s="12">
        <f>D24-E24</f>
        <v/>
      </c>
      <c r="G24" s="13">
        <f>IF(D24=0,"",F24/D24)</f>
        <v/>
      </c>
    </row>
    <row r="25">
      <c r="A25" s="16" t="inlineStr">
        <is>
          <t>Maintenance contracts</t>
        </is>
      </c>
      <c r="B25" s="16" t="inlineStr">
        <is>
          <t>Nov 24</t>
        </is>
      </c>
      <c r="C25" s="16" t="inlineStr">
        <is>
          <t>Locked</t>
        </is>
      </c>
      <c r="D25" s="12" t="n">
        <v>24670</v>
      </c>
      <c r="E25" s="12" t="n">
        <v>10420</v>
      </c>
      <c r="F25" s="12">
        <f>D25-E25</f>
        <v/>
      </c>
      <c r="G25" s="13">
        <f>IF(D25=0,"",F25/D25)</f>
        <v/>
      </c>
    </row>
    <row r="26">
      <c r="A26" s="16" t="inlineStr">
        <is>
          <t>Maintenance contracts</t>
        </is>
      </c>
      <c r="B26" s="16" t="inlineStr">
        <is>
          <t>Dec 24</t>
        </is>
      </c>
      <c r="C26" s="16" t="inlineStr">
        <is>
          <t>Locked</t>
        </is>
      </c>
      <c r="D26" s="12" t="n">
        <v>24670</v>
      </c>
      <c r="E26" s="12" t="n">
        <v>10420</v>
      </c>
      <c r="F26" s="12">
        <f>D26-E26</f>
        <v/>
      </c>
      <c r="G26" s="13">
        <f>IF(D26=0,"",F26/D26)</f>
        <v/>
      </c>
    </row>
    <row r="27">
      <c r="A27" s="16" t="inlineStr">
        <is>
          <t>Maintenance contracts</t>
        </is>
      </c>
      <c r="B27" s="16" t="inlineStr">
        <is>
          <t>Jan 25</t>
        </is>
      </c>
      <c r="C27" s="16" t="inlineStr">
        <is>
          <t>Locked</t>
        </is>
      </c>
      <c r="D27" s="12" t="n">
        <v>24670</v>
      </c>
      <c r="E27" s="12" t="n">
        <v>10420</v>
      </c>
      <c r="F27" s="12">
        <f>D27-E27</f>
        <v/>
      </c>
      <c r="G27" s="13">
        <f>IF(D27=0,"",F27/D27)</f>
        <v/>
      </c>
    </row>
    <row r="28">
      <c r="A28" s="16" t="inlineStr">
        <is>
          <t>Maintenance contracts</t>
        </is>
      </c>
      <c r="B28" s="16" t="inlineStr">
        <is>
          <t>Feb 25</t>
        </is>
      </c>
      <c r="C28" s="16" t="inlineStr">
        <is>
          <t>Locked</t>
        </is>
      </c>
      <c r="D28" s="12" t="n">
        <v>27930</v>
      </c>
      <c r="E28" s="12" t="n">
        <v>11782</v>
      </c>
      <c r="F28" s="12">
        <f>D28-E28</f>
        <v/>
      </c>
      <c r="G28" s="13">
        <f>IF(D28=0,"",F28/D28)</f>
        <v/>
      </c>
    </row>
    <row r="29">
      <c r="A29" s="16" t="inlineStr">
        <is>
          <t>Maintenance contracts</t>
        </is>
      </c>
      <c r="B29" s="16" t="inlineStr">
        <is>
          <t>Mar 25</t>
        </is>
      </c>
      <c r="C29" s="16" t="inlineStr">
        <is>
          <t>Locked</t>
        </is>
      </c>
      <c r="D29" s="12" t="n">
        <v>27930</v>
      </c>
      <c r="E29" s="12" t="n">
        <v>11782</v>
      </c>
      <c r="F29" s="12">
        <f>D29-E29</f>
        <v/>
      </c>
      <c r="G29" s="13">
        <f>IF(D29=0,"",F29/D29)</f>
        <v/>
      </c>
    </row>
    <row r="30">
      <c r="A30" s="16" t="inlineStr">
        <is>
          <t>Maintenance contracts</t>
        </is>
      </c>
      <c r="B30" s="16" t="inlineStr">
        <is>
          <t>Apr 25</t>
        </is>
      </c>
      <c r="C30" s="16" t="inlineStr">
        <is>
          <t>Locked</t>
        </is>
      </c>
      <c r="D30" s="12" t="n">
        <v>27930</v>
      </c>
      <c r="E30" s="12" t="n">
        <v>11782</v>
      </c>
      <c r="F30" s="12">
        <f>D30-E30</f>
        <v/>
      </c>
      <c r="G30" s="13">
        <f>IF(D30=0,"",F30/D30)</f>
        <v/>
      </c>
    </row>
    <row r="31">
      <c r="A31" s="16" t="inlineStr">
        <is>
          <t>Maintenance contracts</t>
        </is>
      </c>
      <c r="B31" s="16" t="inlineStr">
        <is>
          <t>May 25</t>
        </is>
      </c>
      <c r="C31" s="16" t="inlineStr">
        <is>
          <t>Locked</t>
        </is>
      </c>
      <c r="D31" s="12" t="n">
        <v>27930</v>
      </c>
      <c r="E31" s="12" t="n">
        <v>11782</v>
      </c>
      <c r="F31" s="12">
        <f>D31-E31</f>
        <v/>
      </c>
      <c r="G31" s="13">
        <f>IF(D31=0,"",F31/D31)</f>
        <v/>
      </c>
    </row>
    <row r="32">
      <c r="A32" s="16" t="inlineStr">
        <is>
          <t>Maintenance contracts</t>
        </is>
      </c>
      <c r="B32" s="16" t="inlineStr">
        <is>
          <t>Jun 25</t>
        </is>
      </c>
      <c r="C32" s="16" t="inlineStr">
        <is>
          <t>Locked</t>
        </is>
      </c>
      <c r="D32" s="12" t="n">
        <v>31870</v>
      </c>
      <c r="E32" s="12" t="n">
        <v>13446</v>
      </c>
      <c r="F32" s="12">
        <f>D32-E32</f>
        <v/>
      </c>
      <c r="G32" s="13">
        <f>IF(D32=0,"",F32/D32)</f>
        <v/>
      </c>
    </row>
    <row r="33">
      <c r="A33" s="16" t="inlineStr">
        <is>
          <t>Maintenance contracts</t>
        </is>
      </c>
      <c r="B33" s="16" t="inlineStr">
        <is>
          <t>Jul 25</t>
        </is>
      </c>
      <c r="C33" s="16" t="inlineStr">
        <is>
          <t>Locked</t>
        </is>
      </c>
      <c r="D33" s="12" t="n">
        <v>33200</v>
      </c>
      <c r="E33" s="12" t="n">
        <v>13446</v>
      </c>
      <c r="F33" s="12">
        <f>D33-E33</f>
        <v/>
      </c>
      <c r="G33" s="13">
        <f>IF(D33=0,"",F33/D33)</f>
        <v/>
      </c>
    </row>
    <row r="34">
      <c r="A34" s="16" t="inlineStr">
        <is>
          <t>Maintenance contracts</t>
        </is>
      </c>
      <c r="B34" s="16" t="inlineStr">
        <is>
          <t>Aug 25</t>
        </is>
      </c>
      <c r="C34" s="16" t="inlineStr">
        <is>
          <t>Locked</t>
        </is>
      </c>
      <c r="D34" s="12" t="n">
        <v>33200</v>
      </c>
      <c r="E34" s="12" t="n">
        <v>13446</v>
      </c>
      <c r="F34" s="12">
        <f>D34-E34</f>
        <v/>
      </c>
      <c r="G34" s="13">
        <f>IF(D34=0,"",F34/D34)</f>
        <v/>
      </c>
    </row>
    <row r="35">
      <c r="A35" s="16" t="inlineStr">
        <is>
          <t>Maintenance contracts</t>
        </is>
      </c>
      <c r="B35" s="16" t="inlineStr">
        <is>
          <t>Sep 25</t>
        </is>
      </c>
      <c r="C35" s="16" t="inlineStr">
        <is>
          <t>Locked</t>
        </is>
      </c>
      <c r="D35" s="12" t="n">
        <v>33200</v>
      </c>
      <c r="E35" s="12" t="n">
        <v>13446</v>
      </c>
      <c r="F35" s="12">
        <f>D35-E35</f>
        <v/>
      </c>
      <c r="G35" s="13">
        <f>IF(D35=0,"",F35/D35)</f>
        <v/>
      </c>
    </row>
    <row r="36">
      <c r="A36" s="16" t="inlineStr">
        <is>
          <t>Maintenance contracts</t>
        </is>
      </c>
      <c r="B36" s="16" t="inlineStr">
        <is>
          <t>Oct 25</t>
        </is>
      </c>
      <c r="C36" s="16" t="inlineStr">
        <is>
          <t>Locked</t>
        </is>
      </c>
      <c r="D36" s="12" t="n">
        <v>35800</v>
      </c>
      <c r="E36" s="12" t="n">
        <v>14516</v>
      </c>
      <c r="F36" s="12">
        <f>D36-E36</f>
        <v/>
      </c>
      <c r="G36" s="13">
        <f>IF(D36=0,"",F36/D36)</f>
        <v/>
      </c>
    </row>
    <row r="37">
      <c r="A37" s="16" t="inlineStr">
        <is>
          <t>Maintenance contracts</t>
        </is>
      </c>
      <c r="B37" s="16" t="inlineStr">
        <is>
          <t>Nov 25</t>
        </is>
      </c>
      <c r="C37" s="16" t="inlineStr">
        <is>
          <t>Locked</t>
        </is>
      </c>
      <c r="D37" s="12" t="n">
        <v>35800</v>
      </c>
      <c r="E37" s="12" t="n">
        <v>14516</v>
      </c>
      <c r="F37" s="12">
        <f>D37-E37</f>
        <v/>
      </c>
      <c r="G37" s="13">
        <f>IF(D37=0,"",F37/D37)</f>
        <v/>
      </c>
    </row>
    <row r="38">
      <c r="A38" s="16" t="inlineStr">
        <is>
          <t>Maintenance contracts</t>
        </is>
      </c>
      <c r="B38" s="16" t="inlineStr">
        <is>
          <t>Dec 25</t>
        </is>
      </c>
      <c r="C38" s="16" t="inlineStr">
        <is>
          <t>Locked</t>
        </is>
      </c>
      <c r="D38" s="12" t="n">
        <v>35800</v>
      </c>
      <c r="E38" s="12" t="n">
        <v>14516</v>
      </c>
      <c r="F38" s="12">
        <f>D38-E38</f>
        <v/>
      </c>
      <c r="G38" s="13">
        <f>IF(D38=0,"",F38/D38)</f>
        <v/>
      </c>
    </row>
    <row r="39">
      <c r="A39" s="16" t="inlineStr">
        <is>
          <t>Maintenance contracts</t>
        </is>
      </c>
      <c r="B39" s="16" t="inlineStr">
        <is>
          <t>Jan 26</t>
        </is>
      </c>
      <c r="C39" s="16" t="inlineStr">
        <is>
          <t>Locked</t>
        </is>
      </c>
      <c r="D39" s="12" t="n">
        <v>35800</v>
      </c>
      <c r="E39" s="12" t="n">
        <v>14516</v>
      </c>
      <c r="F39" s="12">
        <f>D39-E39</f>
        <v/>
      </c>
      <c r="G39" s="13">
        <f>IF(D39=0,"",F39/D39)</f>
        <v/>
      </c>
    </row>
    <row r="40">
      <c r="A40" s="16" t="inlineStr">
        <is>
          <t>Maintenance contracts</t>
        </is>
      </c>
      <c r="B40" s="16" t="inlineStr">
        <is>
          <t>Feb 26</t>
        </is>
      </c>
      <c r="C40" s="16" t="inlineStr">
        <is>
          <t>Locked</t>
        </is>
      </c>
      <c r="D40" s="12" t="n">
        <v>37500</v>
      </c>
      <c r="E40" s="12" t="n">
        <v>15158</v>
      </c>
      <c r="F40" s="12">
        <f>D40-E40</f>
        <v/>
      </c>
      <c r="G40" s="13">
        <f>IF(D40=0,"",F40/D40)</f>
        <v/>
      </c>
    </row>
    <row r="41">
      <c r="A41" s="16" t="inlineStr">
        <is>
          <t>Maintenance contracts</t>
        </is>
      </c>
      <c r="B41" s="16" t="inlineStr">
        <is>
          <t>Mar 26</t>
        </is>
      </c>
      <c r="C41" s="16" t="inlineStr">
        <is>
          <t>Locked</t>
        </is>
      </c>
      <c r="D41" s="12" t="n">
        <v>37500</v>
      </c>
      <c r="E41" s="12" t="n">
        <v>15158</v>
      </c>
      <c r="F41" s="12">
        <f>D41-E41</f>
        <v/>
      </c>
      <c r="G41" s="13">
        <f>IF(D41=0,"",F41/D41)</f>
        <v/>
      </c>
    </row>
    <row r="42">
      <c r="A42" s="16" t="inlineStr">
        <is>
          <t>Installations</t>
        </is>
      </c>
      <c r="B42" s="16" t="inlineStr">
        <is>
          <t>Oct 24</t>
        </is>
      </c>
      <c r="C42" s="16" t="inlineStr">
        <is>
          <t>Locked</t>
        </is>
      </c>
      <c r="D42" s="12" t="n">
        <v>126300</v>
      </c>
      <c r="E42" s="12" t="n">
        <v>92430</v>
      </c>
      <c r="F42" s="12">
        <f>D42-E42</f>
        <v/>
      </c>
      <c r="G42" s="13">
        <f>IF(D42=0,"",F42/D42)</f>
        <v/>
      </c>
    </row>
    <row r="43">
      <c r="A43" s="16" t="inlineStr">
        <is>
          <t>Installations</t>
        </is>
      </c>
      <c r="B43" s="16" t="inlineStr">
        <is>
          <t>Nov 24</t>
        </is>
      </c>
      <c r="C43" s="16" t="inlineStr">
        <is>
          <t>Locked</t>
        </is>
      </c>
      <c r="D43" s="12" t="n">
        <v>131400</v>
      </c>
      <c r="E43" s="12" t="n">
        <v>89070</v>
      </c>
      <c r="F43" s="12">
        <f>D43-E43</f>
        <v/>
      </c>
      <c r="G43" s="13">
        <f>IF(D43=0,"",F43/D43)</f>
        <v/>
      </c>
    </row>
    <row r="44">
      <c r="A44" s="16" t="inlineStr">
        <is>
          <t>Installations</t>
        </is>
      </c>
      <c r="B44" s="16" t="inlineStr">
        <is>
          <t>Dec 24</t>
        </is>
      </c>
      <c r="C44" s="16" t="inlineStr">
        <is>
          <t>Locked</t>
        </is>
      </c>
      <c r="D44" s="12" t="n">
        <v>92600</v>
      </c>
      <c r="E44" s="12" t="n">
        <v>59908</v>
      </c>
      <c r="F44" s="12">
        <f>D44-E44</f>
        <v/>
      </c>
      <c r="G44" s="13">
        <f>IF(D44=0,"",F44/D44)</f>
        <v/>
      </c>
    </row>
    <row r="45">
      <c r="A45" s="16" t="inlineStr">
        <is>
          <t>Installations</t>
        </is>
      </c>
      <c r="B45" s="16" t="inlineStr">
        <is>
          <t>Jan 25</t>
        </is>
      </c>
      <c r="C45" s="16" t="inlineStr">
        <is>
          <t>Locked</t>
        </is>
      </c>
      <c r="D45" s="12" t="n">
        <v>89400</v>
      </c>
      <c r="E45" s="12" t="n">
        <v>54678</v>
      </c>
      <c r="F45" s="12">
        <f>D45-E45</f>
        <v/>
      </c>
      <c r="G45" s="13">
        <f>IF(D45=0,"",F45/D45)</f>
        <v/>
      </c>
    </row>
    <row r="46">
      <c r="A46" s="16" t="inlineStr">
        <is>
          <t>Installations</t>
        </is>
      </c>
      <c r="B46" s="16" t="inlineStr">
        <is>
          <t>Feb 25</t>
        </is>
      </c>
      <c r="C46" s="16" t="inlineStr">
        <is>
          <t>Locked</t>
        </is>
      </c>
      <c r="D46" s="12" t="n">
        <v>106000</v>
      </c>
      <c r="E46" s="12" t="n">
        <v>74966</v>
      </c>
      <c r="F46" s="12">
        <f>D46-E46</f>
        <v/>
      </c>
      <c r="G46" s="13">
        <f>IF(D46=0,"",F46/D46)</f>
        <v/>
      </c>
    </row>
    <row r="47">
      <c r="A47" s="16" t="inlineStr">
        <is>
          <t>Installations</t>
        </is>
      </c>
      <c r="B47" s="16" t="inlineStr">
        <is>
          <t>Mar 25</t>
        </is>
      </c>
      <c r="C47" s="16" t="inlineStr">
        <is>
          <t>Locked</t>
        </is>
      </c>
      <c r="D47" s="12" t="n">
        <v>86100</v>
      </c>
      <c r="E47" s="12" t="n">
        <v>61664</v>
      </c>
      <c r="F47" s="12">
        <f>D47-E47</f>
        <v/>
      </c>
      <c r="G47" s="13">
        <f>IF(D47=0,"",F47/D47)</f>
        <v/>
      </c>
    </row>
    <row r="48">
      <c r="A48" s="16" t="inlineStr">
        <is>
          <t>Installations</t>
        </is>
      </c>
      <c r="B48" s="16" t="inlineStr">
        <is>
          <t>Apr 25</t>
        </is>
      </c>
      <c r="C48" s="16" t="inlineStr">
        <is>
          <t>Locked</t>
        </is>
      </c>
      <c r="D48" s="12" t="n">
        <v>74900</v>
      </c>
      <c r="E48" s="12" t="n">
        <v>52264</v>
      </c>
      <c r="F48" s="12">
        <f>D48-E48</f>
        <v/>
      </c>
      <c r="G48" s="13">
        <f>IF(D48=0,"",F48/D48)</f>
        <v/>
      </c>
    </row>
    <row r="49">
      <c r="A49" s="16" t="inlineStr">
        <is>
          <t>Installations</t>
        </is>
      </c>
      <c r="B49" s="16" t="inlineStr">
        <is>
          <t>May 25</t>
        </is>
      </c>
      <c r="C49" s="16" t="inlineStr">
        <is>
          <t>Locked</t>
        </is>
      </c>
      <c r="D49" s="12" t="n">
        <v>80300</v>
      </c>
      <c r="E49" s="12" t="n">
        <v>59534</v>
      </c>
      <c r="F49" s="12">
        <f>D49-E49</f>
        <v/>
      </c>
      <c r="G49" s="13">
        <f>IF(D49=0,"",F49/D49)</f>
        <v/>
      </c>
    </row>
    <row r="50">
      <c r="A50" s="16" t="inlineStr">
        <is>
          <t>Installations</t>
        </is>
      </c>
      <c r="B50" s="16" t="inlineStr">
        <is>
          <t>Jun 25</t>
        </is>
      </c>
      <c r="C50" s="16" t="inlineStr">
        <is>
          <t>Locked</t>
        </is>
      </c>
      <c r="D50" s="12" t="n">
        <v>112700</v>
      </c>
      <c r="E50" s="12" t="n">
        <v>72976</v>
      </c>
      <c r="F50" s="12">
        <f>D50-E50</f>
        <v/>
      </c>
      <c r="G50" s="13">
        <f>IF(D50=0,"",F50/D50)</f>
        <v/>
      </c>
    </row>
    <row r="51">
      <c r="A51" s="16" t="inlineStr">
        <is>
          <t>Installations</t>
        </is>
      </c>
      <c r="B51" s="16" t="inlineStr">
        <is>
          <t>Jul 25</t>
        </is>
      </c>
      <c r="C51" s="16" t="inlineStr">
        <is>
          <t>Locked</t>
        </is>
      </c>
      <c r="D51" s="12" t="n">
        <v>135800</v>
      </c>
      <c r="E51" s="12" t="n">
        <v>96920</v>
      </c>
      <c r="F51" s="12">
        <f>D51-E51</f>
        <v/>
      </c>
      <c r="G51" s="13">
        <f>IF(D51=0,"",F51/D51)</f>
        <v/>
      </c>
    </row>
    <row r="52">
      <c r="A52" s="16" t="inlineStr">
        <is>
          <t>Installations</t>
        </is>
      </c>
      <c r="B52" s="16" t="inlineStr">
        <is>
          <t>Aug 25</t>
        </is>
      </c>
      <c r="C52" s="16" t="inlineStr">
        <is>
          <t>Locked</t>
        </is>
      </c>
      <c r="D52" s="12" t="n">
        <v>86200</v>
      </c>
      <c r="E52" s="12" t="n">
        <v>53590</v>
      </c>
      <c r="F52" s="12">
        <f>D52-E52</f>
        <v/>
      </c>
      <c r="G52" s="13">
        <f>IF(D52=0,"",F52/D52)</f>
        <v/>
      </c>
    </row>
    <row r="53">
      <c r="A53" s="16" t="inlineStr">
        <is>
          <t>Installations</t>
        </is>
      </c>
      <c r="B53" s="16" t="inlineStr">
        <is>
          <t>Sep 25</t>
        </is>
      </c>
      <c r="C53" s="16" t="inlineStr">
        <is>
          <t>Locked</t>
        </is>
      </c>
      <c r="D53" s="12" t="n">
        <v>75100</v>
      </c>
      <c r="E53" s="12" t="n">
        <v>55440</v>
      </c>
      <c r="F53" s="12">
        <f>D53-E53</f>
        <v/>
      </c>
      <c r="G53" s="13">
        <f>IF(D53=0,"",F53/D53)</f>
        <v/>
      </c>
    </row>
    <row r="54">
      <c r="A54" s="16" t="inlineStr">
        <is>
          <t>Installations</t>
        </is>
      </c>
      <c r="B54" s="16" t="inlineStr">
        <is>
          <t>Oct 25</t>
        </is>
      </c>
      <c r="C54" s="16" t="inlineStr">
        <is>
          <t>Locked</t>
        </is>
      </c>
      <c r="D54" s="12" t="n">
        <v>70800</v>
      </c>
      <c r="E54" s="12" t="n">
        <v>52288</v>
      </c>
      <c r="F54" s="12">
        <f>D54-E54</f>
        <v/>
      </c>
      <c r="G54" s="13">
        <f>IF(D54=0,"",F54/D54)</f>
        <v/>
      </c>
    </row>
    <row r="55">
      <c r="A55" s="16" t="inlineStr">
        <is>
          <t>Installations</t>
        </is>
      </c>
      <c r="B55" s="16" t="inlineStr">
        <is>
          <t>Nov 25</t>
        </is>
      </c>
      <c r="C55" s="16" t="inlineStr">
        <is>
          <t>Locked</t>
        </is>
      </c>
      <c r="D55" s="12" t="n">
        <v>113300</v>
      </c>
      <c r="E55" s="12" t="n">
        <v>87174</v>
      </c>
      <c r="F55" s="12">
        <f>D55-E55</f>
        <v/>
      </c>
      <c r="G55" s="13">
        <f>IF(D55=0,"",F55/D55)</f>
        <v/>
      </c>
    </row>
    <row r="56">
      <c r="A56" s="16" t="inlineStr">
        <is>
          <t>Installations</t>
        </is>
      </c>
      <c r="B56" s="16" t="inlineStr">
        <is>
          <t>Dec 25</t>
        </is>
      </c>
      <c r="C56" s="16" t="inlineStr">
        <is>
          <t>Locked</t>
        </is>
      </c>
      <c r="D56" s="12" t="n">
        <v>69700</v>
      </c>
      <c r="E56" s="12" t="n">
        <v>53408</v>
      </c>
      <c r="F56" s="12">
        <f>D56-E56</f>
        <v/>
      </c>
      <c r="G56" s="13">
        <f>IF(D56=0,"",F56/D56)</f>
        <v/>
      </c>
    </row>
    <row r="57">
      <c r="A57" s="16" t="inlineStr">
        <is>
          <t>Installations</t>
        </is>
      </c>
      <c r="B57" s="16" t="inlineStr">
        <is>
          <t>Jan 26</t>
        </is>
      </c>
      <c r="C57" s="16" t="inlineStr">
        <is>
          <t>Locked</t>
        </is>
      </c>
      <c r="D57" s="12" t="n">
        <v>97500</v>
      </c>
      <c r="E57" s="12" t="n">
        <v>74216</v>
      </c>
      <c r="F57" s="12">
        <f>D57-E57</f>
        <v/>
      </c>
      <c r="G57" s="13">
        <f>IF(D57=0,"",F57/D57)</f>
        <v/>
      </c>
    </row>
    <row r="58">
      <c r="A58" s="16" t="inlineStr">
        <is>
          <t>Installations</t>
        </is>
      </c>
      <c r="B58" s="16" t="inlineStr">
        <is>
          <t>Feb 26</t>
        </is>
      </c>
      <c r="C58" s="16" t="inlineStr">
        <is>
          <t>Locked</t>
        </is>
      </c>
      <c r="D58" s="12" t="n">
        <v>129300</v>
      </c>
      <c r="E58" s="12" t="n">
        <v>88896</v>
      </c>
      <c r="F58" s="12">
        <f>D58-E58</f>
        <v/>
      </c>
      <c r="G58" s="13">
        <f>IF(D58=0,"",F58/D58)</f>
        <v/>
      </c>
    </row>
    <row r="59">
      <c r="A59" s="16" t="inlineStr">
        <is>
          <t>Installations</t>
        </is>
      </c>
      <c r="B59" s="16" t="inlineStr">
        <is>
          <t>Mar 26</t>
        </is>
      </c>
      <c r="C59" s="16" t="inlineStr">
        <is>
          <t>Locked</t>
        </is>
      </c>
      <c r="D59" s="12" t="n">
        <v>129400</v>
      </c>
      <c r="E59" s="12" t="n">
        <v>94290</v>
      </c>
      <c r="F59" s="12">
        <f>D59-E59</f>
        <v/>
      </c>
      <c r="G59" s="13">
        <f>IF(D59=0,"",F59/D59)</f>
        <v/>
      </c>
    </row>
    <row r="60">
      <c r="A60" s="16" t="inlineStr">
        <is>
          <t>Call-outs and repairs</t>
        </is>
      </c>
      <c r="B60" s="16" t="inlineStr">
        <is>
          <t>Oct 24</t>
        </is>
      </c>
      <c r="C60" s="16" t="inlineStr">
        <is>
          <t>Locked</t>
        </is>
      </c>
      <c r="D60" s="12" t="n">
        <v>20039</v>
      </c>
      <c r="E60" s="12" t="n">
        <v>11484</v>
      </c>
      <c r="F60" s="12">
        <f>D60-E60</f>
        <v/>
      </c>
      <c r="G60" s="13">
        <f>IF(D60=0,"",F60/D60)</f>
        <v/>
      </c>
    </row>
    <row r="61">
      <c r="A61" s="16" t="inlineStr">
        <is>
          <t>Call-outs and repairs</t>
        </is>
      </c>
      <c r="B61" s="16" t="inlineStr">
        <is>
          <t>Nov 24</t>
        </is>
      </c>
      <c r="C61" s="16" t="inlineStr">
        <is>
          <t>Locked</t>
        </is>
      </c>
      <c r="D61" s="12" t="n">
        <v>23404</v>
      </c>
      <c r="E61" s="12" t="n">
        <v>13526</v>
      </c>
      <c r="F61" s="12">
        <f>D61-E61</f>
        <v/>
      </c>
      <c r="G61" s="13">
        <f>IF(D61=0,"",F61/D61)</f>
        <v/>
      </c>
    </row>
    <row r="62">
      <c r="A62" s="16" t="inlineStr">
        <is>
          <t>Call-outs and repairs</t>
        </is>
      </c>
      <c r="B62" s="16" t="inlineStr">
        <is>
          <t>Dec 24</t>
        </is>
      </c>
      <c r="C62" s="16" t="inlineStr">
        <is>
          <t>Locked</t>
        </is>
      </c>
      <c r="D62" s="12" t="n">
        <v>25886</v>
      </c>
      <c r="E62" s="12" t="n">
        <v>14988</v>
      </c>
      <c r="F62" s="12">
        <f>D62-E62</f>
        <v/>
      </c>
      <c r="G62" s="13">
        <f>IF(D62=0,"",F62/D62)</f>
        <v/>
      </c>
    </row>
    <row r="63">
      <c r="A63" s="16" t="inlineStr">
        <is>
          <t>Call-outs and repairs</t>
        </is>
      </c>
      <c r="B63" s="16" t="inlineStr">
        <is>
          <t>Jan 25</t>
        </is>
      </c>
      <c r="C63" s="16" t="inlineStr">
        <is>
          <t>Locked</t>
        </is>
      </c>
      <c r="D63" s="12" t="n">
        <v>26839</v>
      </c>
      <c r="E63" s="12" t="n">
        <v>15644</v>
      </c>
      <c r="F63" s="12">
        <f>D63-E63</f>
        <v/>
      </c>
      <c r="G63" s="13">
        <f>IF(D63=0,"",F63/D63)</f>
        <v/>
      </c>
    </row>
    <row r="64">
      <c r="A64" s="16" t="inlineStr">
        <is>
          <t>Call-outs and repairs</t>
        </is>
      </c>
      <c r="B64" s="16" t="inlineStr">
        <is>
          <t>Feb 25</t>
        </is>
      </c>
      <c r="C64" s="16" t="inlineStr">
        <is>
          <t>Locked</t>
        </is>
      </c>
      <c r="D64" s="12" t="n">
        <v>27013</v>
      </c>
      <c r="E64" s="12" t="n">
        <v>15600</v>
      </c>
      <c r="F64" s="12">
        <f>D64-E64</f>
        <v/>
      </c>
      <c r="G64" s="13">
        <f>IF(D64=0,"",F64/D64)</f>
        <v/>
      </c>
    </row>
    <row r="65">
      <c r="A65" s="16" t="inlineStr">
        <is>
          <t>Call-outs and repairs</t>
        </is>
      </c>
      <c r="B65" s="16" t="inlineStr">
        <is>
          <t>Mar 25</t>
        </is>
      </c>
      <c r="C65" s="16" t="inlineStr">
        <is>
          <t>Locked</t>
        </is>
      </c>
      <c r="D65" s="12" t="n">
        <v>21052</v>
      </c>
      <c r="E65" s="12" t="n">
        <v>12306</v>
      </c>
      <c r="F65" s="12">
        <f>D65-E65</f>
        <v/>
      </c>
      <c r="G65" s="13">
        <f>IF(D65=0,"",F65/D65)</f>
        <v/>
      </c>
    </row>
    <row r="66">
      <c r="A66" s="16" t="inlineStr">
        <is>
          <t>Call-outs and repairs</t>
        </is>
      </c>
      <c r="B66" s="16" t="inlineStr">
        <is>
          <t>Apr 25</t>
        </is>
      </c>
      <c r="C66" s="16" t="inlineStr">
        <is>
          <t>Locked</t>
        </is>
      </c>
      <c r="D66" s="12" t="n">
        <v>21875</v>
      </c>
      <c r="E66" s="12" t="n">
        <v>12762</v>
      </c>
      <c r="F66" s="12">
        <f>D66-E66</f>
        <v/>
      </c>
      <c r="G66" s="13">
        <f>IF(D66=0,"",F66/D66)</f>
        <v/>
      </c>
    </row>
    <row r="67">
      <c r="A67" s="16" t="inlineStr">
        <is>
          <t>Call-outs and repairs</t>
        </is>
      </c>
      <c r="B67" s="16" t="inlineStr">
        <is>
          <t>May 25</t>
        </is>
      </c>
      <c r="C67" s="16" t="inlineStr">
        <is>
          <t>Locked</t>
        </is>
      </c>
      <c r="D67" s="12" t="n">
        <v>21586</v>
      </c>
      <c r="E67" s="12" t="n">
        <v>12384</v>
      </c>
      <c r="F67" s="12">
        <f>D67-E67</f>
        <v/>
      </c>
      <c r="G67" s="13">
        <f>IF(D67=0,"",F67/D67)</f>
        <v/>
      </c>
    </row>
    <row r="68">
      <c r="A68" s="16" t="inlineStr">
        <is>
          <t>Call-outs and repairs</t>
        </is>
      </c>
      <c r="B68" s="16" t="inlineStr">
        <is>
          <t>Jun 25</t>
        </is>
      </c>
      <c r="C68" s="16" t="inlineStr">
        <is>
          <t>Locked</t>
        </is>
      </c>
      <c r="D68" s="12" t="n">
        <v>19543</v>
      </c>
      <c r="E68" s="12" t="n">
        <v>11162</v>
      </c>
      <c r="F68" s="12">
        <f>D68-E68</f>
        <v/>
      </c>
      <c r="G68" s="13">
        <f>IF(D68=0,"",F68/D68)</f>
        <v/>
      </c>
    </row>
    <row r="69">
      <c r="A69" s="16" t="inlineStr">
        <is>
          <t>Call-outs and repairs</t>
        </is>
      </c>
      <c r="B69" s="16" t="inlineStr">
        <is>
          <t>Jul 25</t>
        </is>
      </c>
      <c r="C69" s="16" t="inlineStr">
        <is>
          <t>Locked</t>
        </is>
      </c>
      <c r="D69" s="12" t="n">
        <v>17760</v>
      </c>
      <c r="E69" s="12" t="n">
        <v>9960</v>
      </c>
      <c r="F69" s="12">
        <f>D69-E69</f>
        <v/>
      </c>
      <c r="G69" s="13">
        <f>IF(D69=0,"",F69/D69)</f>
        <v/>
      </c>
    </row>
    <row r="70">
      <c r="A70" s="16" t="inlineStr">
        <is>
          <t>Call-outs and repairs</t>
        </is>
      </c>
      <c r="B70" s="16" t="inlineStr">
        <is>
          <t>Aug 25</t>
        </is>
      </c>
      <c r="C70" s="16" t="inlineStr">
        <is>
          <t>Locked</t>
        </is>
      </c>
      <c r="D70" s="12" t="n">
        <v>19764</v>
      </c>
      <c r="E70" s="12" t="n">
        <v>11222</v>
      </c>
      <c r="F70" s="12">
        <f>D70-E70</f>
        <v/>
      </c>
      <c r="G70" s="13">
        <f>IF(D70=0,"",F70/D70)</f>
        <v/>
      </c>
    </row>
    <row r="71">
      <c r="A71" s="16" t="inlineStr">
        <is>
          <t>Call-outs and repairs</t>
        </is>
      </c>
      <c r="B71" s="16" t="inlineStr">
        <is>
          <t>Sep 25</t>
        </is>
      </c>
      <c r="C71" s="16" t="inlineStr">
        <is>
          <t>Locked</t>
        </is>
      </c>
      <c r="D71" s="12" t="n">
        <v>19955</v>
      </c>
      <c r="E71" s="12" t="n">
        <v>11168</v>
      </c>
      <c r="F71" s="12">
        <f>D71-E71</f>
        <v/>
      </c>
      <c r="G71" s="13">
        <f>IF(D71=0,"",F71/D71)</f>
        <v/>
      </c>
    </row>
    <row r="72">
      <c r="A72" s="16" t="inlineStr">
        <is>
          <t>Call-outs and repairs</t>
        </is>
      </c>
      <c r="B72" s="16" t="inlineStr">
        <is>
          <t>Oct 25</t>
        </is>
      </c>
      <c r="C72" s="16" t="inlineStr">
        <is>
          <t>Locked</t>
        </is>
      </c>
      <c r="D72" s="12" t="n">
        <v>22298</v>
      </c>
      <c r="E72" s="12" t="n">
        <v>12648</v>
      </c>
      <c r="F72" s="12">
        <f>D72-E72</f>
        <v/>
      </c>
      <c r="G72" s="13">
        <f>IF(D72=0,"",F72/D72)</f>
        <v/>
      </c>
    </row>
    <row r="73">
      <c r="A73" s="16" t="inlineStr">
        <is>
          <t>Call-outs and repairs</t>
        </is>
      </c>
      <c r="B73" s="16" t="inlineStr">
        <is>
          <t>Nov 25</t>
        </is>
      </c>
      <c r="C73" s="16" t="inlineStr">
        <is>
          <t>Locked</t>
        </is>
      </c>
      <c r="D73" s="12" t="n">
        <v>25686</v>
      </c>
      <c r="E73" s="12" t="n">
        <v>14252</v>
      </c>
      <c r="F73" s="12">
        <f>D73-E73</f>
        <v/>
      </c>
      <c r="G73" s="13">
        <f>IF(D73=0,"",F73/D73)</f>
        <v/>
      </c>
    </row>
    <row r="74">
      <c r="A74" s="16" t="inlineStr">
        <is>
          <t>Call-outs and repairs</t>
        </is>
      </c>
      <c r="B74" s="16" t="inlineStr">
        <is>
          <t>Dec 25</t>
        </is>
      </c>
      <c r="C74" s="16" t="inlineStr">
        <is>
          <t>Locked</t>
        </is>
      </c>
      <c r="D74" s="12" t="n">
        <v>29579</v>
      </c>
      <c r="E74" s="12" t="n">
        <v>16702</v>
      </c>
      <c r="F74" s="12">
        <f>D74-E74</f>
        <v/>
      </c>
      <c r="G74" s="13">
        <f>IF(D74=0,"",F74/D74)</f>
        <v/>
      </c>
    </row>
    <row r="75">
      <c r="A75" s="16" t="inlineStr">
        <is>
          <t>Call-outs and repairs</t>
        </is>
      </c>
      <c r="B75" s="16" t="inlineStr">
        <is>
          <t>Jan 26</t>
        </is>
      </c>
      <c r="C75" s="16" t="inlineStr">
        <is>
          <t>Locked</t>
        </is>
      </c>
      <c r="D75" s="12" t="n">
        <v>31480</v>
      </c>
      <c r="E75" s="12" t="n">
        <v>17858</v>
      </c>
      <c r="F75" s="12">
        <f>D75-E75</f>
        <v/>
      </c>
      <c r="G75" s="13">
        <f>IF(D75=0,"",F75/D75)</f>
        <v/>
      </c>
    </row>
    <row r="76">
      <c r="A76" s="16" t="inlineStr">
        <is>
          <t>Call-outs and repairs</t>
        </is>
      </c>
      <c r="B76" s="16" t="inlineStr">
        <is>
          <t>Feb 26</t>
        </is>
      </c>
      <c r="C76" s="16" t="inlineStr">
        <is>
          <t>Locked</t>
        </is>
      </c>
      <c r="D76" s="12" t="n">
        <v>29572</v>
      </c>
      <c r="E76" s="12" t="n">
        <v>16608</v>
      </c>
      <c r="F76" s="12">
        <f>D76-E76</f>
        <v/>
      </c>
      <c r="G76" s="13">
        <f>IF(D76=0,"",F76/D76)</f>
        <v/>
      </c>
    </row>
    <row r="77">
      <c r="A77" s="16" t="inlineStr">
        <is>
          <t>Call-outs and repairs</t>
        </is>
      </c>
      <c r="B77" s="16" t="inlineStr">
        <is>
          <t>Mar 26</t>
        </is>
      </c>
      <c r="C77" s="16" t="inlineStr">
        <is>
          <t>Locked</t>
        </is>
      </c>
      <c r="D77" s="12" t="n">
        <v>24600</v>
      </c>
      <c r="E77" s="12" t="n">
        <v>13894</v>
      </c>
      <c r="F77" s="12">
        <f>D77-E77</f>
        <v/>
      </c>
      <c r="G77" s="13">
        <f>IF(D77=0,"",F77/D77)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3" min="0" max="16383" man="1"/>
    <brk id="41" min="0" max="16383" man="1"/>
    <brk id="59"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March 2026 · Data status: Feb 2026 locked · Mar 2026 locked · Oct 2026 incomplete (data retrieved 2pm, Tue 6 Oct 2026) · Generated 8 Oct 2026, 9:35am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317800</v>
      </c>
      <c r="C6" s="12" t="n"/>
      <c r="D6" s="13">
        <f>IF(C6=0,"",B6/C6-1)</f>
        <v/>
      </c>
      <c r="E6" s="12" t="n">
        <v>189082</v>
      </c>
      <c r="F6" s="13">
        <f>IF(B6=0,"",E6/B6)</f>
        <v/>
      </c>
    </row>
    <row r="7">
      <c r="A7" s="16" t="inlineStr">
        <is>
          <t>Installations</t>
        </is>
      </c>
      <c r="B7" s="12" t="n">
        <v>907100</v>
      </c>
      <c r="C7" s="12" t="n"/>
      <c r="D7" s="13">
        <f>IF(C7=0,"",B7/C7-1)</f>
        <v/>
      </c>
      <c r="E7" s="12" t="n">
        <v>250878</v>
      </c>
      <c r="F7" s="13">
        <f>IF(B7=0,"",E7/B7)</f>
        <v/>
      </c>
    </row>
    <row r="8">
      <c r="A8" s="16" t="inlineStr">
        <is>
          <t>Call-outs and repairs</t>
        </is>
      </c>
      <c r="B8" s="12" t="n">
        <v>220694</v>
      </c>
      <c r="C8" s="12" t="n"/>
      <c r="D8" s="13">
        <f>IF(C8=0,"",B8/C8-1)</f>
        <v/>
      </c>
      <c r="E8" s="12" t="n">
        <v>96382</v>
      </c>
      <c r="F8" s="13">
        <f>IF(B8=0,"",E8/B8)</f>
        <v/>
      </c>
    </row>
    <row r="9">
      <c r="A9" s="16" t="inlineStr">
        <is>
          <t>Total</t>
        </is>
      </c>
      <c r="B9" s="12" t="n">
        <v>1445594</v>
      </c>
      <c r="C9" s="12" t="n"/>
      <c r="D9" s="13">
        <f>IF(C9=0,"",B9/C9-1)</f>
        <v/>
      </c>
      <c r="E9" s="12" t="n">
        <v>536342</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2026-10-07T23:35:58Z</dcterms:created>
  <dcterms:modified xmlns:dcterms="http://purl.org/dc/terms/" xmlns:xsi="http://www.w3.org/2001/XMLSchema-instance" xsi:type="dcterms:W3CDTF">2026-10-07T23:35:58Z</dcterms:modified>
</cp:coreProperties>
</file>