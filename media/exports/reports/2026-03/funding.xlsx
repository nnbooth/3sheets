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'Report'!$B$51</definedName>
    <definedName name="Dearest_to_raise_Donations">'Report'!$B$52</definedName>
    <definedName name="Raised_year_to_date">'Report'!$B$53</definedName>
    <definedName name="_xlnm.Print_Area" localSheetId="0">'Report'!$A$1:$E$61</definedName>
    <definedName name="_xlnm.Print_Area" localSheetId="1">'Workings'!$A$1:$B$47</definedName>
    <definedName name="_xlnm.Print_Titles" localSheetId="2">'Data'!$5:$5</definedName>
    <definedName name="_xlnm.Print_Area" localSheetId="2">'Data'!$A$1:$G$59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March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'Report'!$A$10:$A$11</f>
            </numRef>
          </cat>
          <val>
            <numRef>
              <f>'Report'!$B$10:$B$11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'Data'!$D$6:$D$23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'Data'!$D$24:$D$41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'Data'!$D$42:$D$59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9" headerRowCount="1">
  <autoFilter ref="A5:G59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March 2026 (cents)</t>
        </is>
      </c>
    </row>
    <row r="9">
      <c r="A9" s="6" t="inlineStr"/>
      <c r="B9" s="7" t="inlineStr">
        <is>
          <t>Cost to raise a dollar</t>
        </is>
      </c>
    </row>
    <row r="10">
      <c r="A10" t="inlineStr">
        <is>
          <t>Grants</t>
        </is>
      </c>
      <c r="B10" s="8" t="n">
        <v>13</v>
      </c>
    </row>
    <row r="11">
      <c r="A11" t="inlineStr">
        <is>
          <t>Donations</t>
        </is>
      </c>
      <c r="B11" s="8" t="n">
        <v>13</v>
      </c>
    </row>
    <row r="12"/>
    <row r="13"/>
    <row r="14"/>
    <row r="15"/>
    <row r="16"/>
    <row r="17"/>
    <row r="18"/>
    <row r="19"/>
    <row r="20"/>
    <row r="21"/>
    <row r="22">
      <c r="A22" s="9" t="inlineStr">
        <is>
          <t>What it shows</t>
        </is>
      </c>
    </row>
    <row r="23" ht="30" customHeight="1">
      <c r="A23" s="3" t="inlineStr">
        <is>
          <t>In March it cost: Grants 13¢, donations 13¢ to raise each dollar.</t>
        </is>
      </c>
    </row>
    <row r="24"/>
    <row r="25">
      <c r="A25" s="9" t="inlineStr">
        <is>
          <t>What you'd do about it</t>
        </is>
      </c>
    </row>
    <row r="26" ht="30" customHeight="1">
      <c r="A26" s="3" t="inlineStr">
        <is>
          <t>Cheapest to raise in March: grants (13¢ a dollar). Dearest: donations (13¢). Events are worth counting for what else they bring too (new donors, profile).</t>
        </is>
      </c>
    </row>
    <row r="27"/>
    <row r="28">
      <c r="A28" s="4" t="inlineStr">
        <is>
          <t>Source: Grants</t>
        </is>
      </c>
    </row>
    <row r="29">
      <c r="A29" s="9" t="inlineStr">
        <is>
          <t>What it shows</t>
        </is>
      </c>
    </row>
    <row r="30" ht="30" customHeight="1">
      <c r="A30" s="3" t="inlineStr">
        <is>
          <t>Grants: $560,236 raised this financial year to date (74.1% of everything raised), $63,900 to raise it, so $496,336 left for programs: 11¢ per dollar.</t>
        </is>
      </c>
    </row>
    <row r="31"/>
    <row r="32">
      <c r="A32" s="9" t="inlineStr">
        <is>
          <t>What you'd do about it</t>
        </is>
      </c>
    </row>
    <row r="33" ht="30" customHeight="1">
      <c r="A33" s="3" t="inlineStr">
        <is>
          <t>Most of the money, and usually the cheapest to raise, starting with grants that renew.</t>
        </is>
      </c>
    </row>
    <row r="34"/>
    <row r="35">
      <c r="A35" s="4" t="inlineStr">
        <is>
          <t>Source: Donations</t>
        </is>
      </c>
    </row>
    <row r="36">
      <c r="A36" s="9" t="inlineStr">
        <is>
          <t>What it shows</t>
        </is>
      </c>
    </row>
    <row r="37" ht="30" customHeight="1">
      <c r="A37" s="3" t="inlineStr">
        <is>
          <t>Donations: $152,600 raised this financial year to date (20.2% of everything raised), $22,900 to raise it, so $129,700 left for programs: 15¢ per dollar.</t>
        </is>
      </c>
    </row>
    <row r="38"/>
    <row r="39">
      <c r="A39" s="9" t="inlineStr">
        <is>
          <t>What you'd do about it</t>
        </is>
      </c>
    </row>
    <row r="40" ht="30" customHeight="1">
      <c r="A40" s="3" t="inlineStr">
        <is>
          <t>Cheap and flexible (untied): the money that builds reserves.</t>
        </is>
      </c>
    </row>
    <row r="41"/>
    <row r="42">
      <c r="A42" s="4" t="inlineStr">
        <is>
          <t>Source: Fundraising events</t>
        </is>
      </c>
    </row>
    <row r="43">
      <c r="A43" s="9" t="inlineStr">
        <is>
          <t>What it shows</t>
        </is>
      </c>
    </row>
    <row r="44" ht="30" customHeight="1">
      <c r="A44" s="3" t="inlineStr">
        <is>
          <t>Fundraising events: $43,000 raised this financial year to date (5.7% of everything raised), $17,800 to raise it, so $25,200 left for programs: 41¢ per dollar.</t>
        </is>
      </c>
    </row>
    <row r="45"/>
    <row r="46">
      <c r="A46" s="9" t="inlineStr">
        <is>
          <t>What you'd do about it</t>
        </is>
      </c>
    </row>
    <row r="47" ht="30" customHeight="1">
      <c r="A47" s="3" t="inlineStr">
        <is>
          <t>The dearest per dollar: worth measuring the new donors each event brings in too.</t>
        </is>
      </c>
    </row>
    <row r="48"/>
    <row r="49">
      <c r="A49" s="4" t="inlineStr">
        <is>
          <t>Every source at once</t>
        </is>
      </c>
    </row>
    <row r="50">
      <c r="A50" s="6" t="inlineStr">
        <is>
          <t>Headline number</t>
        </is>
      </c>
      <c r="B50" s="7" t="inlineStr">
        <is>
          <t>Value</t>
        </is>
      </c>
      <c r="C50" s="7" t="inlineStr">
        <is>
          <t>Compared with</t>
        </is>
      </c>
    </row>
    <row r="51">
      <c r="A51" t="inlineStr">
        <is>
          <t>Cheapest to raise: Grants</t>
        </is>
      </c>
      <c r="B51" s="8">
        <f>Workings!B25</f>
        <v/>
      </c>
      <c r="C51" s="10" t="inlineStr">
        <is>
          <t>per $1 raised in March</t>
        </is>
      </c>
    </row>
    <row r="52">
      <c r="A52" t="inlineStr">
        <is>
          <t>Dearest to raise: Donations</t>
        </is>
      </c>
      <c r="B52" s="8">
        <f>Workings!B37</f>
        <v/>
      </c>
      <c r="C52" s="10" t="inlineStr">
        <is>
          <t>per $1 raised in March</t>
        </is>
      </c>
    </row>
    <row r="53">
      <c r="A53" t="inlineStr">
        <is>
          <t>Raised, year to date</t>
        </is>
      </c>
      <c r="B53" s="11">
        <f>Workings!B47</f>
        <v/>
      </c>
      <c r="C53" s="10" t="inlineStr">
        <is>
          <t>Jul to Mar 2026</t>
        </is>
      </c>
    </row>
    <row r="54"/>
    <row r="55">
      <c r="A55" s="12" t="inlineStr">
        <is>
          <t>Raised and left after costs, by month: every month is on the Data sheet.</t>
        </is>
      </c>
    </row>
    <row r="56"/>
    <row r="57">
      <c r="A57" s="5" t="inlineStr">
        <is>
          <t>Financial year to date (Jul to Mar 2026), by source</t>
        </is>
      </c>
    </row>
    <row r="58">
      <c r="A58" s="6" t="inlineStr"/>
      <c r="B58" s="7" t="inlineStr">
        <is>
          <t>Raised</t>
        </is>
      </c>
      <c r="C58" s="7" t="inlineStr">
        <is>
          <t>Cost of raising it</t>
        </is>
      </c>
      <c r="D58" s="7" t="inlineStr">
        <is>
          <t>Left after costs</t>
        </is>
      </c>
      <c r="E58" s="7" t="inlineStr">
        <is>
          <t>Cost per $1</t>
        </is>
      </c>
    </row>
    <row r="59">
      <c r="A59" s="13" t="inlineStr">
        <is>
          <t>Grants</t>
        </is>
      </c>
      <c r="B59" s="14" t="inlineStr">
        <is>
          <t>$560,236</t>
        </is>
      </c>
      <c r="C59" s="14" t="inlineStr">
        <is>
          <t>$63,900</t>
        </is>
      </c>
      <c r="D59" s="14" t="inlineStr">
        <is>
          <t>$496,336</t>
        </is>
      </c>
      <c r="E59" s="14" t="inlineStr">
        <is>
          <t>11¢</t>
        </is>
      </c>
    </row>
    <row r="60">
      <c r="A60" s="13" t="inlineStr">
        <is>
          <t>Donations</t>
        </is>
      </c>
      <c r="B60" s="14" t="inlineStr">
        <is>
          <t>$152,600</t>
        </is>
      </c>
      <c r="C60" s="14" t="inlineStr">
        <is>
          <t>$22,900</t>
        </is>
      </c>
      <c r="D60" s="14" t="inlineStr">
        <is>
          <t>$129,700</t>
        </is>
      </c>
      <c r="E60" s="14" t="inlineStr">
        <is>
          <t>15¢</t>
        </is>
      </c>
    </row>
    <row r="61">
      <c r="A61" s="13" t="inlineStr">
        <is>
          <t>Fundraising events</t>
        </is>
      </c>
      <c r="B61" s="14" t="inlineStr">
        <is>
          <t>$43,000</t>
        </is>
      </c>
      <c r="C61" s="14" t="inlineStr">
        <is>
          <t>$17,800</t>
        </is>
      </c>
      <c r="D61" s="14" t="inlineStr">
        <is>
          <t>$25,200</t>
        </is>
      </c>
      <c r="E61" s="14" t="inlineStr">
        <is>
          <t>41¢</t>
        </is>
      </c>
    </row>
    <row r="62"/>
    <row r="63"/>
  </sheetData>
  <mergeCells count="9">
    <mergeCell ref="A5:D5"/>
    <mergeCell ref="A23:D23"/>
    <mergeCell ref="A37:D37"/>
    <mergeCell ref="A40:D40"/>
    <mergeCell ref="A26:D26"/>
    <mergeCell ref="A30:D30"/>
    <mergeCell ref="A33:D33"/>
    <mergeCell ref="A47:D47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28" min="0" max="16383" man="1"/>
    <brk id="49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>
      <c r="A5" s="4" t="inlineStr">
        <is>
          <t>Cost to raise a dollar, by source, March 2026</t>
        </is>
      </c>
    </row>
    <row r="6">
      <c r="A6" s="12" t="inlineStr">
        <is>
          <t>Fundraising cost ÷ money raised, for each source, in cents</t>
        </is>
      </c>
    </row>
    <row r="7">
      <c r="A7" s="6" t="inlineStr"/>
      <c r="B7" s="7" t="inlineStr">
        <is>
          <t>Mar 2026</t>
        </is>
      </c>
    </row>
    <row r="8">
      <c r="A8" t="inlineStr">
        <is>
          <t>Grants: cost (grant writing and reporting)</t>
        </is>
      </c>
      <c r="B8" s="15" t="n">
        <v>7100</v>
      </c>
    </row>
    <row r="9">
      <c r="A9" t="inlineStr">
        <is>
          <t>Grants: raised</t>
        </is>
      </c>
      <c r="B9" s="15" t="n">
        <v>53806</v>
      </c>
    </row>
    <row r="10">
      <c r="A10" t="inlineStr">
        <is>
          <t>Donations: cost (donor campaigns)</t>
        </is>
      </c>
      <c r="B10" s="15" t="n">
        <v>2200</v>
      </c>
    </row>
    <row r="11">
      <c r="A11" t="inlineStr">
        <is>
          <t>Donations: raised</t>
        </is>
      </c>
      <c r="B11" s="15" t="n">
        <v>16500</v>
      </c>
    </row>
    <row r="12">
      <c r="A12" t="inlineStr">
        <is>
          <t>Grants: cost per dollar raised</t>
        </is>
      </c>
      <c r="B12" s="16">
        <f>B8/B9*100</f>
        <v/>
      </c>
    </row>
    <row r="13">
      <c r="A13" s="17" t="inlineStr">
        <is>
          <t>Donations: cost per dollar raised</t>
        </is>
      </c>
      <c r="B13" s="18">
        <f>B10/B11*100</f>
        <v/>
      </c>
    </row>
    <row r="14">
      <c r="A14" s="2" t="inlineStr">
        <is>
          <t xml:space="preserve">Nothing raised from fundraising events in March. </t>
        </is>
      </c>
    </row>
    <row r="15"/>
    <row r="16"/>
    <row r="17">
      <c r="A17" s="4" t="inlineStr">
        <is>
          <t>Cost to raise a dollar, by source, March 2026</t>
        </is>
      </c>
    </row>
    <row r="18">
      <c r="A18" s="12" t="inlineStr">
        <is>
          <t>Fundraising cost ÷ money raised, for each source, in cents</t>
        </is>
      </c>
    </row>
    <row r="19">
      <c r="A19" s="6" t="inlineStr"/>
      <c r="B19" s="7" t="inlineStr">
        <is>
          <t>Mar 2026</t>
        </is>
      </c>
    </row>
    <row r="20">
      <c r="A20" t="inlineStr">
        <is>
          <t>Grants: cost (grant writing and reporting)</t>
        </is>
      </c>
      <c r="B20" s="15" t="n">
        <v>7100</v>
      </c>
    </row>
    <row r="21">
      <c r="A21" t="inlineStr">
        <is>
          <t>Grants: raised</t>
        </is>
      </c>
      <c r="B21" s="15" t="n">
        <v>53806</v>
      </c>
    </row>
    <row r="22">
      <c r="A22" t="inlineStr">
        <is>
          <t>Donations: cost (donor campaigns)</t>
        </is>
      </c>
      <c r="B22" s="15" t="n">
        <v>2200</v>
      </c>
    </row>
    <row r="23">
      <c r="A23" t="inlineStr">
        <is>
          <t>Donations: raised</t>
        </is>
      </c>
      <c r="B23" s="15" t="n">
        <v>16500</v>
      </c>
    </row>
    <row r="24">
      <c r="A24" t="inlineStr">
        <is>
          <t>Grants: cost per dollar raised</t>
        </is>
      </c>
      <c r="B24" s="16">
        <f>B20/B21*100</f>
        <v/>
      </c>
    </row>
    <row r="25">
      <c r="A25" s="17" t="inlineStr">
        <is>
          <t>Donations: cost per dollar raised</t>
        </is>
      </c>
      <c r="B25" s="18">
        <f>B22/B23*100</f>
        <v/>
      </c>
    </row>
    <row r="26">
      <c r="A26" s="2" t="inlineStr">
        <is>
          <t xml:space="preserve">Nothing raised from fundraising events in March. </t>
        </is>
      </c>
    </row>
    <row r="27"/>
    <row r="28"/>
    <row r="29">
      <c r="A29" s="4" t="inlineStr">
        <is>
          <t>Cost to raise a dollar, by source, March 2026</t>
        </is>
      </c>
    </row>
    <row r="30">
      <c r="A30" s="12" t="inlineStr">
        <is>
          <t>Fundraising cost ÷ money raised, for each source, in cents</t>
        </is>
      </c>
    </row>
    <row r="31">
      <c r="A31" s="6" t="inlineStr"/>
      <c r="B31" s="7" t="inlineStr">
        <is>
          <t>Mar 2026</t>
        </is>
      </c>
    </row>
    <row r="32">
      <c r="A32" t="inlineStr">
        <is>
          <t>Grants: cost (grant writing and reporting)</t>
        </is>
      </c>
      <c r="B32" s="15" t="n">
        <v>7100</v>
      </c>
    </row>
    <row r="33">
      <c r="A33" t="inlineStr">
        <is>
          <t>Grants: raised</t>
        </is>
      </c>
      <c r="B33" s="15" t="n">
        <v>53806</v>
      </c>
    </row>
    <row r="34">
      <c r="A34" t="inlineStr">
        <is>
          <t>Donations: cost (donor campaigns)</t>
        </is>
      </c>
      <c r="B34" s="15" t="n">
        <v>2200</v>
      </c>
    </row>
    <row r="35">
      <c r="A35" t="inlineStr">
        <is>
          <t>Donations: raised</t>
        </is>
      </c>
      <c r="B35" s="15" t="n">
        <v>16500</v>
      </c>
    </row>
    <row r="36">
      <c r="A36" t="inlineStr">
        <is>
          <t>Grants: cost per dollar raised</t>
        </is>
      </c>
      <c r="B36" s="16">
        <f>B32/B33*100</f>
        <v/>
      </c>
    </row>
    <row r="37">
      <c r="A37" s="17" t="inlineStr">
        <is>
          <t>Donations: cost per dollar raised</t>
        </is>
      </c>
      <c r="B37" s="18">
        <f>B34/B35*100</f>
        <v/>
      </c>
    </row>
    <row r="38">
      <c r="A38" s="2" t="inlineStr">
        <is>
          <t xml:space="preserve">Nothing raised from fundraising events in March. </t>
        </is>
      </c>
    </row>
    <row r="39"/>
    <row r="40"/>
    <row r="41">
      <c r="A41" s="4" t="inlineStr">
        <is>
          <t>Raised, financial year to date (Jul to Mar 2026)</t>
        </is>
      </c>
    </row>
    <row r="42">
      <c r="A42" s="12" t="inlineStr">
        <is>
          <t>Grants + donations + fundraising events</t>
        </is>
      </c>
    </row>
    <row r="43">
      <c r="A43" s="6" t="inlineStr"/>
      <c r="B43" s="7" t="inlineStr">
        <is>
          <t>Year to date</t>
        </is>
      </c>
    </row>
    <row r="44">
      <c r="A44" t="inlineStr">
        <is>
          <t>Grants, raised</t>
        </is>
      </c>
      <c r="B44" s="15" t="n">
        <v>560236</v>
      </c>
    </row>
    <row r="45">
      <c r="A45" t="inlineStr">
        <is>
          <t>Donations, raised</t>
        </is>
      </c>
      <c r="B45" s="15" t="n">
        <v>152600</v>
      </c>
    </row>
    <row r="46">
      <c r="A46" t="inlineStr">
        <is>
          <t>Fundraising events, raised</t>
        </is>
      </c>
      <c r="B46" s="15" t="n">
        <v>43000</v>
      </c>
    </row>
    <row r="47">
      <c r="A47" s="17" t="inlineStr">
        <is>
          <t>Raised, year to date</t>
        </is>
      </c>
      <c r="B47" s="19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20" t="inlineStr">
        <is>
          <t>Grants</t>
        </is>
      </c>
      <c r="B6" s="20" t="inlineStr">
        <is>
          <t>Oct 24</t>
        </is>
      </c>
      <c r="C6" s="20" t="inlineStr">
        <is>
          <t>Locked</t>
        </is>
      </c>
      <c r="D6" s="15" t="n">
        <v>26600</v>
      </c>
      <c r="E6" s="15" t="n">
        <v>6500</v>
      </c>
      <c r="F6" s="15">
        <f>D6-E6</f>
        <v/>
      </c>
      <c r="G6" s="16">
        <f>IF(D6=0,"",E6/D6*100)</f>
        <v/>
      </c>
    </row>
    <row r="7">
      <c r="A7" s="20" t="inlineStr">
        <is>
          <t>Grants</t>
        </is>
      </c>
      <c r="B7" s="20" t="inlineStr">
        <is>
          <t>Nov 24</t>
        </is>
      </c>
      <c r="C7" s="20" t="inlineStr">
        <is>
          <t>Locked</t>
        </is>
      </c>
      <c r="D7" s="15" t="n">
        <v>31800</v>
      </c>
      <c r="E7" s="15" t="n">
        <v>6500</v>
      </c>
      <c r="F7" s="15">
        <f>D7-E7</f>
        <v/>
      </c>
      <c r="G7" s="16">
        <f>IF(D7=0,"",E7/D7*100)</f>
        <v/>
      </c>
    </row>
    <row r="8">
      <c r="A8" s="20" t="inlineStr">
        <is>
          <t>Grants</t>
        </is>
      </c>
      <c r="B8" s="20" t="inlineStr">
        <is>
          <t>Dec 24</t>
        </is>
      </c>
      <c r="C8" s="20" t="inlineStr">
        <is>
          <t>Locked</t>
        </is>
      </c>
      <c r="D8" s="15" t="n">
        <v>29700</v>
      </c>
      <c r="E8" s="15" t="n">
        <v>6500</v>
      </c>
      <c r="F8" s="15">
        <f>D8-E8</f>
        <v/>
      </c>
      <c r="G8" s="16">
        <f>IF(D8=0,"",E8/D8*100)</f>
        <v/>
      </c>
    </row>
    <row r="9">
      <c r="A9" s="20" t="inlineStr">
        <is>
          <t>Grants</t>
        </is>
      </c>
      <c r="B9" s="20" t="inlineStr">
        <is>
          <t>Jan 25</t>
        </is>
      </c>
      <c r="C9" s="20" t="inlineStr">
        <is>
          <t>Locked</t>
        </is>
      </c>
      <c r="D9" s="15" t="n">
        <v>62700</v>
      </c>
      <c r="E9" s="15" t="n">
        <v>6500</v>
      </c>
      <c r="F9" s="15">
        <f>D9-E9</f>
        <v/>
      </c>
      <c r="G9" s="16">
        <f>IF(D9=0,"",E9/D9*100)</f>
        <v/>
      </c>
    </row>
    <row r="10">
      <c r="A10" s="20" t="inlineStr">
        <is>
          <t>Grants</t>
        </is>
      </c>
      <c r="B10" s="20" t="inlineStr">
        <is>
          <t>Feb 25</t>
        </is>
      </c>
      <c r="C10" s="20" t="inlineStr">
        <is>
          <t>Locked</t>
        </is>
      </c>
      <c r="D10" s="15" t="n">
        <v>61700</v>
      </c>
      <c r="E10" s="15" t="n">
        <v>6500</v>
      </c>
      <c r="F10" s="15">
        <f>D10-E10</f>
        <v/>
      </c>
      <c r="G10" s="16">
        <f>IF(D10=0,"",E10/D10*100)</f>
        <v/>
      </c>
    </row>
    <row r="11">
      <c r="A11" s="20" t="inlineStr">
        <is>
          <t>Grants</t>
        </is>
      </c>
      <c r="B11" s="20" t="inlineStr">
        <is>
          <t>Mar 25</t>
        </is>
      </c>
      <c r="C11" s="20" t="inlineStr">
        <is>
          <t>Locked</t>
        </is>
      </c>
      <c r="D11" s="15" t="n">
        <v>54500</v>
      </c>
      <c r="E11" s="15" t="n">
        <v>6500</v>
      </c>
      <c r="F11" s="15">
        <f>D11-E11</f>
        <v/>
      </c>
      <c r="G11" s="16">
        <f>IF(D11=0,"",E11/D11*100)</f>
        <v/>
      </c>
    </row>
    <row r="12">
      <c r="A12" s="20" t="inlineStr">
        <is>
          <t>Grants</t>
        </is>
      </c>
      <c r="B12" s="20" t="inlineStr">
        <is>
          <t>Apr 25</t>
        </is>
      </c>
      <c r="C12" s="20" t="inlineStr">
        <is>
          <t>Locked</t>
        </is>
      </c>
      <c r="D12" s="15" t="n">
        <v>61500</v>
      </c>
      <c r="E12" s="15" t="n">
        <v>6500</v>
      </c>
      <c r="F12" s="15">
        <f>D12-E12</f>
        <v/>
      </c>
      <c r="G12" s="16">
        <f>IF(D12=0,"",E12/D12*100)</f>
        <v/>
      </c>
    </row>
    <row r="13">
      <c r="A13" s="20" t="inlineStr">
        <is>
          <t>Grants</t>
        </is>
      </c>
      <c r="B13" s="20" t="inlineStr">
        <is>
          <t>May 25</t>
        </is>
      </c>
      <c r="C13" s="20" t="inlineStr">
        <is>
          <t>Locked</t>
        </is>
      </c>
      <c r="D13" s="15" t="n">
        <v>61700</v>
      </c>
      <c r="E13" s="15" t="n">
        <v>6500</v>
      </c>
      <c r="F13" s="15">
        <f>D13-E13</f>
        <v/>
      </c>
      <c r="G13" s="16">
        <f>IF(D13=0,"",E13/D13*100)</f>
        <v/>
      </c>
    </row>
    <row r="14">
      <c r="A14" s="20" t="inlineStr">
        <is>
          <t>Grants</t>
        </is>
      </c>
      <c r="B14" s="20" t="inlineStr">
        <is>
          <t>Jun 25</t>
        </is>
      </c>
      <c r="C14" s="20" t="inlineStr">
        <is>
          <t>Locked</t>
        </is>
      </c>
      <c r="D14" s="15" t="n">
        <v>52200</v>
      </c>
      <c r="E14" s="15" t="n">
        <v>6500</v>
      </c>
      <c r="F14" s="15">
        <f>D14-E14</f>
        <v/>
      </c>
      <c r="G14" s="16">
        <f>IF(D14=0,"",E14/D14*100)</f>
        <v/>
      </c>
    </row>
    <row r="15">
      <c r="A15" s="20" t="inlineStr">
        <is>
          <t>Grants</t>
        </is>
      </c>
      <c r="B15" s="20" t="inlineStr">
        <is>
          <t>Jul 25</t>
        </is>
      </c>
      <c r="C15" s="20" t="inlineStr">
        <is>
          <t>Locked</t>
        </is>
      </c>
      <c r="D15" s="15" t="n">
        <v>59063</v>
      </c>
      <c r="E15" s="15" t="n">
        <v>7100</v>
      </c>
      <c r="F15" s="15">
        <f>D15-E15</f>
        <v/>
      </c>
      <c r="G15" s="16">
        <f>IF(D15=0,"",E15/D15*100)</f>
        <v/>
      </c>
    </row>
    <row r="16">
      <c r="A16" s="20" t="inlineStr">
        <is>
          <t>Grants</t>
        </is>
      </c>
      <c r="B16" s="20" t="inlineStr">
        <is>
          <t>Aug 25</t>
        </is>
      </c>
      <c r="C16" s="20" t="inlineStr">
        <is>
          <t>Locked</t>
        </is>
      </c>
      <c r="D16" s="15" t="n">
        <v>61544</v>
      </c>
      <c r="E16" s="15" t="n">
        <v>7100</v>
      </c>
      <c r="F16" s="15">
        <f>D16-E16</f>
        <v/>
      </c>
      <c r="G16" s="16">
        <f>IF(D16=0,"",E16/D16*100)</f>
        <v/>
      </c>
    </row>
    <row r="17">
      <c r="A17" s="20" t="inlineStr">
        <is>
          <t>Grants</t>
        </is>
      </c>
      <c r="B17" s="20" t="inlineStr">
        <is>
          <t>Sep 25</t>
        </is>
      </c>
      <c r="C17" s="20" t="inlineStr">
        <is>
          <t>Locked</t>
        </is>
      </c>
      <c r="D17" s="15" t="n">
        <v>62137</v>
      </c>
      <c r="E17" s="15" t="n">
        <v>7100</v>
      </c>
      <c r="F17" s="15">
        <f>D17-E17</f>
        <v/>
      </c>
      <c r="G17" s="16">
        <f>IF(D17=0,"",E17/D17*100)</f>
        <v/>
      </c>
    </row>
    <row r="18">
      <c r="A18" s="20" t="inlineStr">
        <is>
          <t>Grants</t>
        </is>
      </c>
      <c r="B18" s="20" t="inlineStr">
        <is>
          <t>Oct 25</t>
        </is>
      </c>
      <c r="C18" s="20" t="inlineStr">
        <is>
          <t>Locked</t>
        </is>
      </c>
      <c r="D18" s="15" t="n">
        <v>69185</v>
      </c>
      <c r="E18" s="15" t="n">
        <v>7100</v>
      </c>
      <c r="F18" s="15">
        <f>D18-E18</f>
        <v/>
      </c>
      <c r="G18" s="16">
        <f>IF(D18=0,"",E18/D18*100)</f>
        <v/>
      </c>
    </row>
    <row r="19">
      <c r="A19" s="20" t="inlineStr">
        <is>
          <t>Grants</t>
        </is>
      </c>
      <c r="B19" s="20" t="inlineStr">
        <is>
          <t>Nov 25</t>
        </is>
      </c>
      <c r="C19" s="20" t="inlineStr">
        <is>
          <t>Locked</t>
        </is>
      </c>
      <c r="D19" s="15" t="n">
        <v>70164</v>
      </c>
      <c r="E19" s="15" t="n">
        <v>7100</v>
      </c>
      <c r="F19" s="15">
        <f>D19-E19</f>
        <v/>
      </c>
      <c r="G19" s="16">
        <f>IF(D19=0,"",E19/D19*100)</f>
        <v/>
      </c>
    </row>
    <row r="20">
      <c r="A20" s="20" t="inlineStr">
        <is>
          <t>Grants</t>
        </is>
      </c>
      <c r="B20" s="20" t="inlineStr">
        <is>
          <t>Dec 25</t>
        </is>
      </c>
      <c r="C20" s="20" t="inlineStr">
        <is>
          <t>Locked</t>
        </is>
      </c>
      <c r="D20" s="15" t="n">
        <v>68793</v>
      </c>
      <c r="E20" s="15" t="n">
        <v>7100</v>
      </c>
      <c r="F20" s="15">
        <f>D20-E20</f>
        <v/>
      </c>
      <c r="G20" s="16">
        <f>IF(D20=0,"",E20/D20*100)</f>
        <v/>
      </c>
    </row>
    <row r="21">
      <c r="A21" s="20" t="inlineStr">
        <is>
          <t>Grants</t>
        </is>
      </c>
      <c r="B21" s="20" t="inlineStr">
        <is>
          <t>Jan 26</t>
        </is>
      </c>
      <c r="C21" s="20" t="inlineStr">
        <is>
          <t>Locked</t>
        </is>
      </c>
      <c r="D21" s="15" t="n">
        <v>59785</v>
      </c>
      <c r="E21" s="15" t="n">
        <v>7100</v>
      </c>
      <c r="F21" s="15">
        <f>D21-E21</f>
        <v/>
      </c>
      <c r="G21" s="16">
        <f>IF(D21=0,"",E21/D21*100)</f>
        <v/>
      </c>
    </row>
    <row r="22">
      <c r="A22" s="20" t="inlineStr">
        <is>
          <t>Grants</t>
        </is>
      </c>
      <c r="B22" s="20" t="inlineStr">
        <is>
          <t>Feb 26</t>
        </is>
      </c>
      <c r="C22" s="20" t="inlineStr">
        <is>
          <t>Locked</t>
        </is>
      </c>
      <c r="D22" s="15" t="n">
        <v>55759</v>
      </c>
      <c r="E22" s="15" t="n">
        <v>7100</v>
      </c>
      <c r="F22" s="15">
        <f>D22-E22</f>
        <v/>
      </c>
      <c r="G22" s="16">
        <f>IF(D22=0,"",E22/D22*100)</f>
        <v/>
      </c>
    </row>
    <row r="23">
      <c r="A23" s="20" t="inlineStr">
        <is>
          <t>Grants</t>
        </is>
      </c>
      <c r="B23" s="20" t="inlineStr">
        <is>
          <t>Mar 26</t>
        </is>
      </c>
      <c r="C23" s="20" t="inlineStr">
        <is>
          <t>Locked</t>
        </is>
      </c>
      <c r="D23" s="15" t="n">
        <v>53806</v>
      </c>
      <c r="E23" s="15" t="n">
        <v>7100</v>
      </c>
      <c r="F23" s="15">
        <f>D23-E23</f>
        <v/>
      </c>
      <c r="G23" s="16">
        <f>IF(D23=0,"",E23/D23*100)</f>
        <v/>
      </c>
    </row>
    <row r="24">
      <c r="A24" s="20" t="inlineStr">
        <is>
          <t>Donations</t>
        </is>
      </c>
      <c r="B24" s="20" t="inlineStr">
        <is>
          <t>Oct 24</t>
        </is>
      </c>
      <c r="C24" s="20" t="inlineStr">
        <is>
          <t>Locked</t>
        </is>
      </c>
      <c r="D24" s="15" t="n">
        <v>15300</v>
      </c>
      <c r="E24" s="15" t="n">
        <v>2200</v>
      </c>
      <c r="F24" s="15">
        <f>D24-E24</f>
        <v/>
      </c>
      <c r="G24" s="16">
        <f>IF(D24=0,"",E24/D24*100)</f>
        <v/>
      </c>
    </row>
    <row r="25">
      <c r="A25" s="20" t="inlineStr">
        <is>
          <t>Donations</t>
        </is>
      </c>
      <c r="B25" s="20" t="inlineStr">
        <is>
          <t>Nov 24</t>
        </is>
      </c>
      <c r="C25" s="20" t="inlineStr">
        <is>
          <t>Locked</t>
        </is>
      </c>
      <c r="D25" s="15" t="n">
        <v>17700</v>
      </c>
      <c r="E25" s="15" t="n">
        <v>3100</v>
      </c>
      <c r="F25" s="15">
        <f>D25-E25</f>
        <v/>
      </c>
      <c r="G25" s="16">
        <f>IF(D25=0,"",E25/D25*100)</f>
        <v/>
      </c>
    </row>
    <row r="26">
      <c r="A26" s="20" t="inlineStr">
        <is>
          <t>Donations</t>
        </is>
      </c>
      <c r="B26" s="20" t="inlineStr">
        <is>
          <t>Dec 24</t>
        </is>
      </c>
      <c r="C26" s="20" t="inlineStr">
        <is>
          <t>Locked</t>
        </is>
      </c>
      <c r="D26" s="15" t="n">
        <v>24700</v>
      </c>
      <c r="E26" s="15" t="n">
        <v>4400</v>
      </c>
      <c r="F26" s="15">
        <f>D26-E26</f>
        <v/>
      </c>
      <c r="G26" s="16">
        <f>IF(D26=0,"",E26/D26*100)</f>
        <v/>
      </c>
    </row>
    <row r="27">
      <c r="A27" s="20" t="inlineStr">
        <is>
          <t>Donations</t>
        </is>
      </c>
      <c r="B27" s="20" t="inlineStr">
        <is>
          <t>Jan 25</t>
        </is>
      </c>
      <c r="C27" s="20" t="inlineStr">
        <is>
          <t>Locked</t>
        </is>
      </c>
      <c r="D27" s="15" t="n">
        <v>12400</v>
      </c>
      <c r="E27" s="15" t="n">
        <v>2200</v>
      </c>
      <c r="F27" s="15">
        <f>D27-E27</f>
        <v/>
      </c>
      <c r="G27" s="16">
        <f>IF(D27=0,"",E27/D27*100)</f>
        <v/>
      </c>
    </row>
    <row r="28">
      <c r="A28" s="20" t="inlineStr">
        <is>
          <t>Donations</t>
        </is>
      </c>
      <c r="B28" s="20" t="inlineStr">
        <is>
          <t>Feb 25</t>
        </is>
      </c>
      <c r="C28" s="20" t="inlineStr">
        <is>
          <t>Locked</t>
        </is>
      </c>
      <c r="D28" s="15" t="n">
        <v>15600</v>
      </c>
      <c r="E28" s="15" t="n">
        <v>2200</v>
      </c>
      <c r="F28" s="15">
        <f>D28-E28</f>
        <v/>
      </c>
      <c r="G28" s="16">
        <f>IF(D28=0,"",E28/D28*100)</f>
        <v/>
      </c>
    </row>
    <row r="29">
      <c r="A29" s="20" t="inlineStr">
        <is>
          <t>Donations</t>
        </is>
      </c>
      <c r="B29" s="20" t="inlineStr">
        <is>
          <t>Mar 25</t>
        </is>
      </c>
      <c r="C29" s="20" t="inlineStr">
        <is>
          <t>Locked</t>
        </is>
      </c>
      <c r="D29" s="15" t="n">
        <v>15700</v>
      </c>
      <c r="E29" s="15" t="n">
        <v>2200</v>
      </c>
      <c r="F29" s="15">
        <f>D29-E29</f>
        <v/>
      </c>
      <c r="G29" s="16">
        <f>IF(D29=0,"",E29/D29*100)</f>
        <v/>
      </c>
    </row>
    <row r="30">
      <c r="A30" s="20" t="inlineStr">
        <is>
          <t>Donations</t>
        </is>
      </c>
      <c r="B30" s="20" t="inlineStr">
        <is>
          <t>Apr 25</t>
        </is>
      </c>
      <c r="C30" s="20" t="inlineStr">
        <is>
          <t>Locked</t>
        </is>
      </c>
      <c r="D30" s="15" t="n">
        <v>15700</v>
      </c>
      <c r="E30" s="15" t="n">
        <v>2200</v>
      </c>
      <c r="F30" s="15">
        <f>D30-E30</f>
        <v/>
      </c>
      <c r="G30" s="16">
        <f>IF(D30=0,"",E30/D30*100)</f>
        <v/>
      </c>
    </row>
    <row r="31">
      <c r="A31" s="20" t="inlineStr">
        <is>
          <t>Donations</t>
        </is>
      </c>
      <c r="B31" s="20" t="inlineStr">
        <is>
          <t>May 25</t>
        </is>
      </c>
      <c r="C31" s="20" t="inlineStr">
        <is>
          <t>Locked</t>
        </is>
      </c>
      <c r="D31" s="15" t="n">
        <v>15800</v>
      </c>
      <c r="E31" s="15" t="n">
        <v>2200</v>
      </c>
      <c r="F31" s="15">
        <f>D31-E31</f>
        <v/>
      </c>
      <c r="G31" s="16">
        <f>IF(D31=0,"",E31/D31*100)</f>
        <v/>
      </c>
    </row>
    <row r="32">
      <c r="A32" s="20" t="inlineStr">
        <is>
          <t>Donations</t>
        </is>
      </c>
      <c r="B32" s="20" t="inlineStr">
        <is>
          <t>Jun 25</t>
        </is>
      </c>
      <c r="C32" s="20" t="inlineStr">
        <is>
          <t>Locked</t>
        </is>
      </c>
      <c r="D32" s="15" t="n">
        <v>38100</v>
      </c>
      <c r="E32" s="15" t="n">
        <v>5500</v>
      </c>
      <c r="F32" s="15">
        <f>D32-E32</f>
        <v/>
      </c>
      <c r="G32" s="16">
        <f>IF(D32=0,"",E32/D32*100)</f>
        <v/>
      </c>
    </row>
    <row r="33">
      <c r="A33" s="20" t="inlineStr">
        <is>
          <t>Donations</t>
        </is>
      </c>
      <c r="B33" s="20" t="inlineStr">
        <is>
          <t>Jul 25</t>
        </is>
      </c>
      <c r="C33" s="20" t="inlineStr">
        <is>
          <t>Locked</t>
        </is>
      </c>
      <c r="D33" s="15" t="n">
        <v>13500</v>
      </c>
      <c r="E33" s="15" t="n">
        <v>2200</v>
      </c>
      <c r="F33" s="15">
        <f>D33-E33</f>
        <v/>
      </c>
      <c r="G33" s="16">
        <f>IF(D33=0,"",E33/D33*100)</f>
        <v/>
      </c>
    </row>
    <row r="34">
      <c r="A34" s="20" t="inlineStr">
        <is>
          <t>Donations</t>
        </is>
      </c>
      <c r="B34" s="20" t="inlineStr">
        <is>
          <t>Aug 25</t>
        </is>
      </c>
      <c r="C34" s="20" t="inlineStr">
        <is>
          <t>Locked</t>
        </is>
      </c>
      <c r="D34" s="15" t="n">
        <v>16000</v>
      </c>
      <c r="E34" s="15" t="n">
        <v>2200</v>
      </c>
      <c r="F34" s="15">
        <f>D34-E34</f>
        <v/>
      </c>
      <c r="G34" s="16">
        <f>IF(D34=0,"",E34/D34*100)</f>
        <v/>
      </c>
    </row>
    <row r="35">
      <c r="A35" s="20" t="inlineStr">
        <is>
          <t>Donations</t>
        </is>
      </c>
      <c r="B35" s="20" t="inlineStr">
        <is>
          <t>Sep 25</t>
        </is>
      </c>
      <c r="C35" s="20" t="inlineStr">
        <is>
          <t>Locked</t>
        </is>
      </c>
      <c r="D35" s="15" t="n">
        <v>16100</v>
      </c>
      <c r="E35" s="15" t="n">
        <v>2200</v>
      </c>
      <c r="F35" s="15">
        <f>D35-E35</f>
        <v/>
      </c>
      <c r="G35" s="16">
        <f>IF(D35=0,"",E35/D35*100)</f>
        <v/>
      </c>
    </row>
    <row r="36">
      <c r="A36" s="20" t="inlineStr">
        <is>
          <t>Donations</t>
        </is>
      </c>
      <c r="B36" s="20" t="inlineStr">
        <is>
          <t>Oct 25</t>
        </is>
      </c>
      <c r="C36" s="20" t="inlineStr">
        <is>
          <t>Locked</t>
        </is>
      </c>
      <c r="D36" s="15" t="n">
        <v>16200</v>
      </c>
      <c r="E36" s="15" t="n">
        <v>2200</v>
      </c>
      <c r="F36" s="15">
        <f>D36-E36</f>
        <v/>
      </c>
      <c r="G36" s="16">
        <f>IF(D36=0,"",E36/D36*100)</f>
        <v/>
      </c>
    </row>
    <row r="37">
      <c r="A37" s="20" t="inlineStr">
        <is>
          <t>Donations</t>
        </is>
      </c>
      <c r="B37" s="20" t="inlineStr">
        <is>
          <t>Nov 25</t>
        </is>
      </c>
      <c r="C37" s="20" t="inlineStr">
        <is>
          <t>Locked</t>
        </is>
      </c>
      <c r="D37" s="15" t="n">
        <v>18700</v>
      </c>
      <c r="E37" s="15" t="n">
        <v>3100</v>
      </c>
      <c r="F37" s="15">
        <f>D37-E37</f>
        <v/>
      </c>
      <c r="G37" s="16">
        <f>IF(D37=0,"",E37/D37*100)</f>
        <v/>
      </c>
    </row>
    <row r="38">
      <c r="A38" s="20" t="inlineStr">
        <is>
          <t>Donations</t>
        </is>
      </c>
      <c r="B38" s="20" t="inlineStr">
        <is>
          <t>Dec 25</t>
        </is>
      </c>
      <c r="C38" s="20" t="inlineStr">
        <is>
          <t>Locked</t>
        </is>
      </c>
      <c r="D38" s="15" t="n">
        <v>26100</v>
      </c>
      <c r="E38" s="15" t="n">
        <v>4400</v>
      </c>
      <c r="F38" s="15">
        <f>D38-E38</f>
        <v/>
      </c>
      <c r="G38" s="16">
        <f>IF(D38=0,"",E38/D38*100)</f>
        <v/>
      </c>
    </row>
    <row r="39">
      <c r="A39" s="20" t="inlineStr">
        <is>
          <t>Donations</t>
        </is>
      </c>
      <c r="B39" s="20" t="inlineStr">
        <is>
          <t>Jan 26</t>
        </is>
      </c>
      <c r="C39" s="20" t="inlineStr">
        <is>
          <t>Locked</t>
        </is>
      </c>
      <c r="D39" s="15" t="n">
        <v>13100</v>
      </c>
      <c r="E39" s="15" t="n">
        <v>2200</v>
      </c>
      <c r="F39" s="15">
        <f>D39-E39</f>
        <v/>
      </c>
      <c r="G39" s="16">
        <f>IF(D39=0,"",E39/D39*100)</f>
        <v/>
      </c>
    </row>
    <row r="40">
      <c r="A40" s="20" t="inlineStr">
        <is>
          <t>Donations</t>
        </is>
      </c>
      <c r="B40" s="20" t="inlineStr">
        <is>
          <t>Feb 26</t>
        </is>
      </c>
      <c r="C40" s="20" t="inlineStr">
        <is>
          <t>Locked</t>
        </is>
      </c>
      <c r="D40" s="15" t="n">
        <v>16400</v>
      </c>
      <c r="E40" s="15" t="n">
        <v>2200</v>
      </c>
      <c r="F40" s="15">
        <f>D40-E40</f>
        <v/>
      </c>
      <c r="G40" s="16">
        <f>IF(D40=0,"",E40/D40*100)</f>
        <v/>
      </c>
    </row>
    <row r="41">
      <c r="A41" s="20" t="inlineStr">
        <is>
          <t>Donations</t>
        </is>
      </c>
      <c r="B41" s="20" t="inlineStr">
        <is>
          <t>Mar 26</t>
        </is>
      </c>
      <c r="C41" s="20" t="inlineStr">
        <is>
          <t>Locked</t>
        </is>
      </c>
      <c r="D41" s="15" t="n">
        <v>16500</v>
      </c>
      <c r="E41" s="15" t="n">
        <v>2200</v>
      </c>
      <c r="F41" s="15">
        <f>D41-E41</f>
        <v/>
      </c>
      <c r="G41" s="16">
        <f>IF(D41=0,"",E41/D41*100)</f>
        <v/>
      </c>
    </row>
    <row r="42">
      <c r="A42" s="20" t="inlineStr">
        <is>
          <t>Fundraising events</t>
        </is>
      </c>
      <c r="B42" s="20" t="inlineStr">
        <is>
          <t>Oct 24</t>
        </is>
      </c>
      <c r="C42" s="20" t="inlineStr">
        <is>
          <t>Locked</t>
        </is>
      </c>
      <c r="D42" s="15" t="n">
        <v>0</v>
      </c>
      <c r="E42" s="15" t="n">
        <v>0</v>
      </c>
      <c r="F42" s="15">
        <f>D42-E42</f>
        <v/>
      </c>
      <c r="G42" s="16">
        <f>IF(D42=0,"",E42/D42*100)</f>
        <v/>
      </c>
    </row>
    <row r="43">
      <c r="A43" s="20" t="inlineStr">
        <is>
          <t>Fundraising events</t>
        </is>
      </c>
      <c r="B43" s="20" t="inlineStr">
        <is>
          <t>Nov 24</t>
        </is>
      </c>
      <c r="C43" s="20" t="inlineStr">
        <is>
          <t>Locked</t>
        </is>
      </c>
      <c r="D43" s="15" t="n">
        <v>0</v>
      </c>
      <c r="E43" s="15" t="n">
        <v>0</v>
      </c>
      <c r="F43" s="15">
        <f>D43-E43</f>
        <v/>
      </c>
      <c r="G43" s="16">
        <f>IF(D43=0,"",E43/D43*100)</f>
        <v/>
      </c>
    </row>
    <row r="44">
      <c r="A44" s="20" t="inlineStr">
        <is>
          <t>Fundraising events</t>
        </is>
      </c>
      <c r="B44" s="20" t="inlineStr">
        <is>
          <t>Dec 24</t>
        </is>
      </c>
      <c r="C44" s="20" t="inlineStr">
        <is>
          <t>Locked</t>
        </is>
      </c>
      <c r="D44" s="15" t="n">
        <v>6200</v>
      </c>
      <c r="E44" s="15" t="n">
        <v>2600</v>
      </c>
      <c r="F44" s="15">
        <f>D44-E44</f>
        <v/>
      </c>
      <c r="G44" s="16">
        <f>IF(D44=0,"",E44/D44*100)</f>
        <v/>
      </c>
    </row>
    <row r="45">
      <c r="A45" s="20" t="inlineStr">
        <is>
          <t>Fundraising events</t>
        </is>
      </c>
      <c r="B45" s="20" t="inlineStr">
        <is>
          <t>Jan 25</t>
        </is>
      </c>
      <c r="C45" s="20" t="inlineStr">
        <is>
          <t>Locked</t>
        </is>
      </c>
      <c r="D45" s="15" t="n">
        <v>0</v>
      </c>
      <c r="E45" s="15" t="n">
        <v>0</v>
      </c>
      <c r="F45" s="15">
        <f>D45-E45</f>
        <v/>
      </c>
      <c r="G45" s="16">
        <f>IF(D45=0,"",E45/D45*100)</f>
        <v/>
      </c>
    </row>
    <row r="46">
      <c r="A46" s="20" t="inlineStr">
        <is>
          <t>Fundraising events</t>
        </is>
      </c>
      <c r="B46" s="20" t="inlineStr">
        <is>
          <t>Feb 25</t>
        </is>
      </c>
      <c r="C46" s="20" t="inlineStr">
        <is>
          <t>Locked</t>
        </is>
      </c>
      <c r="D46" s="15" t="n">
        <v>0</v>
      </c>
      <c r="E46" s="15" t="n">
        <v>0</v>
      </c>
      <c r="F46" s="15">
        <f>D46-E46</f>
        <v/>
      </c>
      <c r="G46" s="16">
        <f>IF(D46=0,"",E46/D46*100)</f>
        <v/>
      </c>
    </row>
    <row r="47">
      <c r="A47" s="20" t="inlineStr">
        <is>
          <t>Fundraising events</t>
        </is>
      </c>
      <c r="B47" s="20" t="inlineStr">
        <is>
          <t>Mar 25</t>
        </is>
      </c>
      <c r="C47" s="20" t="inlineStr">
        <is>
          <t>Locked</t>
        </is>
      </c>
      <c r="D47" s="15" t="n">
        <v>0</v>
      </c>
      <c r="E47" s="15" t="n">
        <v>0</v>
      </c>
      <c r="F47" s="15">
        <f>D47-E47</f>
        <v/>
      </c>
      <c r="G47" s="16">
        <f>IF(D47=0,"",E47/D47*100)</f>
        <v/>
      </c>
    </row>
    <row r="48">
      <c r="A48" s="20" t="inlineStr">
        <is>
          <t>Fundraising events</t>
        </is>
      </c>
      <c r="B48" s="20" t="inlineStr">
        <is>
          <t>Apr 25</t>
        </is>
      </c>
      <c r="C48" s="20" t="inlineStr">
        <is>
          <t>Locked</t>
        </is>
      </c>
      <c r="D48" s="15" t="n">
        <v>0</v>
      </c>
      <c r="E48" s="15" t="n">
        <v>0</v>
      </c>
      <c r="F48" s="15">
        <f>D48-E48</f>
        <v/>
      </c>
      <c r="G48" s="16">
        <f>IF(D48=0,"",E48/D48*100)</f>
        <v/>
      </c>
    </row>
    <row r="49">
      <c r="A49" s="20" t="inlineStr">
        <is>
          <t>Fundraising events</t>
        </is>
      </c>
      <c r="B49" s="20" t="inlineStr">
        <is>
          <t>May 25</t>
        </is>
      </c>
      <c r="C49" s="20" t="inlineStr">
        <is>
          <t>Locked</t>
        </is>
      </c>
      <c r="D49" s="15" t="n">
        <v>0</v>
      </c>
      <c r="E49" s="15" t="n">
        <v>0</v>
      </c>
      <c r="F49" s="15">
        <f>D49-E49</f>
        <v/>
      </c>
      <c r="G49" s="16">
        <f>IF(D49=0,"",E49/D49*100)</f>
        <v/>
      </c>
    </row>
    <row r="50">
      <c r="A50" s="20" t="inlineStr">
        <is>
          <t>Fundraising events</t>
        </is>
      </c>
      <c r="B50" s="20" t="inlineStr">
        <is>
          <t>Jun 25</t>
        </is>
      </c>
      <c r="C50" s="20" t="inlineStr">
        <is>
          <t>Locked</t>
        </is>
      </c>
      <c r="D50" s="15" t="n">
        <v>0</v>
      </c>
      <c r="E50" s="15" t="n">
        <v>0</v>
      </c>
      <c r="F50" s="15">
        <f>D50-E50</f>
        <v/>
      </c>
      <c r="G50" s="16">
        <f>IF(D50=0,"",E50/D50*100)</f>
        <v/>
      </c>
    </row>
    <row r="51">
      <c r="A51" s="20" t="inlineStr">
        <is>
          <t>Fundraising events</t>
        </is>
      </c>
      <c r="B51" s="20" t="inlineStr">
        <is>
          <t>Jul 25</t>
        </is>
      </c>
      <c r="C51" s="20" t="inlineStr">
        <is>
          <t>Locked</t>
        </is>
      </c>
      <c r="D51" s="15" t="n">
        <v>0</v>
      </c>
      <c r="E51" s="15" t="n">
        <v>0</v>
      </c>
      <c r="F51" s="15">
        <f>D51-E51</f>
        <v/>
      </c>
      <c r="G51" s="16">
        <f>IF(D51=0,"",E51/D51*100)</f>
        <v/>
      </c>
    </row>
    <row r="52">
      <c r="A52" s="20" t="inlineStr">
        <is>
          <t>Fundraising events</t>
        </is>
      </c>
      <c r="B52" s="20" t="inlineStr">
        <is>
          <t>Aug 25</t>
        </is>
      </c>
      <c r="C52" s="20" t="inlineStr">
        <is>
          <t>Locked</t>
        </is>
      </c>
      <c r="D52" s="15" t="n">
        <v>0</v>
      </c>
      <c r="E52" s="15" t="n">
        <v>0</v>
      </c>
      <c r="F52" s="15">
        <f>D52-E52</f>
        <v/>
      </c>
      <c r="G52" s="16">
        <f>IF(D52=0,"",E52/D52*100)</f>
        <v/>
      </c>
    </row>
    <row r="53">
      <c r="A53" s="20" t="inlineStr">
        <is>
          <t>Fundraising events</t>
        </is>
      </c>
      <c r="B53" s="20" t="inlineStr">
        <is>
          <t>Sep 25</t>
        </is>
      </c>
      <c r="C53" s="20" t="inlineStr">
        <is>
          <t>Locked</t>
        </is>
      </c>
      <c r="D53" s="15" t="n">
        <v>36800</v>
      </c>
      <c r="E53" s="15" t="n">
        <v>15200</v>
      </c>
      <c r="F53" s="15">
        <f>D53-E53</f>
        <v/>
      </c>
      <c r="G53" s="16">
        <f>IF(D53=0,"",E53/D53*100)</f>
        <v/>
      </c>
    </row>
    <row r="54">
      <c r="A54" s="20" t="inlineStr">
        <is>
          <t>Fundraising events</t>
        </is>
      </c>
      <c r="B54" s="20" t="inlineStr">
        <is>
          <t>Oct 25</t>
        </is>
      </c>
      <c r="C54" s="20" t="inlineStr">
        <is>
          <t>Locked</t>
        </is>
      </c>
      <c r="D54" s="15" t="n">
        <v>0</v>
      </c>
      <c r="E54" s="15" t="n">
        <v>0</v>
      </c>
      <c r="F54" s="15">
        <f>D54-E54</f>
        <v/>
      </c>
      <c r="G54" s="16">
        <f>IF(D54=0,"",E54/D54*100)</f>
        <v/>
      </c>
    </row>
    <row r="55">
      <c r="A55" s="20" t="inlineStr">
        <is>
          <t>Fundraising events</t>
        </is>
      </c>
      <c r="B55" s="20" t="inlineStr">
        <is>
          <t>Nov 25</t>
        </is>
      </c>
      <c r="C55" s="20" t="inlineStr">
        <is>
          <t>Locked</t>
        </is>
      </c>
      <c r="D55" s="15" t="n">
        <v>0</v>
      </c>
      <c r="E55" s="15" t="n">
        <v>0</v>
      </c>
      <c r="F55" s="15">
        <f>D55-E55</f>
        <v/>
      </c>
      <c r="G55" s="16">
        <f>IF(D55=0,"",E55/D55*100)</f>
        <v/>
      </c>
    </row>
    <row r="56">
      <c r="A56" s="20" t="inlineStr">
        <is>
          <t>Fundraising events</t>
        </is>
      </c>
      <c r="B56" s="20" t="inlineStr">
        <is>
          <t>Dec 25</t>
        </is>
      </c>
      <c r="C56" s="20" t="inlineStr">
        <is>
          <t>Locked</t>
        </is>
      </c>
      <c r="D56" s="15" t="n">
        <v>6200</v>
      </c>
      <c r="E56" s="15" t="n">
        <v>2600</v>
      </c>
      <c r="F56" s="15">
        <f>D56-E56</f>
        <v/>
      </c>
      <c r="G56" s="16">
        <f>IF(D56=0,"",E56/D56*100)</f>
        <v/>
      </c>
    </row>
    <row r="57">
      <c r="A57" s="20" t="inlineStr">
        <is>
          <t>Fundraising events</t>
        </is>
      </c>
      <c r="B57" s="20" t="inlineStr">
        <is>
          <t>Jan 26</t>
        </is>
      </c>
      <c r="C57" s="20" t="inlineStr">
        <is>
          <t>Locked</t>
        </is>
      </c>
      <c r="D57" s="15" t="n">
        <v>0</v>
      </c>
      <c r="E57" s="15" t="n">
        <v>0</v>
      </c>
      <c r="F57" s="15">
        <f>D57-E57</f>
        <v/>
      </c>
      <c r="G57" s="16">
        <f>IF(D57=0,"",E57/D57*100)</f>
        <v/>
      </c>
    </row>
    <row r="58">
      <c r="A58" s="20" t="inlineStr">
        <is>
          <t>Fundraising events</t>
        </is>
      </c>
      <c r="B58" s="20" t="inlineStr">
        <is>
          <t>Feb 26</t>
        </is>
      </c>
      <c r="C58" s="20" t="inlineStr">
        <is>
          <t>Locked</t>
        </is>
      </c>
      <c r="D58" s="15" t="n">
        <v>0</v>
      </c>
      <c r="E58" s="15" t="n">
        <v>0</v>
      </c>
      <c r="F58" s="15">
        <f>D58-E58</f>
        <v/>
      </c>
      <c r="G58" s="16">
        <f>IF(D58=0,"",E58/D58*100)</f>
        <v/>
      </c>
    </row>
    <row r="59">
      <c r="A59" s="20" t="inlineStr">
        <is>
          <t>Fundraising events</t>
        </is>
      </c>
      <c r="B59" s="20" t="inlineStr">
        <is>
          <t>Mar 26</t>
        </is>
      </c>
      <c r="C59" s="20" t="inlineStr">
        <is>
          <t>Locked</t>
        </is>
      </c>
      <c r="D59" s="15" t="n">
        <v>0</v>
      </c>
      <c r="E59" s="15" t="n">
        <v>0</v>
      </c>
      <c r="F59" s="15">
        <f>D59-E59</f>
        <v/>
      </c>
      <c r="G59" s="16">
        <f>IF(D59=0,"",E59/D59*100)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23" min="0" max="16383" man="1"/>
    <brk id="4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2026-10-07T23:36:05Z</dcterms:created>
  <dcterms:modified xmlns:dcterms="http://purl.org/dc/terms/" xmlns:xsi="http://www.w3.org/2001/XMLSchema-instance" xsi:type="dcterms:W3CDTF">2026-10-07T23:36:05Z</dcterms:modified>
</cp:coreProperties>
</file>