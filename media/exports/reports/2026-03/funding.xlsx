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March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13</v>
      </c>
    </row>
    <row r="11">
      <c r="A11" t="inlineStr">
        <is>
          <t>Donations</t>
        </is>
      </c>
      <c r="B11" s="8" t="n">
        <v>13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March it cost: Grants 13¢, donations 13¢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March: grants (13¢ a dollar). Dearest: donations (13¢).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$560,236 raised this financial year to date (74.1% of everything raised), $63,900 to raise it, so $496,336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$152,600 raised this financial year to date (20.2% of everything raised), $22,900 to raise it, so $129,700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(5.7%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Mar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$560,236</t>
        </is>
      </c>
      <c r="C43" s="11" t="inlineStr">
        <is>
          <t>$63,900</t>
        </is>
      </c>
      <c r="D43" s="11" t="inlineStr">
        <is>
          <t>$496,336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$152,600</t>
        </is>
      </c>
      <c r="C44" s="11" t="inlineStr">
        <is>
          <t>$22,900</t>
        </is>
      </c>
      <c r="D44" s="11" t="inlineStr">
        <is>
          <t>$129,700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4" t="inlineStr">
        <is>
          <t>Cost to raise a dollar, by source, March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Mar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53806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16500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March.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March 2026 · Data status: Feb 2026 locked · Mar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Grants</t>
        </is>
      </c>
      <c r="B22" s="17" t="inlineStr">
        <is>
          <t>Feb 26</t>
        </is>
      </c>
      <c r="C22" s="17" t="inlineStr">
        <is>
          <t>Locked</t>
        </is>
      </c>
      <c r="D22" s="13" t="n">
        <v>55759</v>
      </c>
      <c r="E22" s="13" t="n">
        <v>7100</v>
      </c>
      <c r="F22" s="13">
        <f>D22-E22</f>
        <v/>
      </c>
      <c r="G22" s="14">
        <f>IF(D22=0,"",E22/D22*100)</f>
        <v/>
      </c>
    </row>
    <row r="23">
      <c r="A23" s="17" t="inlineStr">
        <is>
          <t>Grants</t>
        </is>
      </c>
      <c r="B23" s="17" t="inlineStr">
        <is>
          <t>Mar 26</t>
        </is>
      </c>
      <c r="C23" s="17" t="inlineStr">
        <is>
          <t>Locked</t>
        </is>
      </c>
      <c r="D23" s="13" t="n">
        <v>53806</v>
      </c>
      <c r="E23" s="13" t="n">
        <v>7100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Oct 24</t>
        </is>
      </c>
      <c r="C24" s="17" t="inlineStr">
        <is>
          <t>Locked</t>
        </is>
      </c>
      <c r="D24" s="13" t="n">
        <v>15300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Nov 24</t>
        </is>
      </c>
      <c r="C25" s="17" t="inlineStr">
        <is>
          <t>Locked</t>
        </is>
      </c>
      <c r="D25" s="13" t="n">
        <v>17700</v>
      </c>
      <c r="E25" s="13" t="n">
        <v>3100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Dec 24</t>
        </is>
      </c>
      <c r="C26" s="17" t="inlineStr">
        <is>
          <t>Locked</t>
        </is>
      </c>
      <c r="D26" s="13" t="n">
        <v>24700</v>
      </c>
      <c r="E26" s="13" t="n">
        <v>4400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Jan 25</t>
        </is>
      </c>
      <c r="C27" s="17" t="inlineStr">
        <is>
          <t>Locked</t>
        </is>
      </c>
      <c r="D27" s="13" t="n">
        <v>12400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Feb 25</t>
        </is>
      </c>
      <c r="C28" s="17" t="inlineStr">
        <is>
          <t>Locked</t>
        </is>
      </c>
      <c r="D28" s="13" t="n">
        <v>15600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Mar 25</t>
        </is>
      </c>
      <c r="C29" s="17" t="inlineStr">
        <is>
          <t>Locked</t>
        </is>
      </c>
      <c r="D29" s="13" t="n">
        <v>15700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Apr 25</t>
        </is>
      </c>
      <c r="C30" s="17" t="inlineStr">
        <is>
          <t>Locked</t>
        </is>
      </c>
      <c r="D30" s="13" t="n">
        <v>15700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May 25</t>
        </is>
      </c>
      <c r="C31" s="17" t="inlineStr">
        <is>
          <t>Locked</t>
        </is>
      </c>
      <c r="D31" s="13" t="n">
        <v>15800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Jun 25</t>
        </is>
      </c>
      <c r="C32" s="17" t="inlineStr">
        <is>
          <t>Locked</t>
        </is>
      </c>
      <c r="D32" s="13" t="n">
        <v>38100</v>
      </c>
      <c r="E32" s="13" t="n">
        <v>5500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Jul 25</t>
        </is>
      </c>
      <c r="C33" s="17" t="inlineStr">
        <is>
          <t>Locked</t>
        </is>
      </c>
      <c r="D33" s="13" t="n">
        <v>13500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Aug 25</t>
        </is>
      </c>
      <c r="C34" s="17" t="inlineStr">
        <is>
          <t>Locked</t>
        </is>
      </c>
      <c r="D34" s="13" t="n">
        <v>16000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Sep 25</t>
        </is>
      </c>
      <c r="C35" s="17" t="inlineStr">
        <is>
          <t>Locked</t>
        </is>
      </c>
      <c r="D35" s="13" t="n">
        <v>16100</v>
      </c>
      <c r="E35" s="13" t="n">
        <v>2200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Oct 25</t>
        </is>
      </c>
      <c r="C36" s="17" t="inlineStr">
        <is>
          <t>Locked</t>
        </is>
      </c>
      <c r="D36" s="13" t="n">
        <v>16200</v>
      </c>
      <c r="E36" s="13" t="n">
        <v>2200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Nov 25</t>
        </is>
      </c>
      <c r="C37" s="17" t="inlineStr">
        <is>
          <t>Locked</t>
        </is>
      </c>
      <c r="D37" s="13" t="n">
        <v>18700</v>
      </c>
      <c r="E37" s="13" t="n">
        <v>3100</v>
      </c>
      <c r="F37" s="13">
        <f>D37-E37</f>
        <v/>
      </c>
      <c r="G37" s="14">
        <f>IF(D37=0,"",E37/D37*100)</f>
        <v/>
      </c>
    </row>
    <row r="38">
      <c r="A38" s="17" t="inlineStr">
        <is>
          <t>Donations</t>
        </is>
      </c>
      <c r="B38" s="17" t="inlineStr">
        <is>
          <t>Dec 25</t>
        </is>
      </c>
      <c r="C38" s="17" t="inlineStr">
        <is>
          <t>Locked</t>
        </is>
      </c>
      <c r="D38" s="13" t="n">
        <v>26100</v>
      </c>
      <c r="E38" s="13" t="n">
        <v>4400</v>
      </c>
      <c r="F38" s="13">
        <f>D38-E38</f>
        <v/>
      </c>
      <c r="G38" s="14">
        <f>IF(D38=0,"",E38/D38*100)</f>
        <v/>
      </c>
    </row>
    <row r="39">
      <c r="A39" s="17" t="inlineStr">
        <is>
          <t>Donations</t>
        </is>
      </c>
      <c r="B39" s="17" t="inlineStr">
        <is>
          <t>Jan 26</t>
        </is>
      </c>
      <c r="C39" s="17" t="inlineStr">
        <is>
          <t>Locked</t>
        </is>
      </c>
      <c r="D39" s="13" t="n">
        <v>13100</v>
      </c>
      <c r="E39" s="13" t="n">
        <v>2200</v>
      </c>
      <c r="F39" s="13">
        <f>D39-E39</f>
        <v/>
      </c>
      <c r="G39" s="14">
        <f>IF(D39=0,"",E39/D39*100)</f>
        <v/>
      </c>
    </row>
    <row r="40">
      <c r="A40" s="17" t="inlineStr">
        <is>
          <t>Donations</t>
        </is>
      </c>
      <c r="B40" s="17" t="inlineStr">
        <is>
          <t>Feb 26</t>
        </is>
      </c>
      <c r="C40" s="17" t="inlineStr">
        <is>
          <t>Locked</t>
        </is>
      </c>
      <c r="D40" s="13" t="n">
        <v>16400</v>
      </c>
      <c r="E40" s="13" t="n">
        <v>2200</v>
      </c>
      <c r="F40" s="13">
        <f>D40-E40</f>
        <v/>
      </c>
      <c r="G40" s="14">
        <f>IF(D40=0,"",E40/D40*100)</f>
        <v/>
      </c>
    </row>
    <row r="41">
      <c r="A41" s="17" t="inlineStr">
        <is>
          <t>Donations</t>
        </is>
      </c>
      <c r="B41" s="17" t="inlineStr">
        <is>
          <t>Mar 26</t>
        </is>
      </c>
      <c r="C41" s="17" t="inlineStr">
        <is>
          <t>Locked</t>
        </is>
      </c>
      <c r="D41" s="13" t="n">
        <v>16500</v>
      </c>
      <c r="E41" s="13" t="n">
        <v>2200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Oct 24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Nov 24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Dec 24</t>
        </is>
      </c>
      <c r="C44" s="17" t="inlineStr">
        <is>
          <t>Locked</t>
        </is>
      </c>
      <c r="D44" s="13" t="n">
        <v>6200</v>
      </c>
      <c r="E44" s="13" t="n">
        <v>2600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Jan 25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Feb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Mar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Apr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May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Jun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Jul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Aug 25</t>
        </is>
      </c>
      <c r="C52" s="17" t="inlineStr">
        <is>
          <t>Locked</t>
        </is>
      </c>
      <c r="D52" s="13" t="n">
        <v>0</v>
      </c>
      <c r="E52" s="13" t="n">
        <v>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Sep 25</t>
        </is>
      </c>
      <c r="C53" s="17" t="inlineStr">
        <is>
          <t>Locked</t>
        </is>
      </c>
      <c r="D53" s="13" t="n">
        <v>36800</v>
      </c>
      <c r="E53" s="13" t="n">
        <v>15200</v>
      </c>
      <c r="F53" s="13">
        <f>D53-E53</f>
        <v/>
      </c>
      <c r="G53" s="14">
        <f>IF(D53=0,"",E53/D53*100)</f>
        <v/>
      </c>
    </row>
    <row r="54">
      <c r="A54" s="17" t="inlineStr">
        <is>
          <t>Fundraising events</t>
        </is>
      </c>
      <c r="B54" s="17" t="inlineStr">
        <is>
          <t>Oct 25</t>
        </is>
      </c>
      <c r="C54" s="17" t="inlineStr">
        <is>
          <t>Locked</t>
        </is>
      </c>
      <c r="D54" s="13" t="n">
        <v>0</v>
      </c>
      <c r="E54" s="13" t="n">
        <v>0</v>
      </c>
      <c r="F54" s="13">
        <f>D54-E54</f>
        <v/>
      </c>
      <c r="G54" s="14">
        <f>IF(D54=0,"",E54/D54*100)</f>
        <v/>
      </c>
    </row>
    <row r="55">
      <c r="A55" s="17" t="inlineStr">
        <is>
          <t>Fundraising events</t>
        </is>
      </c>
      <c r="B55" s="17" t="inlineStr">
        <is>
          <t>Nov 25</t>
        </is>
      </c>
      <c r="C55" s="17" t="inlineStr">
        <is>
          <t>Locked</t>
        </is>
      </c>
      <c r="D55" s="13" t="n">
        <v>0</v>
      </c>
      <c r="E55" s="13" t="n">
        <v>0</v>
      </c>
      <c r="F55" s="13">
        <f>D55-E55</f>
        <v/>
      </c>
      <c r="G55" s="14">
        <f>IF(D55=0,"",E55/D55*100)</f>
        <v/>
      </c>
    </row>
    <row r="56">
      <c r="A56" s="17" t="inlineStr">
        <is>
          <t>Fundraising events</t>
        </is>
      </c>
      <c r="B56" s="17" t="inlineStr">
        <is>
          <t>Dec 25</t>
        </is>
      </c>
      <c r="C56" s="17" t="inlineStr">
        <is>
          <t>Locked</t>
        </is>
      </c>
      <c r="D56" s="13" t="n">
        <v>6200</v>
      </c>
      <c r="E56" s="13" t="n">
        <v>2600</v>
      </c>
      <c r="F56" s="13">
        <f>D56-E56</f>
        <v/>
      </c>
      <c r="G56" s="14">
        <f>IF(D56=0,"",E56/D56*100)</f>
        <v/>
      </c>
    </row>
    <row r="57">
      <c r="A57" s="17" t="inlineStr">
        <is>
          <t>Fundraising events</t>
        </is>
      </c>
      <c r="B57" s="17" t="inlineStr">
        <is>
          <t>Jan 26</t>
        </is>
      </c>
      <c r="C57" s="17" t="inlineStr">
        <is>
          <t>Locked</t>
        </is>
      </c>
      <c r="D57" s="13" t="n">
        <v>0</v>
      </c>
      <c r="E57" s="13" t="n">
        <v>0</v>
      </c>
      <c r="F57" s="13">
        <f>D57-E57</f>
        <v/>
      </c>
      <c r="G57" s="14">
        <f>IF(D57=0,"",E57/D57*100)</f>
        <v/>
      </c>
    </row>
    <row r="58">
      <c r="A58" s="17" t="inlineStr">
        <is>
          <t>Fundraising events</t>
        </is>
      </c>
      <c r="B58" s="17" t="inlineStr">
        <is>
          <t>Feb 26</t>
        </is>
      </c>
      <c r="C58" s="17" t="inlineStr">
        <is>
          <t>Locked</t>
        </is>
      </c>
      <c r="D58" s="13" t="n">
        <v>0</v>
      </c>
      <c r="E58" s="13" t="n">
        <v>0</v>
      </c>
      <c r="F58" s="13">
        <f>D58-E58</f>
        <v/>
      </c>
      <c r="G58" s="14">
        <f>IF(D58=0,"",E58/D58*100)</f>
        <v/>
      </c>
    </row>
    <row r="59">
      <c r="A59" s="17" t="inlineStr">
        <is>
          <t>Fundraising events</t>
        </is>
      </c>
      <c r="B59" s="17" t="inlineStr">
        <is>
          <t>Mar 26</t>
        </is>
      </c>
      <c r="C59" s="17" t="inlineStr">
        <is>
          <t>Locked</t>
        </is>
      </c>
      <c r="D59" s="13" t="n">
        <v>0</v>
      </c>
      <c r="E59" s="13" t="n">
        <v>0</v>
      </c>
      <c r="F59" s="13">
        <f>D59-E59</f>
        <v/>
      </c>
      <c r="G59" s="14">
        <f>IF(D59=0,"",E59/D59*100)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3" min="0" max="16383" man="1"/>
    <brk id="41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2026-10-07T07:37:20Z</dcterms:created>
  <dcterms:modified xmlns:dcterms="http://purl.org/dc/terms/" xmlns:xsi="http://www.w3.org/2001/XMLSchema-instance" xsi:type="dcterms:W3CDTF">2026-10-07T07:37:20Z</dcterms:modified>
</cp:coreProperties>
</file>