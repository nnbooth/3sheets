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'Report'!$A$1:$D$64</definedName>
    <definedName name="_xlnm.Print_Area" localSheetId="1">'Workings'!$A$1:$B$67</definedName>
    <definedName name="_xlnm.Print_Titles" localSheetId="2">'Data'!$9:$9</definedName>
    <definedName name="_xlnm.Print_Area" localSheetId="2">'Data'!$A$1:$F$14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'Report'!$A$10:$A$14</f>
            </numRef>
          </cat>
          <val>
            <numRef>
              <f>'Report'!$B$10:$B$14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207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4" headerRowCount="1">
  <autoFilter ref="A9:F14"/>
  <tableColumns count="6">
    <tableColumn id="1" name="Program"/>
    <tableColumn id="2" name="Grant spending, Mar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9:35am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March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Digital literacy</t>
        </is>
      </c>
      <c r="B12" s="8">
        <f>Workings!B41</f>
        <v/>
      </c>
      <c r="C12" s="9">
        <f>Workings!B36</f>
        <v/>
      </c>
    </row>
    <row r="13">
      <c r="A13" t="inlineStr">
        <is>
          <t>Community meals (2025-26)</t>
        </is>
      </c>
      <c r="B13" s="8">
        <f>Workings!B54</f>
        <v/>
      </c>
      <c r="C13" s="9">
        <f>Workings!B49</f>
        <v/>
      </c>
    </row>
    <row r="14">
      <c r="A14" t="inlineStr">
        <is>
          <t>Volunteer coordinator</t>
        </is>
      </c>
      <c r="B14" s="8">
        <f>Workings!B67</f>
        <v/>
      </c>
      <c r="C14" s="9">
        <f>Workings!B62</f>
        <v/>
      </c>
    </row>
    <row r="15"/>
    <row r="16"/>
    <row r="17"/>
    <row r="18"/>
    <row r="19"/>
    <row r="20"/>
    <row r="21"/>
    <row r="22">
      <c r="A22" s="10" t="inlineStr">
        <is>
          <t>What it shows</t>
        </is>
      </c>
    </row>
    <row r="23" ht="45" customHeight="1">
      <c r="A23" s="3" t="inlineStr">
        <is>
          <t>Housing support is the biggest program: $49,107 in March once its share of untied program costs and administration is added to $24,832 of grant spending. Shared costs add 97.8% on top of grant spending across all programs.</t>
        </is>
      </c>
    </row>
    <row r="24"/>
    <row r="25">
      <c r="A25" s="10" t="inlineStr">
        <is>
          <t>What you'd do about it</t>
        </is>
      </c>
    </row>
    <row r="26" ht="30" customHeight="1">
      <c r="A26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7"/>
    <row r="28">
      <c r="A28" s="4" t="inlineStr">
        <is>
          <t>Program: Housing support</t>
        </is>
      </c>
    </row>
    <row r="29">
      <c r="A29" s="10" t="inlineStr">
        <is>
          <t>What it shows</t>
        </is>
      </c>
    </row>
    <row r="30" ht="45" customHeight="1">
      <c r="A30" s="3" t="inlineStr">
        <is>
          <t>Housing support cost $49,107 in full in March: $24,832 paid by the State Housing Program grant, and $24,275 of shared costs no grant covers. It has spent 90.9% of its budget to date, with $278,158 left and 9 months to go.</t>
        </is>
      </c>
    </row>
    <row r="31"/>
    <row r="32">
      <c r="A32" s="10" t="inlineStr">
        <is>
          <t>What you'd do about it</t>
        </is>
      </c>
    </row>
    <row r="33" ht="30" customHeight="1">
      <c r="A33" s="3" t="inlineStr">
        <is>
          <t>The full cost is $49,107 a month; $24,275 of it is shared cost the grant doesn't pay for. Worth asking for as much of it as the funder allows at renewal.</t>
        </is>
      </c>
    </row>
    <row r="34"/>
    <row r="35">
      <c r="A35" s="4" t="inlineStr">
        <is>
          <t>Program: Youth outreach</t>
        </is>
      </c>
    </row>
    <row r="36">
      <c r="A36" s="10" t="inlineStr">
        <is>
          <t>What it shows</t>
        </is>
      </c>
    </row>
    <row r="37" ht="45" customHeight="1">
      <c r="A37" s="3" t="inlineStr">
        <is>
          <t>Youth outreach cost $32,660 in full in March: $16,515 paid by the State Department of Families grant, and $16,145 of shared costs no grant covers. It has spent 98.2% of its budget to date, with $303,265 left and 15 months to go.</t>
        </is>
      </c>
    </row>
    <row r="38"/>
    <row r="39">
      <c r="A39" s="10" t="inlineStr">
        <is>
          <t>What you'd do about it</t>
        </is>
      </c>
    </row>
    <row r="40" ht="30" customHeight="1">
      <c r="A40" s="3" t="inlineStr">
        <is>
          <t>The full cost is $32,660 a month; $16,145 of it is shared cost the grant doesn't pay for. Worth asking for as much of it as the funder allows at renewal.</t>
        </is>
      </c>
    </row>
    <row r="41"/>
    <row r="42">
      <c r="A42" s="4" t="inlineStr">
        <is>
          <t>Program: Digital literacy</t>
        </is>
      </c>
    </row>
    <row r="43">
      <c r="A43" s="10" t="inlineStr">
        <is>
          <t>What it shows</t>
        </is>
      </c>
    </row>
    <row r="44" ht="45" customHeight="1">
      <c r="A44" s="3" t="inlineStr">
        <is>
          <t>Digital literacy cost $10,732 in full in March: $5,427 paid by the Philanthropic foundation grant, and $5,305 of shared costs no grant covers. It has spent 100.8% of its budget to date, with $59,773 left and 12 months to go.</t>
        </is>
      </c>
    </row>
    <row r="45"/>
    <row r="46">
      <c r="A46" s="10" t="inlineStr">
        <is>
          <t>What you'd do about it</t>
        </is>
      </c>
    </row>
    <row r="47" ht="30" customHeight="1">
      <c r="A47" s="3" t="inlineStr">
        <is>
          <t>The full cost is $10,732 a month; $5,305 of it is shared cost the grant doesn't pay for. Worth asking for as much of it as the funder allows at renewal.</t>
        </is>
      </c>
    </row>
    <row r="48"/>
    <row r="49">
      <c r="A49" s="4" t="inlineStr">
        <is>
          <t>Program: Community meals (2025-26)</t>
        </is>
      </c>
    </row>
    <row r="50">
      <c r="A50" s="10" t="inlineStr">
        <is>
          <t>What it shows</t>
        </is>
      </c>
    </row>
    <row r="51" ht="45" customHeight="1">
      <c r="A51" s="3" t="inlineStr">
        <is>
          <t>Community meals (2025-26) cost $8,108 in full in March: $4,100 paid by the Local council community grant grant, and $4,008 of shared costs no grant covers. It has spent 96.7% of its budget to date, with $12,100 left and 3 months to go.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The full cost is $8,108 a month; $4,008 of it is shared cost the grant doesn't pay for. Worth asking for as much of it as the funder allows at renewal.</t>
        </is>
      </c>
    </row>
    <row r="55"/>
    <row r="56">
      <c r="A56" s="4" t="inlineStr">
        <is>
          <t>Program: Volunteer coordinator</t>
        </is>
      </c>
    </row>
    <row r="57">
      <c r="A57" s="10" t="inlineStr">
        <is>
          <t>What it shows</t>
        </is>
      </c>
    </row>
    <row r="58" ht="45" customHeight="1">
      <c r="A58" s="3" t="inlineStr">
        <is>
          <t>Volunteer coordinator cost $5,798 in full in March: $2,932 paid by the State volunteering grant grant, and $2,866 of shared costs no grant covers. It has spent 97.7% of its budget to date, with $33,068 left and 11 months to go.</t>
        </is>
      </c>
    </row>
    <row r="59"/>
    <row r="60">
      <c r="A60" s="10" t="inlineStr">
        <is>
          <t>What you'd do about it</t>
        </is>
      </c>
    </row>
    <row r="61" ht="30" customHeight="1">
      <c r="A61" s="3" t="inlineStr">
        <is>
          <t>The full cost is $5,798 a month; $2,866 of it is shared cost the grant doesn't pay for. Worth asking for as much of it as the funder allows at renewal.</t>
        </is>
      </c>
    </row>
    <row r="62"/>
    <row r="63">
      <c r="A63" s="4" t="inlineStr">
        <is>
          <t>Every program at once</t>
        </is>
      </c>
    </row>
    <row r="64">
      <c r="A64" s="11" t="inlineStr">
        <is>
          <t>Grant spending, by month: every month is on the Data sheet.</t>
        </is>
      </c>
    </row>
    <row r="65"/>
    <row r="66"/>
  </sheetData>
  <mergeCells count="13">
    <mergeCell ref="A5:D5"/>
    <mergeCell ref="A23:D23"/>
    <mergeCell ref="A37:D37"/>
    <mergeCell ref="A40:D40"/>
    <mergeCell ref="A61:D61"/>
    <mergeCell ref="A58:D58"/>
    <mergeCell ref="A26:D26"/>
    <mergeCell ref="A30:D30"/>
    <mergeCell ref="A54:D54"/>
    <mergeCell ref="A33:D33"/>
    <mergeCell ref="A51:D51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9:35am</t>
        </is>
      </c>
    </row>
    <row r="4"/>
    <row r="5">
      <c r="A5" s="4" t="inlineStr">
        <is>
          <t>Housing support: full cost, March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Mar 2026</t>
        </is>
      </c>
    </row>
    <row r="8">
      <c r="A8" t="inlineStr">
        <is>
          <t>Grant spending on the program</t>
        </is>
      </c>
      <c r="B8" s="12" t="n">
        <v>24832</v>
      </c>
    </row>
    <row r="9">
      <c r="A9" t="inlineStr">
        <is>
          <t>All grant-funded program spending</t>
        </is>
      </c>
      <c r="B9" s="12" t="n">
        <v>53806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17100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35500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March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Mar 2026</t>
        </is>
      </c>
    </row>
    <row r="21">
      <c r="A21" t="inlineStr">
        <is>
          <t>Grant spending on the program</t>
        </is>
      </c>
      <c r="B21" s="12" t="n">
        <v>16515</v>
      </c>
    </row>
    <row r="22">
      <c r="A22" t="inlineStr">
        <is>
          <t>All grant-funded program spending</t>
        </is>
      </c>
      <c r="B22" s="12" t="n">
        <v>53806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17100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35500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Digital literacy: full cost, March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Mar 2026</t>
        </is>
      </c>
    </row>
    <row r="34">
      <c r="A34" t="inlineStr">
        <is>
          <t>Grant spending on the program</t>
        </is>
      </c>
      <c r="B34" s="12" t="n">
        <v>5427</v>
      </c>
    </row>
    <row r="35">
      <c r="A35" t="inlineStr">
        <is>
          <t>All grant-funded program spending</t>
        </is>
      </c>
      <c r="B35" s="12" t="n">
        <v>53806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17100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35500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Community meals (2025-26): full cost, March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Mar 2026</t>
        </is>
      </c>
    </row>
    <row r="47">
      <c r="A47" t="inlineStr">
        <is>
          <t>Grant spending on the program</t>
        </is>
      </c>
      <c r="B47" s="12" t="n">
        <v>4100</v>
      </c>
    </row>
    <row r="48">
      <c r="A48" t="inlineStr">
        <is>
          <t>All grant-funded program spending</t>
        </is>
      </c>
      <c r="B48" s="12" t="n">
        <v>53806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17100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35500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Volunteer coordinator: full cost, March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Mar 2026</t>
        </is>
      </c>
    </row>
    <row r="60">
      <c r="A60" t="inlineStr">
        <is>
          <t>Grant spending on the program</t>
        </is>
      </c>
      <c r="B60" s="12" t="n">
        <v>2932</v>
      </c>
    </row>
    <row r="61">
      <c r="A61" t="inlineStr">
        <is>
          <t>All grant-funded program spending</t>
        </is>
      </c>
      <c r="B61" s="12" t="n">
        <v>53806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17100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35500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9:35am</t>
        </is>
      </c>
    </row>
    <row r="4"/>
    <row r="5">
      <c r="A5" t="inlineStr">
        <is>
          <t>All grant-funded program spending, March 2026</t>
        </is>
      </c>
      <c r="B5" s="8" t="n">
        <v>53806</v>
      </c>
    </row>
    <row r="6">
      <c r="A6" t="inlineStr">
        <is>
          <t>Untied program costs, March 2026 (all programs)</t>
        </is>
      </c>
      <c r="B6" s="8" t="n">
        <v>17100</v>
      </c>
    </row>
    <row r="7">
      <c r="A7" t="inlineStr">
        <is>
          <t>Administration, March 2026 (all)</t>
        </is>
      </c>
      <c r="B7" s="8" t="n">
        <v>35500</v>
      </c>
    </row>
    <row r="8"/>
    <row r="9">
      <c r="A9" s="6" t="inlineStr">
        <is>
          <t>Program</t>
        </is>
      </c>
      <c r="B9" s="7" t="inlineStr">
        <is>
          <t>Grant spending, Mar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24832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16515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Digital literacy</t>
        </is>
      </c>
      <c r="B12" s="12" t="n">
        <v>5427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Community meals (2025-26)</t>
        </is>
      </c>
      <c r="B13" s="12" t="n">
        <v>4100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Volunteer coordinator</t>
        </is>
      </c>
      <c r="B14" s="12" t="n">
        <v>2932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2026-10-07T23:36:03Z</dcterms:created>
  <dcterms:modified xmlns:dcterms="http://purl.org/dc/terms/" xmlns:xsi="http://www.w3.org/2001/XMLSchema-instance" xsi:type="dcterms:W3CDTF">2026-10-07T23:36:03Z</dcterms:modified>
</cp:coreProperties>
</file>