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March">'Report'!$B$9</definedName>
    <definedName name="Volunteers_who_did_a_shift_March">'Report'!$B$10</definedName>
    <definedName name="Hours_per_volunteer_March">'Report'!$B$11</definedName>
    <definedName name="March_last_year">'Report'!$B$12</definedName>
    <definedName name="_xlnm.Print_Area" localSheetId="0">'Report'!$A$1:$D$36</definedName>
    <definedName name="_xlnm.Print_Area" localSheetId="1">'Workings'!$A$1:$C$82</definedName>
    <definedName name="_xlnm.Print_Titles" localSheetId="2">'Data'!$5:$5</definedName>
    <definedName name="_xlnm.Print_Area" localSheetId="2">'Data'!$A$1:$E$23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March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'Report'!$A$16:$A$21</f>
            </numRef>
          </cat>
          <val>
            <numRef>
              <f>'Report'!$B$16:$B$21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3" headerRowCount="1">
  <autoFilter ref="A5:E23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10 Oct 2026, 9:55pm</t>
        </is>
      </c>
    </row>
    <row r="4"/>
    <row r="5" ht="32" customHeight="1">
      <c r="A5" s="3" t="inlineStr">
        <is>
          <t>In short: 870.0 h of volunteer time in March, from 58 volunteers; most went to Housing support.</t>
        </is>
      </c>
    </row>
    <row r="6" ht="32" customHeight="1">
      <c r="A6" s="4" t="inlineStr">
        <is>
          <t>Every volunteer shift: who (a code, not a name), which program, and how many hours.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Volunteer hours, March</t>
        </is>
      </c>
      <c r="B9" s="7">
        <f>Workings!B8</f>
        <v/>
      </c>
      <c r="C9" s="8" t="inlineStr">
        <is>
          <t>February 781.0 h</t>
        </is>
      </c>
    </row>
    <row r="10">
      <c r="A10" t="inlineStr">
        <is>
          <t>Volunteers who did a shift, March</t>
        </is>
      </c>
      <c r="B10" s="9">
        <f>Workings!B17</f>
        <v/>
      </c>
      <c r="C10" s="8" t="inlineStr">
        <is>
          <t>February 56</t>
        </is>
      </c>
    </row>
    <row r="11">
      <c r="A11" t="inlineStr">
        <is>
          <t>Hours per volunteer, March</t>
        </is>
      </c>
      <c r="B11" s="7">
        <f>Workings!B26</f>
        <v/>
      </c>
      <c r="C11" s="8" t="inlineStr">
        <is>
          <t>average</t>
        </is>
      </c>
    </row>
    <row r="12">
      <c r="A12" t="inlineStr">
        <is>
          <t>March last year</t>
        </is>
      </c>
      <c r="B12" s="7">
        <f>Workings!B32</f>
        <v/>
      </c>
      <c r="C12" s="8" t="inlineStr">
        <is>
          <t>30 volunteers</t>
        </is>
      </c>
    </row>
    <row r="13"/>
    <row r="14">
      <c r="A14" s="10" t="inlineStr">
        <is>
          <t>Volunteer hours by program, March 2026</t>
        </is>
      </c>
    </row>
    <row r="15">
      <c r="A15" s="5" t="inlineStr"/>
      <c r="B15" s="6" t="inlineStr">
        <is>
          <t>Volunteer hours by program</t>
        </is>
      </c>
    </row>
    <row r="16">
      <c r="A16" t="inlineStr">
        <is>
          <t>Housing support</t>
        </is>
      </c>
      <c r="B16" s="7">
        <f>Workings!B40</f>
        <v/>
      </c>
    </row>
    <row r="17">
      <c r="A17" t="inlineStr">
        <is>
          <t>Youth outreach</t>
        </is>
      </c>
      <c r="B17" s="7">
        <f>Workings!B48</f>
        <v/>
      </c>
    </row>
    <row r="18">
      <c r="A18" t="inlineStr">
        <is>
          <t>Community meals</t>
        </is>
      </c>
      <c r="B18" s="7">
        <f>Workings!B56</f>
        <v/>
      </c>
    </row>
    <row r="19">
      <c r="A19" t="inlineStr">
        <is>
          <t>Mental health first aid</t>
        </is>
      </c>
      <c r="B19" s="7">
        <f>Workings!B64</f>
        <v/>
      </c>
    </row>
    <row r="20">
      <c r="A20" t="inlineStr">
        <is>
          <t>Digital literacy</t>
        </is>
      </c>
      <c r="B20" s="7">
        <f>Workings!B72</f>
        <v/>
      </c>
    </row>
    <row r="21">
      <c r="A21" t="inlineStr">
        <is>
          <t>Volunteer coordinator</t>
        </is>
      </c>
      <c r="B21" s="7">
        <f>Workings!B80</f>
        <v/>
      </c>
    </row>
    <row r="22"/>
    <row r="23"/>
    <row r="24"/>
    <row r="25"/>
    <row r="26"/>
    <row r="27"/>
    <row r="28"/>
    <row r="29"/>
    <row r="30">
      <c r="A30" s="11" t="inlineStr">
        <is>
          <t>Volunteer hours by month: every month is on the Data sheet.</t>
        </is>
      </c>
    </row>
    <row r="31"/>
    <row r="32">
      <c r="A32" s="12" t="inlineStr">
        <is>
          <t>What it shows</t>
        </is>
      </c>
    </row>
    <row r="33" ht="30" customHeight="1">
      <c r="A33" s="4" t="inlineStr">
        <is>
          <t>58 volunteers gave 870.0 h in March, against 781.0 h in February. Housing support drew the most (178.5 h, 20.5%).</t>
        </is>
      </c>
    </row>
    <row r="34"/>
    <row r="35">
      <c r="A35" s="12" t="inlineStr">
        <is>
          <t>What you'd do about it</t>
        </is>
      </c>
    </row>
    <row r="36" ht="30" customHeight="1">
      <c r="A36" s="4" t="inlineStr">
        <is>
          <t>Volunteer coordinator had the fewest volunteer hours (77.5 h). Hours are up 95.9% on March last year.</t>
        </is>
      </c>
    </row>
    <row r="37"/>
    <row r="38"/>
  </sheetData>
  <mergeCells count="4">
    <mergeCell ref="A5:D5"/>
    <mergeCell ref="A36:D36"/>
    <mergeCell ref="A33:D33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10 Oct 2026, 9:55pm</t>
        </is>
      </c>
    </row>
    <row r="4"/>
    <row r="5">
      <c r="A5" s="13" t="inlineStr">
        <is>
          <t>Volunteer hours, March and February</t>
        </is>
      </c>
    </row>
    <row r="6">
      <c r="A6" s="11" t="inlineStr">
        <is>
          <t>Hours from every volunteer shift</t>
        </is>
      </c>
    </row>
    <row r="7">
      <c r="A7" s="5" t="inlineStr"/>
      <c r="B7" s="6" t="inlineStr">
        <is>
          <t>Mar 26</t>
        </is>
      </c>
      <c r="C7" s="6" t="inlineStr">
        <is>
          <t>Feb 26</t>
        </is>
      </c>
    </row>
    <row r="8">
      <c r="A8" t="inlineStr">
        <is>
          <t>Volunteer hours</t>
        </is>
      </c>
      <c r="B8" s="14" t="n">
        <v>870</v>
      </c>
      <c r="C8" s="14" t="n">
        <v>781</v>
      </c>
    </row>
    <row r="9">
      <c r="A9" t="inlineStr">
        <is>
          <t>Volunteers who did a shift</t>
        </is>
      </c>
      <c r="B9" s="15" t="n">
        <v>58</v>
      </c>
      <c r="C9" s="15" t="n">
        <v>56</v>
      </c>
    </row>
    <row r="10">
      <c r="A10" s="16" t="inlineStr">
        <is>
          <t>Hours per volunteer</t>
        </is>
      </c>
      <c r="B10" s="17">
        <f>B8/B9</f>
        <v/>
      </c>
      <c r="C10" s="17">
        <f>C8/C9</f>
        <v/>
      </c>
    </row>
    <row r="11"/>
    <row r="12"/>
    <row r="13">
      <c r="A13" s="13" t="inlineStr">
        <is>
          <t>Volunteer hours, March and February</t>
        </is>
      </c>
    </row>
    <row r="14">
      <c r="A14" s="11" t="inlineStr">
        <is>
          <t>Hours from every volunteer shift</t>
        </is>
      </c>
    </row>
    <row r="15">
      <c r="A15" s="5" t="inlineStr"/>
      <c r="B15" s="6" t="inlineStr">
        <is>
          <t>Mar 26</t>
        </is>
      </c>
      <c r="C15" s="6" t="inlineStr">
        <is>
          <t>Feb 26</t>
        </is>
      </c>
    </row>
    <row r="16">
      <c r="A16" t="inlineStr">
        <is>
          <t>Volunteer hours</t>
        </is>
      </c>
      <c r="B16" s="14" t="n">
        <v>870</v>
      </c>
      <c r="C16" s="14" t="n">
        <v>781</v>
      </c>
    </row>
    <row r="17">
      <c r="A17" t="inlineStr">
        <is>
          <t>Volunteers who did a shift</t>
        </is>
      </c>
      <c r="B17" s="15" t="n">
        <v>58</v>
      </c>
      <c r="C17" s="15" t="n">
        <v>56</v>
      </c>
    </row>
    <row r="18">
      <c r="A18" s="16" t="inlineStr">
        <is>
          <t>Hours per volunteer</t>
        </is>
      </c>
      <c r="B18" s="17">
        <f>B16/B17</f>
        <v/>
      </c>
      <c r="C18" s="17">
        <f>C16/C17</f>
        <v/>
      </c>
    </row>
    <row r="19"/>
    <row r="20"/>
    <row r="21">
      <c r="A21" s="13" t="inlineStr">
        <is>
          <t>Volunteer hours, March and February</t>
        </is>
      </c>
    </row>
    <row r="22">
      <c r="A22" s="11" t="inlineStr">
        <is>
          <t>Hours from every volunteer shift</t>
        </is>
      </c>
    </row>
    <row r="23">
      <c r="A23" s="5" t="inlineStr"/>
      <c r="B23" s="6" t="inlineStr">
        <is>
          <t>Mar 26</t>
        </is>
      </c>
      <c r="C23" s="6" t="inlineStr">
        <is>
          <t>Feb 26</t>
        </is>
      </c>
    </row>
    <row r="24">
      <c r="A24" t="inlineStr">
        <is>
          <t>Volunteer hours</t>
        </is>
      </c>
      <c r="B24" s="14" t="n">
        <v>870</v>
      </c>
      <c r="C24" s="14" t="n">
        <v>781</v>
      </c>
    </row>
    <row r="25">
      <c r="A25" t="inlineStr">
        <is>
          <t>Volunteers who did a shift</t>
        </is>
      </c>
      <c r="B25" s="15" t="n">
        <v>58</v>
      </c>
      <c r="C25" s="15" t="n">
        <v>56</v>
      </c>
    </row>
    <row r="26">
      <c r="A26" s="16" t="inlineStr">
        <is>
          <t>Hours per volunteer</t>
        </is>
      </c>
      <c r="B26" s="17">
        <f>B24/B25</f>
        <v/>
      </c>
      <c r="C26" s="17">
        <f>C24/C25</f>
        <v/>
      </c>
    </row>
    <row r="27"/>
    <row r="28"/>
    <row r="29">
      <c r="A29" s="13" t="inlineStr">
        <is>
          <t>Volunteer hours, Mar 25</t>
        </is>
      </c>
    </row>
    <row r="30">
      <c r="A30" s="11" t="inlineStr">
        <is>
          <t>Hours from every volunteer shift</t>
        </is>
      </c>
    </row>
    <row r="31">
      <c r="A31" s="5" t="inlineStr"/>
      <c r="B31" s="6" t="inlineStr">
        <is>
          <t>Mar 25</t>
        </is>
      </c>
    </row>
    <row r="32">
      <c r="A32" t="inlineStr">
        <is>
          <t>Volunteer hours</t>
        </is>
      </c>
      <c r="B32" s="14" t="n">
        <v>444</v>
      </c>
    </row>
    <row r="33">
      <c r="A33" t="inlineStr">
        <is>
          <t>Volunteers who did a shift</t>
        </is>
      </c>
      <c r="B33" s="15" t="n">
        <v>30</v>
      </c>
    </row>
    <row r="34">
      <c r="A34" s="16" t="inlineStr">
        <is>
          <t>Hours per volunteer</t>
        </is>
      </c>
      <c r="B34" s="17">
        <f>B32/B33</f>
        <v/>
      </c>
    </row>
    <row r="35"/>
    <row r="36"/>
    <row r="37">
      <c r="A37" s="13" t="inlineStr">
        <is>
          <t>Housing support: volunteer hours, March 2026</t>
        </is>
      </c>
    </row>
    <row r="38">
      <c r="A38" s="11" t="inlineStr">
        <is>
          <t>Hours from shifts on this program</t>
        </is>
      </c>
    </row>
    <row r="39">
      <c r="A39" s="5" t="inlineStr"/>
      <c r="B39" s="6" t="inlineStr">
        <is>
          <t>Mar 2026</t>
        </is>
      </c>
    </row>
    <row r="40">
      <c r="A40" t="inlineStr">
        <is>
          <t>Volunteer hours</t>
        </is>
      </c>
      <c r="B40" s="14" t="n">
        <v>178.5</v>
      </c>
    </row>
    <row r="41">
      <c r="A41" t="inlineStr">
        <is>
          <t>All volunteer hours</t>
        </is>
      </c>
      <c r="B41" s="14" t="n">
        <v>870</v>
      </c>
    </row>
    <row r="42">
      <c r="A42" s="16" t="inlineStr">
        <is>
          <t>Share</t>
        </is>
      </c>
      <c r="B42" s="18">
        <f>B40/B41</f>
        <v/>
      </c>
    </row>
    <row r="43"/>
    <row r="44"/>
    <row r="45">
      <c r="A45" s="13" t="inlineStr">
        <is>
          <t>Youth outreach: volunteer hours, March 2026</t>
        </is>
      </c>
    </row>
    <row r="46">
      <c r="A46" s="11" t="inlineStr">
        <is>
          <t>Hours from shifts on this program</t>
        </is>
      </c>
    </row>
    <row r="47">
      <c r="A47" s="5" t="inlineStr"/>
      <c r="B47" s="6" t="inlineStr">
        <is>
          <t>Mar 2026</t>
        </is>
      </c>
    </row>
    <row r="48">
      <c r="A48" t="inlineStr">
        <is>
          <t>Volunteer hours</t>
        </is>
      </c>
      <c r="B48" s="14" t="n">
        <v>170</v>
      </c>
    </row>
    <row r="49">
      <c r="A49" t="inlineStr">
        <is>
          <t>All volunteer hours</t>
        </is>
      </c>
      <c r="B49" s="14" t="n">
        <v>870</v>
      </c>
    </row>
    <row r="50">
      <c r="A50" s="16" t="inlineStr">
        <is>
          <t>Share</t>
        </is>
      </c>
      <c r="B50" s="18">
        <f>B48/B49</f>
        <v/>
      </c>
    </row>
    <row r="51"/>
    <row r="52"/>
    <row r="53">
      <c r="A53" s="13" t="inlineStr">
        <is>
          <t>Community meals: volunteer hours, March 2026</t>
        </is>
      </c>
    </row>
    <row r="54">
      <c r="A54" s="11" t="inlineStr">
        <is>
          <t>Hours from shifts on this program</t>
        </is>
      </c>
    </row>
    <row r="55">
      <c r="A55" s="5" t="inlineStr"/>
      <c r="B55" s="6" t="inlineStr">
        <is>
          <t>Mar 2026</t>
        </is>
      </c>
    </row>
    <row r="56">
      <c r="A56" t="inlineStr">
        <is>
          <t>Volunteer hours</t>
        </is>
      </c>
      <c r="B56" s="14" t="n">
        <v>169</v>
      </c>
    </row>
    <row r="57">
      <c r="A57" t="inlineStr">
        <is>
          <t>All volunteer hours</t>
        </is>
      </c>
      <c r="B57" s="14" t="n">
        <v>870</v>
      </c>
    </row>
    <row r="58">
      <c r="A58" s="16" t="inlineStr">
        <is>
          <t>Share</t>
        </is>
      </c>
      <c r="B58" s="18">
        <f>B56/B57</f>
        <v/>
      </c>
    </row>
    <row r="59"/>
    <row r="60"/>
    <row r="61">
      <c r="A61" s="13" t="inlineStr">
        <is>
          <t>Mental health first aid: volunteer hours, March 2026</t>
        </is>
      </c>
    </row>
    <row r="62">
      <c r="A62" s="11" t="inlineStr">
        <is>
          <t>Hours from shifts on this program</t>
        </is>
      </c>
    </row>
    <row r="63">
      <c r="A63" s="5" t="inlineStr"/>
      <c r="B63" s="6" t="inlineStr">
        <is>
          <t>Mar 2026</t>
        </is>
      </c>
    </row>
    <row r="64">
      <c r="A64" t="inlineStr">
        <is>
          <t>Volunteer hours</t>
        </is>
      </c>
      <c r="B64" s="14" t="n">
        <v>156</v>
      </c>
    </row>
    <row r="65">
      <c r="A65" t="inlineStr">
        <is>
          <t>All volunteer hours</t>
        </is>
      </c>
      <c r="B65" s="14" t="n">
        <v>870</v>
      </c>
    </row>
    <row r="66">
      <c r="A66" s="16" t="inlineStr">
        <is>
          <t>Share</t>
        </is>
      </c>
      <c r="B66" s="18">
        <f>B64/B65</f>
        <v/>
      </c>
    </row>
    <row r="67"/>
    <row r="68"/>
    <row r="69">
      <c r="A69" s="13" t="inlineStr">
        <is>
          <t>Digital literacy: volunteer hours, March 2026</t>
        </is>
      </c>
    </row>
    <row r="70">
      <c r="A70" s="11" t="inlineStr">
        <is>
          <t>Hours from shifts on this program</t>
        </is>
      </c>
    </row>
    <row r="71">
      <c r="A71" s="5" t="inlineStr"/>
      <c r="B71" s="6" t="inlineStr">
        <is>
          <t>Mar 2026</t>
        </is>
      </c>
    </row>
    <row r="72">
      <c r="A72" t="inlineStr">
        <is>
          <t>Volunteer hours</t>
        </is>
      </c>
      <c r="B72" s="14" t="n">
        <v>119</v>
      </c>
    </row>
    <row r="73">
      <c r="A73" t="inlineStr">
        <is>
          <t>All volunteer hours</t>
        </is>
      </c>
      <c r="B73" s="14" t="n">
        <v>870</v>
      </c>
    </row>
    <row r="74">
      <c r="A74" s="16" t="inlineStr">
        <is>
          <t>Share</t>
        </is>
      </c>
      <c r="B74" s="18">
        <f>B72/B73</f>
        <v/>
      </c>
    </row>
    <row r="75"/>
    <row r="76"/>
    <row r="77">
      <c r="A77" s="13" t="inlineStr">
        <is>
          <t>Volunteer coordinator: volunteer hours, March 2026</t>
        </is>
      </c>
    </row>
    <row r="78">
      <c r="A78" s="11" t="inlineStr">
        <is>
          <t>Hours from shifts on this program</t>
        </is>
      </c>
    </row>
    <row r="79">
      <c r="A79" s="5" t="inlineStr"/>
      <c r="B79" s="6" t="inlineStr">
        <is>
          <t>Mar 2026</t>
        </is>
      </c>
    </row>
    <row r="80">
      <c r="A80" t="inlineStr">
        <is>
          <t>Volunteer hours</t>
        </is>
      </c>
      <c r="B80" s="14" t="n">
        <v>77.5</v>
      </c>
    </row>
    <row r="81">
      <c r="A81" t="inlineStr">
        <is>
          <t>All volunteer hours</t>
        </is>
      </c>
      <c r="B81" s="14" t="n">
        <v>870</v>
      </c>
    </row>
    <row r="82">
      <c r="A82" s="16" t="inlineStr">
        <is>
          <t>Share</t>
        </is>
      </c>
      <c r="B82" s="18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Volunteer hours</t>
        </is>
      </c>
      <c r="D5" s="6" t="inlineStr">
        <is>
          <t>Volunteers</t>
        </is>
      </c>
      <c r="E5" s="6" t="inlineStr">
        <is>
          <t>Hours per volunteer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381</v>
      </c>
      <c r="D6" s="15" t="n">
        <v>25</v>
      </c>
      <c r="E6" s="14">
        <f>IF(D6=0,"",C6/D6)</f>
        <v/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373.5</v>
      </c>
      <c r="D7" s="15" t="n">
        <v>27</v>
      </c>
      <c r="E7" s="14">
        <f>IF(D7=0,"",C7/D7)</f>
        <v/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383.5</v>
      </c>
      <c r="D8" s="15" t="n">
        <v>26</v>
      </c>
      <c r="E8" s="14">
        <f>IF(D8=0,"",C8/D8)</f>
        <v/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387.5</v>
      </c>
      <c r="D9" s="15" t="n">
        <v>25</v>
      </c>
      <c r="E9" s="14">
        <f>IF(D9=0,"",C9/D9)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376.5</v>
      </c>
      <c r="D10" s="15" t="n">
        <v>30</v>
      </c>
      <c r="E10" s="14">
        <f>IF(D10=0,"",C10/D10)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444</v>
      </c>
      <c r="D11" s="15" t="n">
        <v>30</v>
      </c>
      <c r="E11" s="14">
        <f>IF(D11=0,"",C11/D11)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422.5</v>
      </c>
      <c r="D12" s="15" t="n">
        <v>34</v>
      </c>
      <c r="E12" s="14">
        <f>IF(D12=0,"",C12/D12)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562</v>
      </c>
      <c r="D13" s="15" t="n">
        <v>34</v>
      </c>
      <c r="E13" s="14">
        <f>IF(D13=0,"",C13/D13)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568</v>
      </c>
      <c r="D14" s="15" t="n">
        <v>40</v>
      </c>
      <c r="E14" s="14">
        <f>IF(D14=0,"",C14/D14)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609.5</v>
      </c>
      <c r="D15" s="15" t="n">
        <v>41</v>
      </c>
      <c r="E15" s="14">
        <f>IF(D15=0,"",C15/D15)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627</v>
      </c>
      <c r="D16" s="15" t="n">
        <v>42</v>
      </c>
      <c r="E16" s="14">
        <f>IF(D16=0,"",C16/D16)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708.5</v>
      </c>
      <c r="D17" s="15" t="n">
        <v>47</v>
      </c>
      <c r="E17" s="14">
        <f>IF(D17=0,"",C17/D17)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817</v>
      </c>
      <c r="D18" s="15" t="n">
        <v>54</v>
      </c>
      <c r="E18" s="14">
        <f>IF(D18=0,"",C18/D18)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780.5</v>
      </c>
      <c r="D19" s="15" t="n">
        <v>56</v>
      </c>
      <c r="E19" s="14">
        <f>IF(D19=0,"",C19/D19)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830.5</v>
      </c>
      <c r="D20" s="15" t="n">
        <v>55</v>
      </c>
      <c r="E20" s="14">
        <f>IF(D20=0,"",C20/D20)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817.5</v>
      </c>
      <c r="D21" s="15" t="n">
        <v>55</v>
      </c>
      <c r="E21" s="14">
        <f>IF(D21=0,"",C21/D21)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781</v>
      </c>
      <c r="D22" s="15" t="n">
        <v>56</v>
      </c>
      <c r="E22" s="14">
        <f>IF(D22=0,"",C22/D22)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4" t="n">
        <v>870</v>
      </c>
      <c r="D23" s="15" t="n">
        <v>58</v>
      </c>
      <c r="E23" s="14">
        <f>IF(D23=0,"",C23/D23)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2026-10-10T11:57:04Z</dcterms:created>
  <dcterms:modified xmlns:dcterms="http://purl.org/dc/terms/" xmlns:xsi="http://www.w3.org/2001/XMLSchema-instance" xsi:type="dcterms:W3CDTF">2026-10-10T11:57:04Z</dcterms:modified>
</cp:coreProperties>
</file>