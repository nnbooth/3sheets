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rch_all_fundraising">'Report'!$B$10</definedName>
    <definedName name="Year_to_date_Jul_to_Mar_2026">'Report'!$B$11</definedName>
    <definedName name="March_Grants">'Report'!$B$35</definedName>
    <definedName name="Year_to_date_Jul_to_Mar_2026_2">'Report'!$B$36</definedName>
    <definedName name="March_Donations">'Report'!$B$46</definedName>
    <definedName name="Year_to_date_Jul_to_Mar_2026_3">'Report'!$B$47</definedName>
    <definedName name="March_Fundraising_events">'Report'!$B$57</definedName>
    <definedName name="Year_to_date_Jul_to_Mar_2026_4">'Report'!$B$58</definedName>
    <definedName name="_xlnm.Print_Area" localSheetId="0">'Report'!$A$1:$D$67</definedName>
    <definedName name="_xlnm.Print_Area" localSheetId="1">'Workings'!$A$1:$C$82</definedName>
    <definedName name="_xlnm.Print_Titles" localSheetId="2">'Data'!$5:$5</definedName>
    <definedName name="_xlnm.Print_Area" localSheetId="2">'Data'!$A$1:$I$23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March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'Data'!$A$6:$A$23</f>
            </numRef>
          </cat>
          <val>
            <numRef>
              <f>'Data'!$C$6:$C$23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3" headerRowCount="1">
  <autoFilter ref="A5:I23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13¢ in March, and 14¢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March · all fundraising</t>
        </is>
      </c>
      <c r="B10" s="8">
        <f>Workings!B10</f>
        <v/>
      </c>
      <c r="C10" s="9" t="inlineStr">
        <is>
          <t>February 13¢</t>
        </is>
      </c>
    </row>
    <row r="11">
      <c r="A11" t="inlineStr">
        <is>
          <t>Year to date (Jul to Mar 2026)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March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13</v>
      </c>
    </row>
    <row r="16">
      <c r="A16" t="inlineStr">
        <is>
          <t>Donations</t>
        </is>
      </c>
      <c r="B16" s="8" t="n">
        <v>13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March cost 13¢ to raise each dollar, against 13¢ in February. This financial year to date it has cost 14¢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March · Grants</t>
        </is>
      </c>
      <c r="B35" s="8">
        <f>Workings!B39</f>
        <v/>
      </c>
      <c r="C35" s="9" t="inlineStr">
        <is>
          <t>February 13¢</t>
        </is>
      </c>
    </row>
    <row r="36">
      <c r="A36" t="inlineStr">
        <is>
          <t>Year to date (Jul to Mar 2026)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($63,900 of grant writing and reporting for $560,236).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March · Donations</t>
        </is>
      </c>
      <c r="B46" s="8">
        <f>Workings!B56</f>
        <v/>
      </c>
      <c r="C46" s="9" t="inlineStr">
        <is>
          <t>February 13¢</t>
        </is>
      </c>
    </row>
    <row r="47">
      <c r="A47" t="inlineStr">
        <is>
          <t>Year to date (Jul to Mar 2026)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15¢ to raise each dollar this financial year to date ($22,900 of donor campaigns for $152,600).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March · Fundraising events</t>
        </is>
      </c>
      <c r="B57" t="inlineStr">
        <is>
          <t>–</t>
        </is>
      </c>
      <c r="C57" s="9" t="inlineStr">
        <is>
          <t>February none raised</t>
        </is>
      </c>
    </row>
    <row r="58">
      <c r="A58" t="inlineStr">
        <is>
          <t>Year to date (Jul to Mar 2026)</t>
        </is>
      </c>
      <c r="B58" s="8">
        <f>Workings!B81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($17,800 of event costs for $43,000).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March and February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Mar 26</t>
        </is>
      </c>
      <c r="C7" s="7" t="inlineStr">
        <is>
          <t>Feb 26</t>
        </is>
      </c>
    </row>
    <row r="8">
      <c r="A8" t="inlineStr">
        <is>
          <t>Cost of raising it</t>
        </is>
      </c>
      <c r="B8" s="13" t="n">
        <v>9300</v>
      </c>
      <c r="C8" s="13" t="n">
        <v>9300</v>
      </c>
    </row>
    <row r="9">
      <c r="A9" t="inlineStr">
        <is>
          <t>Money raised</t>
        </is>
      </c>
      <c r="B9" s="13" t="n">
        <v>70306</v>
      </c>
      <c r="C9" s="13" t="n">
        <v>72159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104600</v>
      </c>
    </row>
    <row r="17">
      <c r="A17" t="inlineStr">
        <is>
          <t>Raised, year to date</t>
        </is>
      </c>
      <c r="B17" s="13" t="n">
        <v>755836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March 2026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Mar 2026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53806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16500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March. </t>
        </is>
      </c>
    </row>
    <row r="32"/>
    <row r="33"/>
    <row r="34">
      <c r="A34" s="5" t="inlineStr">
        <is>
          <t>Cost to raise a dollar, grants, March and February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Mar 26</t>
        </is>
      </c>
      <c r="C36" s="7" t="inlineStr">
        <is>
          <t>Feb 26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53806</v>
      </c>
      <c r="C38" s="13" t="n">
        <v>55759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63900</v>
      </c>
    </row>
    <row r="46">
      <c r="A46" t="inlineStr">
        <is>
          <t>Raised, year to date</t>
        </is>
      </c>
      <c r="B46" s="13" t="n">
        <v>560236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March and February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Mar 26</t>
        </is>
      </c>
      <c r="C53" s="7" t="inlineStr">
        <is>
          <t>Feb 26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16500</v>
      </c>
      <c r="C55" s="13" t="n">
        <v>16400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22900</v>
      </c>
    </row>
    <row r="63">
      <c r="A63" t="inlineStr">
        <is>
          <t>Raised, year to date</t>
        </is>
      </c>
      <c r="B63" s="13" t="n">
        <v>152600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March and February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Mar 26</t>
        </is>
      </c>
      <c r="C70" s="7" t="inlineStr">
        <is>
          <t>Feb 26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5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6" t="inlineStr"/>
      <c r="B78" s="7" t="inlineStr">
        <is>
          <t>Year to date</t>
        </is>
      </c>
    </row>
    <row r="79">
      <c r="A79" t="inlineStr">
        <is>
          <t>Cost, year to date</t>
        </is>
      </c>
      <c r="B79" s="13" t="n">
        <v>17800</v>
      </c>
    </row>
    <row r="80">
      <c r="A80" t="inlineStr">
        <is>
          <t>Raised, year to date</t>
        </is>
      </c>
      <c r="B80" s="13" t="n">
        <v>43000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2026-10-10T11:56:57Z</dcterms:created>
  <dcterms:modified xmlns:dcterms="http://purl.org/dc/terms/" xmlns:xsi="http://www.w3.org/2001/XMLSchema-instance" xsi:type="dcterms:W3CDTF">2026-10-10T11:56:57Z</dcterms:modified>
</cp:coreProperties>
</file>