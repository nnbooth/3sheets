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sheetId="3" state="visible" r:id="rId3"/>
  </sheets>
  <definedNames>
    <definedName name="_xlnm.Print_Titles" localSheetId="2">'Data'!$5:$5</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0">
    <font>
      <name val="Calibri"/>
      <family val="2"/>
      <color theme="1"/>
      <sz val="11"/>
      <scheme val="minor"/>
    </font>
    <font>
      <b val="1"/>
      <color rgb="0025342A"/>
      <sz val="14"/>
    </font>
    <font>
      <i val="1"/>
      <color rgb="005F6F63"/>
      <sz val="9"/>
    </font>
    <font>
      <b val="1"/>
      <color rgb="002F7A5D"/>
    </font>
    <font>
      <b val="1"/>
      <color rgb="002F7A5D"/>
      <sz val="12"/>
    </font>
    <font>
      <i val="1"/>
      <color rgb="005F6F63"/>
    </font>
    <font>
      <b val="1"/>
      <color rgb="00FFFFFF"/>
    </font>
    <font>
      <b val="1"/>
    </font>
    <font>
      <color rgb="005F6F63"/>
    </font>
    <font>
      <b val="1"/>
      <color rgb="0025342A"/>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pivotButton="0" quotePrefix="0" xfId="0"/>
    <xf numFmtId="0" fontId="6" fillId="2" borderId="0" applyAlignment="1" pivotButton="0" quotePrefix="0" xfId="0">
      <alignment horizontal="left" vertical="center" wrapText="1"/>
    </xf>
    <xf numFmtId="0" fontId="6" fillId="2" borderId="0" applyAlignment="1" pivotButton="0" quotePrefix="0" xfId="0">
      <alignment horizontal="right" vertical="center" wrapText="1"/>
    </xf>
    <xf numFmtId="165" fontId="0" fillId="0" borderId="0" pivotButton="0" quotePrefix="0" xfId="0"/>
    <xf numFmtId="0" fontId="8" fillId="0" borderId="0" pivotButton="0" quotePrefix="0" xfId="0"/>
    <xf numFmtId="0" fontId="9" fillId="0" borderId="0" pivotButton="0" quotePrefix="0" xfId="0"/>
    <xf numFmtId="164" fontId="0" fillId="0" borderId="0" pivotButton="0" quotePrefix="0" xfId="0"/>
    <xf numFmtId="0" fontId="5"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7" fillId="0" borderId="1" pivotButton="0" quotePrefix="0" xfId="0"/>
    <xf numFmtId="165" fontId="7"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9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t>
        </is>
      </c>
    </row>
    <row r="3">
      <c r="A3" s="2" t="inlineStr">
        <is>
          <t>Period: December 2025 · Data status: Nov 2025 locked · Dec 2025 locked · Oct 2026 incomplete (data retrieved 2pm, Tue 6 Oct 2026)</t>
        </is>
      </c>
    </row>
    <row r="4"/>
    <row r="5" ht="32" customHeight="1">
      <c r="A5" s="3" t="inlineStr">
        <is>
          <t>Every job's gross margin: revenue less materials, subcontractors and technician time at $68 an hour (fully loaded: wages and all on-costs). Before overheads, so this is not profit. Pick a type of job and every number, chart and note on the page follows it.</t>
        </is>
      </c>
    </row>
    <row r="6"/>
    <row r="7">
      <c r="A7" s="4" t="inlineStr">
        <is>
          <t>Gross margin, not profit</t>
        </is>
      </c>
    </row>
    <row r="8" ht="90" customHeight="1">
      <c r="A8"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9"/>
    <row r="10">
      <c r="A10" s="4" t="inlineStr">
        <is>
          <t>From gross margin to profit</t>
        </is>
      </c>
    </row>
    <row r="11" ht="60" customHeight="1">
      <c r="A11" s="3" t="inlineStr">
        <is>
          <t>December's jobs made $50,453 gross margin (37.4%). Technician time not charged to jobs took $4,504 and overheads $57,350, leaving ($11,401) profit before tax ((8.4%) of revenue). To cover overheads, jobs need a 45.8% gross margin on average. (Workings sheet: "From gross margin to profit".)</t>
        </is>
      </c>
    </row>
    <row r="12"/>
    <row r="13">
      <c r="A13" s="5" t="inlineStr">
        <is>
          <t>Type of job: All jobs</t>
        </is>
      </c>
    </row>
    <row r="14">
      <c r="A14" s="6" t="inlineStr">
        <is>
          <t>Headline number</t>
        </is>
      </c>
      <c r="B14" s="7" t="inlineStr">
        <is>
          <t>Value</t>
        </is>
      </c>
      <c r="C14" s="7" t="inlineStr">
        <is>
          <t>Compared with</t>
        </is>
      </c>
    </row>
    <row r="15">
      <c r="A15" t="inlineStr">
        <is>
          <t>Job gross margin, December · All jobs</t>
        </is>
      </c>
      <c r="B15" s="8">
        <f>Workings!B28</f>
        <v/>
      </c>
      <c r="C15" s="9" t="inlineStr">
        <is>
          <t>November 33.7%</t>
        </is>
      </c>
    </row>
    <row r="16"/>
    <row r="17">
      <c r="A17" s="10" t="inlineStr">
        <is>
          <t>Job gross margin by type of job, December 2025</t>
        </is>
      </c>
    </row>
    <row r="18">
      <c r="A18" s="6" t="inlineStr"/>
      <c r="B18" s="7" t="inlineStr">
        <is>
          <t>Gross margin %</t>
        </is>
      </c>
      <c r="C18" s="7" t="inlineStr">
        <is>
          <t>Gross margin $</t>
        </is>
      </c>
    </row>
    <row r="19">
      <c r="A19" t="inlineStr">
        <is>
          <t>Maintenance contracts</t>
        </is>
      </c>
      <c r="B19" s="8">
        <f>Workings!B37</f>
        <v/>
      </c>
      <c r="C19" s="11">
        <f>Workings!B36</f>
        <v/>
      </c>
    </row>
    <row r="20">
      <c r="A20" t="inlineStr">
        <is>
          <t>Installations</t>
        </is>
      </c>
      <c r="B20" s="8">
        <f>Workings!B46</f>
        <v/>
      </c>
      <c r="C20" s="11">
        <f>Workings!B45</f>
        <v/>
      </c>
    </row>
    <row r="21">
      <c r="A21" t="inlineStr">
        <is>
          <t>Call-outs and repairs</t>
        </is>
      </c>
      <c r="B21" s="8">
        <f>Workings!B55</f>
        <v/>
      </c>
      <c r="C21" s="11">
        <f>Workings!B54</f>
        <v/>
      </c>
    </row>
    <row r="22"/>
    <row r="23">
      <c r="A23" s="4" t="inlineStr">
        <is>
          <t>What it shows</t>
        </is>
      </c>
    </row>
    <row r="24" ht="45" customHeight="1">
      <c r="A24" s="3" t="inlineStr">
        <is>
          <t>In December maintenance contracts made a 59.5% job gross margin, installations made a 23.4% job gross margin, call-outs and repairs made a 43.5% job gross margin (technician time at $68 an hour, wages and all on-costs). Jobs need 45.8% just to cover overheads.</t>
        </is>
      </c>
    </row>
    <row r="25"/>
    <row r="26">
      <c r="A26" s="4" t="inlineStr">
        <is>
          <t>What you'd do about it</t>
        </is>
      </c>
    </row>
    <row r="27" ht="30" customHeight="1">
      <c r="A27" s="3" t="inlineStr">
        <is>
          <t>Maintenance contracts: 59.5% gross margin, the most profitable work you do. Installations: 23.4% gross margin, below the 45.8% needed to cover overheads.</t>
        </is>
      </c>
    </row>
    <row r="28"/>
    <row r="29">
      <c r="A29" s="5" t="inlineStr">
        <is>
          <t>Type of job: Maintenance contracts</t>
        </is>
      </c>
    </row>
    <row r="30">
      <c r="A30" s="6" t="inlineStr">
        <is>
          <t>Headline number</t>
        </is>
      </c>
      <c r="B30" s="7" t="inlineStr">
        <is>
          <t>Value</t>
        </is>
      </c>
      <c r="C30" s="7" t="inlineStr">
        <is>
          <t>Compared with</t>
        </is>
      </c>
    </row>
    <row r="31">
      <c r="A31" t="inlineStr">
        <is>
          <t>Job gross margin, December · Maintenance contracts</t>
        </is>
      </c>
      <c r="B31" s="8">
        <f>Workings!B64</f>
        <v/>
      </c>
      <c r="C31" s="9" t="inlineStr">
        <is>
          <t>November 59.5%</t>
        </is>
      </c>
    </row>
    <row r="32"/>
    <row r="33">
      <c r="A33" s="10" t="inlineStr">
        <is>
          <t>Job gross margin on each maintenance contract, December 2025</t>
        </is>
      </c>
    </row>
    <row r="34">
      <c r="A34" s="6" t="inlineStr"/>
      <c r="B34" s="7" t="inlineStr">
        <is>
          <t>Gross margin %</t>
        </is>
      </c>
      <c r="C34" s="7" t="inlineStr">
        <is>
          <t>Gross margin $</t>
        </is>
      </c>
    </row>
    <row r="35">
      <c r="A35" t="inlineStr">
        <is>
          <t>Wynnum medical centre</t>
        </is>
      </c>
      <c r="B35" s="8">
        <f>Workings!B77</f>
        <v/>
      </c>
      <c r="C35" s="11">
        <f>Workings!B76</f>
        <v/>
      </c>
    </row>
    <row r="36">
      <c r="A36" t="inlineStr">
        <is>
          <t>Southbank cafe group</t>
        </is>
      </c>
      <c r="B36" s="8">
        <f>Workings!B90</f>
        <v/>
      </c>
      <c r="C36" s="11">
        <f>Workings!B89</f>
        <v/>
      </c>
    </row>
    <row r="37">
      <c r="A37" t="inlineStr">
        <is>
          <t>Ashgrove aged care</t>
        </is>
      </c>
      <c r="B37" s="8">
        <f>Workings!B103</f>
        <v/>
      </c>
      <c r="C37" s="11">
        <f>Workings!B102</f>
        <v/>
      </c>
    </row>
    <row r="38">
      <c r="A38" t="inlineStr">
        <is>
          <t>Fortitude Valley hotel</t>
        </is>
      </c>
      <c r="B38" s="8">
        <f>Workings!B116</f>
        <v/>
      </c>
      <c r="C38" s="11">
        <f>Workings!B115</f>
        <v/>
      </c>
    </row>
    <row r="39">
      <c r="A39" t="inlineStr">
        <is>
          <t>Riverside Apartments (strata)</t>
        </is>
      </c>
      <c r="B39" s="8">
        <f>Workings!B129</f>
        <v/>
      </c>
      <c r="C39" s="11">
        <f>Workings!B128</f>
        <v/>
      </c>
    </row>
    <row r="40">
      <c r="A40" t="inlineStr">
        <is>
          <t>Newstead gym</t>
        </is>
      </c>
      <c r="B40" s="8">
        <f>Workings!B142</f>
        <v/>
      </c>
      <c r="C40" s="11">
        <f>Workings!B141</f>
        <v/>
      </c>
    </row>
    <row r="41">
      <c r="A41" t="inlineStr">
        <is>
          <t>Chermside retail centre</t>
        </is>
      </c>
      <c r="B41" s="8">
        <f>Workings!B155</f>
        <v/>
      </c>
      <c r="C41" s="11">
        <f>Workings!B154</f>
        <v/>
      </c>
    </row>
    <row r="42">
      <c r="A42" t="inlineStr">
        <is>
          <t>Milton office tower</t>
        </is>
      </c>
      <c r="B42" s="8">
        <f>Workings!B168</f>
        <v/>
      </c>
      <c r="C42" s="11">
        <f>Workings!B167</f>
        <v/>
      </c>
    </row>
    <row r="43">
      <c r="A43" t="inlineStr">
        <is>
          <t>Bulimba school</t>
        </is>
      </c>
      <c r="B43" s="8">
        <f>Workings!B181</f>
        <v/>
      </c>
      <c r="C43" s="11">
        <f>Workings!B180</f>
        <v/>
      </c>
    </row>
    <row r="44">
      <c r="A44" t="inlineStr">
        <is>
          <t>West End brewery</t>
        </is>
      </c>
      <c r="B44" s="8">
        <f>Workings!B194</f>
        <v/>
      </c>
      <c r="C44" s="11">
        <f>Workings!B193</f>
        <v/>
      </c>
    </row>
    <row r="45">
      <c r="A45" t="inlineStr">
        <is>
          <t>Rocklea factory</t>
        </is>
      </c>
      <c r="B45" s="8">
        <f>Workings!B207</f>
        <v/>
      </c>
      <c r="C45" s="11">
        <f>Workings!B206</f>
        <v/>
      </c>
    </row>
    <row r="46">
      <c r="A46" t="inlineStr">
        <is>
          <t>Kangaroo Point townhouses</t>
        </is>
      </c>
      <c r="B46" s="8">
        <f>Workings!B220</f>
        <v/>
      </c>
      <c r="C46" s="11">
        <f>Workings!B219</f>
        <v/>
      </c>
    </row>
    <row r="47"/>
    <row r="48">
      <c r="A48" s="4" t="inlineStr">
        <is>
          <t>What it shows</t>
        </is>
      </c>
    </row>
    <row r="49" ht="30" customHeight="1">
      <c r="A49" s="3" t="inlineStr">
        <is>
          <t>All 12 contracts made more than the 35.0% job gross margin target. The thinnest was Kangaroo Point townhouses at 58.2% job gross margin: 14.0 h of technician time on a $2,400 monthly fee.</t>
        </is>
      </c>
    </row>
    <row r="50"/>
    <row r="51">
      <c r="A51" s="4" t="inlineStr">
        <is>
          <t>What you'd do about it</t>
        </is>
      </c>
    </row>
    <row r="52" ht="30" customHeight="1">
      <c r="A52" s="3" t="inlineStr">
        <is>
          <t>The Kangaroo Point townhouses contract: 58.2% gross margin, 12.5 points clear of the 45.8% overheads need. Maintenance contracts overall: 59.5% gross margin.</t>
        </is>
      </c>
    </row>
    <row r="53"/>
    <row r="54">
      <c r="A54" s="5" t="inlineStr">
        <is>
          <t>Type of job: Installations</t>
        </is>
      </c>
    </row>
    <row r="55">
      <c r="A55" s="6" t="inlineStr">
        <is>
          <t>Headline number</t>
        </is>
      </c>
      <c r="B55" s="7" t="inlineStr">
        <is>
          <t>Value</t>
        </is>
      </c>
      <c r="C55" s="7" t="inlineStr">
        <is>
          <t>Compared with</t>
        </is>
      </c>
    </row>
    <row r="56">
      <c r="A56" t="inlineStr">
        <is>
          <t>Job gross margin, December · Installations</t>
        </is>
      </c>
      <c r="B56" s="8">
        <f>Workings!B229</f>
        <v/>
      </c>
      <c r="C56" s="9" t="inlineStr">
        <is>
          <t>November 23.1%</t>
        </is>
      </c>
    </row>
    <row r="57"/>
    <row r="58">
      <c r="A58" s="10" t="inlineStr">
        <is>
          <t>Job gross margin on each installation invoiced in December 2025</t>
        </is>
      </c>
    </row>
    <row r="59">
      <c r="A59" s="6" t="inlineStr"/>
      <c r="B59" s="7" t="inlineStr">
        <is>
          <t>Gross margin %</t>
        </is>
      </c>
      <c r="C59" s="7" t="inlineStr">
        <is>
          <t>Gross margin $</t>
        </is>
      </c>
    </row>
    <row r="60">
      <c r="A60" t="inlineStr">
        <is>
          <t>Newstead office office fit-out wiring</t>
        </is>
      </c>
      <c r="B60" s="8">
        <f>Workings!B242</f>
        <v/>
      </c>
      <c r="C60" s="11">
        <f>Workings!B241</f>
        <v/>
      </c>
    </row>
    <row r="61">
      <c r="A61" t="inlineStr">
        <is>
          <t>Salisbury school data cabling</t>
        </is>
      </c>
      <c r="B61" s="8">
        <f>Workings!B255</f>
        <v/>
      </c>
      <c r="C61" s="11">
        <f>Workings!B254</f>
        <v/>
      </c>
    </row>
    <row r="62">
      <c r="A62" t="inlineStr">
        <is>
          <t>Windsor warehouse switchboard upgrade</t>
        </is>
      </c>
      <c r="B62" s="8">
        <f>Workings!B268</f>
        <v/>
      </c>
      <c r="C62" s="11">
        <f>Workings!B267</f>
        <v/>
      </c>
    </row>
    <row r="63">
      <c r="A63" t="inlineStr">
        <is>
          <t>Wynnum factory solar and battery</t>
        </is>
      </c>
      <c r="B63" s="8">
        <f>Workings!B281</f>
        <v/>
      </c>
      <c r="C63" s="11">
        <f>Workings!B280</f>
        <v/>
      </c>
    </row>
    <row r="64"/>
    <row r="65">
      <c r="A65" s="4" t="inlineStr">
        <is>
          <t>What it shows</t>
        </is>
      </c>
    </row>
    <row r="66" ht="60" customHeight="1">
      <c r="A66" s="3" t="inlineStr">
        <is>
          <t>3 of the 4 installation jobs invoiced in December made less than the 35.0% job gross margin target. The Wynnum factory solar and battery made a 7.6% job gross margin: 91.0 h of technician time ($6,188) and $2,300 of subcontractors on a $21,200 job. Jobs need 45.8% gross margin just to cover overheads.</t>
        </is>
      </c>
    </row>
    <row r="67"/>
    <row r="68">
      <c r="A68" s="4" t="inlineStr">
        <is>
          <t>What you'd do about it</t>
        </is>
      </c>
    </row>
    <row r="69" ht="45" customHeight="1">
      <c r="A69" s="3" t="inlineStr">
        <is>
          <t>Below the 45.8% overheads need: Newstead office office fit-out wiring (37.5%), Salisbury school data cabling (28.2%), Windsor warehouse switchboard upgrade (24.9%), Wynnum factory solar and battery (7.6%). Most profitable: Newstead office office fit-out wiring (37.5%).</t>
        </is>
      </c>
    </row>
    <row r="70"/>
    <row r="71">
      <c r="A71" s="5" t="inlineStr">
        <is>
          <t>Type of job: Call-outs and repairs</t>
        </is>
      </c>
    </row>
    <row r="72">
      <c r="A72" s="6" t="inlineStr">
        <is>
          <t>Headline number</t>
        </is>
      </c>
      <c r="B72" s="7" t="inlineStr">
        <is>
          <t>Value</t>
        </is>
      </c>
      <c r="C72" s="7" t="inlineStr">
        <is>
          <t>Compared with</t>
        </is>
      </c>
    </row>
    <row r="73">
      <c r="A73" t="inlineStr">
        <is>
          <t>Job gross margin, December · Call-outs and repairs</t>
        </is>
      </c>
      <c r="B73" s="8">
        <f>Workings!B290</f>
        <v/>
      </c>
      <c r="C73" s="9" t="inlineStr">
        <is>
          <t>November 44.5%</t>
        </is>
      </c>
    </row>
    <row r="74">
      <c r="A74" t="inlineStr">
        <is>
          <t>Technician time charged, December</t>
        </is>
      </c>
      <c r="B74" s="8">
        <f>Workings!B302</f>
        <v/>
      </c>
      <c r="C74" s="9" t="inlineStr">
        <is>
          <t>68.1% of call-out revenue</t>
        </is>
      </c>
    </row>
    <row r="75">
      <c r="A75" t="inlineStr">
        <is>
          <t>Materials charged, December</t>
        </is>
      </c>
      <c r="B75" s="8">
        <f>Workings!B314</f>
        <v/>
      </c>
      <c r="C75" s="9" t="inlineStr">
        <is>
          <t>$7,250 at cost, plus 30%</t>
        </is>
      </c>
    </row>
    <row r="76"/>
    <row r="77">
      <c r="A77" s="10" t="inlineStr">
        <is>
          <t>Job gross margin on call-outs by length, December 2025</t>
        </is>
      </c>
    </row>
    <row r="78">
      <c r="A78" s="6" t="inlineStr"/>
      <c r="B78" s="7" t="inlineStr">
        <is>
          <t>Gross margin %</t>
        </is>
      </c>
      <c r="C78" s="7" t="inlineStr">
        <is>
          <t>Gross margin $</t>
        </is>
      </c>
    </row>
    <row r="79">
      <c r="A79" t="inlineStr">
        <is>
          <t>1-hour call-outs (6)</t>
        </is>
      </c>
      <c r="B79" s="8">
        <f>Workings!B327</f>
        <v/>
      </c>
      <c r="C79" s="11">
        <f>Workings!B326</f>
        <v/>
      </c>
    </row>
    <row r="80">
      <c r="A80" t="inlineStr">
        <is>
          <t>1.5-hour call-outs (6)</t>
        </is>
      </c>
      <c r="B80" s="8">
        <f>Workings!B340</f>
        <v/>
      </c>
      <c r="C80" s="11">
        <f>Workings!B339</f>
        <v/>
      </c>
    </row>
    <row r="81">
      <c r="A81" t="inlineStr">
        <is>
          <t>2-hour call-outs (17)</t>
        </is>
      </c>
      <c r="B81" s="8">
        <f>Workings!B353</f>
        <v/>
      </c>
      <c r="C81" s="11">
        <f>Workings!B352</f>
        <v/>
      </c>
    </row>
    <row r="82">
      <c r="A82" t="inlineStr">
        <is>
          <t>2.5-hour call-outs (6)</t>
        </is>
      </c>
      <c r="B82" s="8">
        <f>Workings!B366</f>
        <v/>
      </c>
      <c r="C82" s="11">
        <f>Workings!B365</f>
        <v/>
      </c>
    </row>
    <row r="83">
      <c r="A83" t="inlineStr">
        <is>
          <t>3-hour call-outs (13)</t>
        </is>
      </c>
      <c r="B83" s="8">
        <f>Workings!B379</f>
        <v/>
      </c>
      <c r="C83" s="11">
        <f>Workings!B378</f>
        <v/>
      </c>
    </row>
    <row r="84">
      <c r="A84" t="inlineStr">
        <is>
          <t>4-hour call-outs (9)</t>
        </is>
      </c>
      <c r="B84" s="8">
        <f>Workings!B392</f>
        <v/>
      </c>
      <c r="C84" s="11">
        <f>Workings!B391</f>
        <v/>
      </c>
    </row>
    <row r="85"/>
    <row r="86">
      <c r="A86" s="4" t="inlineStr">
        <is>
          <t>What it shows</t>
        </is>
      </c>
    </row>
    <row r="87" ht="60" customHeight="1">
      <c r="A87" s="3" t="inlineStr">
        <is>
          <t>57 call-outs in December billed $20,154 of technician time and $9,425 of materials ($7,250 at cost plus 30%), and made a 43.5% job gross margin between them. Gross margins run from 37.2% to 46.0% by length: the hourly rate covers technician time comfortably, so the gross margin mostly moves with how much material goes on the van.</t>
        </is>
      </c>
    </row>
    <row r="88"/>
    <row r="89">
      <c r="A89" s="4" t="inlineStr">
        <is>
          <t>What you'd do about it</t>
        </is>
      </c>
    </row>
    <row r="90" ht="30" customHeight="1">
      <c r="A90" s="3" t="inlineStr">
        <is>
          <t>Call-outs: 43.5% gross margin, below the 45.8% needed to cover overheads.</t>
        </is>
      </c>
    </row>
    <row r="91"/>
    <row r="92">
      <c r="A92" s="5" t="inlineStr">
        <is>
          <t>Every type of job at once</t>
        </is>
      </c>
    </row>
    <row r="93">
      <c r="A93" s="12" t="inlineStr">
        <is>
          <t>Job gross margin by month: every month is on the Data sheet.</t>
        </is>
      </c>
    </row>
    <row r="94"/>
    <row r="95"/>
  </sheetData>
  <mergeCells count="11">
    <mergeCell ref="A5:D5"/>
    <mergeCell ref="A27:D27"/>
    <mergeCell ref="A8:D8"/>
    <mergeCell ref="A69:D69"/>
    <mergeCell ref="A52:D52"/>
    <mergeCell ref="A87:D87"/>
    <mergeCell ref="A24:D24"/>
    <mergeCell ref="A11:D11"/>
    <mergeCell ref="A90:D90"/>
    <mergeCell ref="A49:D49"/>
    <mergeCell ref="A66:D66"/>
  </mergeCells>
  <printOptions horizontalCentered="1"/>
  <pageMargins left="0.5" right="0.5" top="0.75" bottom="0.75" header="0.5" footer="0.5"/>
  <pageSetup orientation="landscape" paperSize="9" fitToHeight="0" fitToWidth="1"/>
  <headerFooter>
    <oddHeader>&amp;L&amp;8 Sample Electrical &amp;&amp; Air Pty Ltd&amp;R&amp;8 &amp;A</oddHeader>
    <oddFooter>&amp;L&amp;8 job-margins.xlsx&amp;C&amp;8 Data retrieved 2pm, Tue 6 Oct 2026&amp;R&amp;8 Page &amp;P of &amp;N</oddFooter>
    <evenHeader/>
    <evenFooter/>
    <firstHeader/>
    <firstFooter/>
  </headerFooter>
  <rowBreaks count="3" manualBreakCount="3">
    <brk id="22" min="0" max="16383" man="1"/>
    <brk id="47" min="0" max="16383" man="1"/>
    <brk id="71" min="0" max="16383" man="1"/>
  </rowBreaks>
</worksheet>
</file>

<file path=xl/worksheets/sheet2.xml><?xml version="1.0" encoding="utf-8"?>
<worksheet xmlns="http://schemas.openxmlformats.org/spreadsheetml/2006/main">
  <sheetPr>
    <outlinePr summaryBelow="1" summaryRight="1"/>
    <pageSetUpPr fitToPage="1"/>
  </sheetPr>
  <dimension ref="A1:C395"/>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t>
        </is>
      </c>
    </row>
    <row r="3">
      <c r="A3" s="2" t="inlineStr">
        <is>
          <t>Period: December 2025 · Data status: Nov 2025 locked · Dec 2025 locked · Oct 2026 incomplete (data retrieved 2pm, Tue 6 Oct 2026)</t>
        </is>
      </c>
    </row>
    <row r="4"/>
    <row r="5">
      <c r="A5" s="5" t="inlineStr">
        <is>
          <t>From gross margin to profit, December 2025</t>
        </is>
      </c>
    </row>
    <row r="6">
      <c r="A6" s="12" t="inlineStr">
        <is>
          <t>Gross margin on the work − time not charged − overheads = profit before tax</t>
        </is>
      </c>
    </row>
    <row r="7">
      <c r="A7" s="6" t="inlineStr"/>
      <c r="B7" s="7" t="inlineStr">
        <is>
          <t>Dec 2025</t>
        </is>
      </c>
    </row>
    <row r="8">
      <c r="A8" t="inlineStr">
        <is>
          <t>Gross margin on jobs</t>
        </is>
      </c>
      <c r="B8" s="13" t="n">
        <v>50453</v>
      </c>
    </row>
    <row r="9">
      <c r="A9" t="inlineStr">
        <is>
          <t>Technician wages and on-costs</t>
        </is>
      </c>
      <c r="B9" s="13" t="n">
        <v>46800</v>
      </c>
    </row>
    <row r="10">
      <c r="A10" t="inlineStr">
        <is>
          <t>Technician time charged to jobs (at cost)</t>
        </is>
      </c>
      <c r="B10" s="13" t="n">
        <v>42296</v>
      </c>
    </row>
    <row r="11">
      <c r="A11" t="inlineStr">
        <is>
          <t>Technician time not charged to jobs</t>
        </is>
      </c>
      <c r="B11" s="13">
        <f>B9-B10</f>
        <v/>
      </c>
    </row>
    <row r="12">
      <c r="A12" t="inlineStr">
        <is>
          <t>Gross profit (the P&amp;L)</t>
        </is>
      </c>
      <c r="B12" s="13">
        <f>B8-B11</f>
        <v/>
      </c>
    </row>
    <row r="13">
      <c r="A13" t="inlineStr">
        <is>
          <t>Overheads (operating expenses, depreciation, interest)</t>
        </is>
      </c>
      <c r="B13" s="13" t="n">
        <v>57350</v>
      </c>
    </row>
    <row r="14">
      <c r="A14" t="inlineStr">
        <is>
          <t>Profit before tax (the P&amp;L)</t>
        </is>
      </c>
      <c r="B14" s="13">
        <f>B12-B13</f>
        <v/>
      </c>
    </row>
    <row r="15">
      <c r="A15" t="inlineStr">
        <is>
          <t>Revenue</t>
        </is>
      </c>
      <c r="B15" s="13" t="n">
        <v>135079</v>
      </c>
    </row>
    <row r="16">
      <c r="A16" t="inlineStr">
        <is>
          <t>Gross margin on jobs, %</t>
        </is>
      </c>
      <c r="B16" s="14">
        <f>B8/B15</f>
        <v/>
      </c>
    </row>
    <row r="17">
      <c r="A17" t="inlineStr">
        <is>
          <t>Profit before tax, % of revenue</t>
        </is>
      </c>
      <c r="B17" s="14">
        <f>B14/B15</f>
        <v/>
      </c>
    </row>
    <row r="18">
      <c r="A18" s="15" t="inlineStr">
        <is>
          <t>Gross margin jobs need just to cover overheads and time not charged</t>
        </is>
      </c>
      <c r="B18" s="16">
        <f>(B11+B13)/B15</f>
        <v/>
      </c>
    </row>
    <row r="19">
      <c r="A19" s="2" t="inlineStr">
        <is>
          <t>Ties to the December 2025 P&amp;L (locked). Wages always include all on-costs: super, payroll tax, workers' compensation insurance and leave.</t>
        </is>
      </c>
    </row>
    <row r="20"/>
    <row r="21"/>
    <row r="22">
      <c r="A22" s="5" t="inlineStr">
        <is>
          <t>All lines: gross margin, December and November</t>
        </is>
      </c>
    </row>
    <row r="23">
      <c r="A23" s="12" t="inlineStr">
        <is>
          <t>Revenue less direct cost, over revenue. Before overheads.</t>
        </is>
      </c>
    </row>
    <row r="24">
      <c r="A24" s="6" t="inlineStr"/>
      <c r="B24" s="7" t="inlineStr">
        <is>
          <t>Dec 25</t>
        </is>
      </c>
      <c r="C24" s="7" t="inlineStr">
        <is>
          <t>Nov 25</t>
        </is>
      </c>
    </row>
    <row r="25">
      <c r="A25" t="inlineStr">
        <is>
          <t>Revenue</t>
        </is>
      </c>
      <c r="B25" s="13" t="n">
        <v>135079</v>
      </c>
      <c r="C25" s="13" t="n">
        <v>174786</v>
      </c>
    </row>
    <row r="26">
      <c r="A26" t="inlineStr">
        <is>
          <t>Direct cost</t>
        </is>
      </c>
      <c r="B26" s="13" t="n">
        <v>84626</v>
      </c>
      <c r="C26" s="13" t="n">
        <v>115942</v>
      </c>
    </row>
    <row r="27">
      <c r="A27" t="inlineStr">
        <is>
          <t>Gross margin</t>
        </is>
      </c>
      <c r="B27" s="13">
        <f>B25-B26</f>
        <v/>
      </c>
      <c r="C27" s="13">
        <f>C25-C26</f>
        <v/>
      </c>
    </row>
    <row r="28">
      <c r="A28" s="15" t="inlineStr">
        <is>
          <t>Gross margin %</t>
        </is>
      </c>
      <c r="B28" s="16">
        <f>B27/B25</f>
        <v/>
      </c>
      <c r="C28" s="16">
        <f>C27/C25</f>
        <v/>
      </c>
    </row>
    <row r="29"/>
    <row r="30"/>
    <row r="31">
      <c r="A31" s="5" t="inlineStr">
        <is>
          <t>Maintenance contracts, December</t>
        </is>
      </c>
    </row>
    <row r="32">
      <c r="A32" s="12" t="inlineStr">
        <is>
          <t>Revenue less direct cost (materials, subcontractors, technician time at cost)</t>
        </is>
      </c>
    </row>
    <row r="33">
      <c r="A33" s="6" t="inlineStr"/>
      <c r="B33" s="7" t="inlineStr">
        <is>
          <t>Dec 2025</t>
        </is>
      </c>
    </row>
    <row r="34">
      <c r="A34" t="inlineStr">
        <is>
          <t>Revenue</t>
        </is>
      </c>
      <c r="B34" s="13" t="n">
        <v>35800</v>
      </c>
    </row>
    <row r="35">
      <c r="A35" t="inlineStr">
        <is>
          <t>Direct cost</t>
        </is>
      </c>
      <c r="B35" s="13" t="n">
        <v>14516</v>
      </c>
    </row>
    <row r="36">
      <c r="A36" t="inlineStr">
        <is>
          <t>Gross margin</t>
        </is>
      </c>
      <c r="B36" s="13">
        <f>B34-B35</f>
        <v/>
      </c>
    </row>
    <row r="37">
      <c r="A37" s="15" t="inlineStr">
        <is>
          <t>Gross margin %</t>
        </is>
      </c>
      <c r="B37" s="16">
        <f>B36/B34</f>
        <v/>
      </c>
    </row>
    <row r="38"/>
    <row r="39"/>
    <row r="40">
      <c r="A40" s="5" t="inlineStr">
        <is>
          <t>Installations, December</t>
        </is>
      </c>
    </row>
    <row r="41">
      <c r="A41" s="12" t="inlineStr">
        <is>
          <t>Revenue less direct cost (materials, subcontractors, technician time at cost)</t>
        </is>
      </c>
    </row>
    <row r="42">
      <c r="A42" s="6" t="inlineStr"/>
      <c r="B42" s="7" t="inlineStr">
        <is>
          <t>Dec 2025</t>
        </is>
      </c>
    </row>
    <row r="43">
      <c r="A43" t="inlineStr">
        <is>
          <t>Revenue</t>
        </is>
      </c>
      <c r="B43" s="13" t="n">
        <v>69700</v>
      </c>
    </row>
    <row r="44">
      <c r="A44" t="inlineStr">
        <is>
          <t>Direct cost</t>
        </is>
      </c>
      <c r="B44" s="13" t="n">
        <v>53408</v>
      </c>
    </row>
    <row r="45">
      <c r="A45" t="inlineStr">
        <is>
          <t>Gross margin</t>
        </is>
      </c>
      <c r="B45" s="13">
        <f>B43-B44</f>
        <v/>
      </c>
    </row>
    <row r="46">
      <c r="A46" s="15" t="inlineStr">
        <is>
          <t>Gross margin %</t>
        </is>
      </c>
      <c r="B46" s="16">
        <f>B45/B43</f>
        <v/>
      </c>
    </row>
    <row r="47"/>
    <row r="48"/>
    <row r="49">
      <c r="A49" s="5" t="inlineStr">
        <is>
          <t>Call-outs and repairs, December</t>
        </is>
      </c>
    </row>
    <row r="50">
      <c r="A50" s="12" t="inlineStr">
        <is>
          <t>Revenue less direct cost (materials, subcontractors, technician time at cost)</t>
        </is>
      </c>
    </row>
    <row r="51">
      <c r="A51" s="6" t="inlineStr"/>
      <c r="B51" s="7" t="inlineStr">
        <is>
          <t>Dec 2025</t>
        </is>
      </c>
    </row>
    <row r="52">
      <c r="A52" t="inlineStr">
        <is>
          <t>Revenue</t>
        </is>
      </c>
      <c r="B52" s="13" t="n">
        <v>29579</v>
      </c>
    </row>
    <row r="53">
      <c r="A53" t="inlineStr">
        <is>
          <t>Direct cost</t>
        </is>
      </c>
      <c r="B53" s="13" t="n">
        <v>16702</v>
      </c>
    </row>
    <row r="54">
      <c r="A54" t="inlineStr">
        <is>
          <t>Gross margin</t>
        </is>
      </c>
      <c r="B54" s="13">
        <f>B52-B53</f>
        <v/>
      </c>
    </row>
    <row r="55">
      <c r="A55" s="15" t="inlineStr">
        <is>
          <t>Gross margin %</t>
        </is>
      </c>
      <c r="B55" s="16">
        <f>B54/B52</f>
        <v/>
      </c>
    </row>
    <row r="56"/>
    <row r="57"/>
    <row r="58">
      <c r="A58" s="5" t="inlineStr">
        <is>
          <t>Maintenance contracts: gross margin, December and November</t>
        </is>
      </c>
    </row>
    <row r="59">
      <c r="A59" s="12" t="inlineStr">
        <is>
          <t>Revenue less direct cost, over revenue. Before overheads.</t>
        </is>
      </c>
    </row>
    <row r="60">
      <c r="A60" s="6" t="inlineStr"/>
      <c r="B60" s="7" t="inlineStr">
        <is>
          <t>Dec 25</t>
        </is>
      </c>
      <c r="C60" s="7" t="inlineStr">
        <is>
          <t>Nov 25</t>
        </is>
      </c>
    </row>
    <row r="61">
      <c r="A61" t="inlineStr">
        <is>
          <t>Revenue</t>
        </is>
      </c>
      <c r="B61" s="13" t="n">
        <v>35800</v>
      </c>
      <c r="C61" s="13" t="n">
        <v>35800</v>
      </c>
    </row>
    <row r="62">
      <c r="A62" t="inlineStr">
        <is>
          <t>Direct cost</t>
        </is>
      </c>
      <c r="B62" s="13" t="n">
        <v>14516</v>
      </c>
      <c r="C62" s="13" t="n">
        <v>14516</v>
      </c>
    </row>
    <row r="63">
      <c r="A63" t="inlineStr">
        <is>
          <t>Gross margin</t>
        </is>
      </c>
      <c r="B63" s="13">
        <f>B61-B62</f>
        <v/>
      </c>
      <c r="C63" s="13">
        <f>C61-C62</f>
        <v/>
      </c>
    </row>
    <row r="64">
      <c r="A64" s="15" t="inlineStr">
        <is>
          <t>Gross margin %</t>
        </is>
      </c>
      <c r="B64" s="16">
        <f>B63/B61</f>
        <v/>
      </c>
      <c r="C64" s="16">
        <f>C63/C61</f>
        <v/>
      </c>
    </row>
    <row r="65"/>
    <row r="66"/>
    <row r="67">
      <c r="A67" s="5" t="inlineStr">
        <is>
          <t>Wynnum medical centre</t>
        </is>
      </c>
    </row>
    <row r="68">
      <c r="A68" s="12" t="inlineStr">
        <is>
          <t>Job gross margin ÷ revenue for this job (before overheads)</t>
        </is>
      </c>
    </row>
    <row r="69">
      <c r="A69" s="6" t="inlineStr"/>
      <c r="B69" s="7" t="inlineStr">
        <is>
          <t>This job</t>
        </is>
      </c>
    </row>
    <row r="70">
      <c r="A70" t="inlineStr">
        <is>
          <t>Revenue</t>
        </is>
      </c>
      <c r="B70" s="13" t="n">
        <v>2200</v>
      </c>
    </row>
    <row r="71">
      <c r="A71" t="inlineStr">
        <is>
          <t>Materials</t>
        </is>
      </c>
      <c r="B71" s="13" t="n">
        <v>-40</v>
      </c>
    </row>
    <row r="72">
      <c r="A72" t="inlineStr">
        <is>
          <t>Subcontractors</t>
        </is>
      </c>
      <c r="B72" s="13" t="n">
        <v>0</v>
      </c>
    </row>
    <row r="73">
      <c r="A73" t="inlineStr">
        <is>
          <t>Technician hours</t>
        </is>
      </c>
      <c r="B73" s="17" t="n">
        <v>12</v>
      </c>
    </row>
    <row r="74">
      <c r="A74" t="inlineStr">
        <is>
          <t>Technician cost rate ($/hour, wages and all on-costs)</t>
        </is>
      </c>
      <c r="B74" s="13" t="n">
        <v>68</v>
      </c>
    </row>
    <row r="75">
      <c r="A75" t="inlineStr">
        <is>
          <t>Technician time</t>
        </is>
      </c>
      <c r="B75" s="13">
        <f>-B73*B74</f>
        <v/>
      </c>
    </row>
    <row r="76">
      <c r="A76" t="inlineStr">
        <is>
          <t>Job gross margin</t>
        </is>
      </c>
      <c r="B76" s="13">
        <f>B70+B71+B72+B75</f>
        <v/>
      </c>
    </row>
    <row r="77">
      <c r="A77" s="15" t="inlineStr">
        <is>
          <t>Job gross margin %</t>
        </is>
      </c>
      <c r="B77" s="16">
        <f>B76/B70</f>
        <v/>
      </c>
    </row>
    <row r="78"/>
    <row r="79"/>
    <row r="80">
      <c r="A80" s="5" t="inlineStr">
        <is>
          <t>Southbank cafe group</t>
        </is>
      </c>
    </row>
    <row r="81">
      <c r="A81" s="12" t="inlineStr">
        <is>
          <t>Job gross margin ÷ revenue for this job (before overheads)</t>
        </is>
      </c>
    </row>
    <row r="82">
      <c r="A82" s="6" t="inlineStr"/>
      <c r="B82" s="7" t="inlineStr">
        <is>
          <t>This job</t>
        </is>
      </c>
    </row>
    <row r="83">
      <c r="A83" t="inlineStr">
        <is>
          <t>Revenue</t>
        </is>
      </c>
      <c r="B83" s="13" t="n">
        <v>1800</v>
      </c>
    </row>
    <row r="84">
      <c r="A84" t="inlineStr">
        <is>
          <t>Materials</t>
        </is>
      </c>
      <c r="B84" s="13" t="n">
        <v>-40</v>
      </c>
    </row>
    <row r="85">
      <c r="A85" t="inlineStr">
        <is>
          <t>Subcontractors</t>
        </is>
      </c>
      <c r="B85" s="13" t="n">
        <v>0</v>
      </c>
    </row>
    <row r="86">
      <c r="A86" t="inlineStr">
        <is>
          <t>Technician hours</t>
        </is>
      </c>
      <c r="B86" s="17" t="n">
        <v>10</v>
      </c>
    </row>
    <row r="87">
      <c r="A87" t="inlineStr">
        <is>
          <t>Technician cost rate ($/hour, wages and all on-costs)</t>
        </is>
      </c>
      <c r="B87" s="13" t="n">
        <v>68</v>
      </c>
    </row>
    <row r="88">
      <c r="A88" t="inlineStr">
        <is>
          <t>Technician time</t>
        </is>
      </c>
      <c r="B88" s="13">
        <f>-B86*B87</f>
        <v/>
      </c>
    </row>
    <row r="89">
      <c r="A89" t="inlineStr">
        <is>
          <t>Job gross margin</t>
        </is>
      </c>
      <c r="B89" s="13">
        <f>B83+B84+B85+B88</f>
        <v/>
      </c>
    </row>
    <row r="90">
      <c r="A90" s="15" t="inlineStr">
        <is>
          <t>Job gross margin %</t>
        </is>
      </c>
      <c r="B90" s="16">
        <f>B89/B83</f>
        <v/>
      </c>
    </row>
    <row r="91"/>
    <row r="92"/>
    <row r="93">
      <c r="A93" s="5" t="inlineStr">
        <is>
          <t>Ashgrove aged care</t>
        </is>
      </c>
    </row>
    <row r="94">
      <c r="A94" s="12" t="inlineStr">
        <is>
          <t>Job gross margin ÷ revenue for this job (before overheads)</t>
        </is>
      </c>
    </row>
    <row r="95">
      <c r="A95" s="6" t="inlineStr"/>
      <c r="B95" s="7" t="inlineStr">
        <is>
          <t>This job</t>
        </is>
      </c>
    </row>
    <row r="96">
      <c r="A96" t="inlineStr">
        <is>
          <t>Revenue</t>
        </is>
      </c>
      <c r="B96" s="13" t="n">
        <v>3600</v>
      </c>
    </row>
    <row r="97">
      <c r="A97" t="inlineStr">
        <is>
          <t>Materials</t>
        </is>
      </c>
      <c r="B97" s="13" t="n">
        <v>-80</v>
      </c>
    </row>
    <row r="98">
      <c r="A98" t="inlineStr">
        <is>
          <t>Subcontractors</t>
        </is>
      </c>
      <c r="B98" s="13" t="n">
        <v>0</v>
      </c>
    </row>
    <row r="99">
      <c r="A99" t="inlineStr">
        <is>
          <t>Technician hours</t>
        </is>
      </c>
      <c r="B99" s="17" t="n">
        <v>20</v>
      </c>
    </row>
    <row r="100">
      <c r="A100" t="inlineStr">
        <is>
          <t>Technician cost rate ($/hour, wages and all on-costs)</t>
        </is>
      </c>
      <c r="B100" s="13" t="n">
        <v>68</v>
      </c>
    </row>
    <row r="101">
      <c r="A101" t="inlineStr">
        <is>
          <t>Technician time</t>
        </is>
      </c>
      <c r="B101" s="13">
        <f>-B99*B100</f>
        <v/>
      </c>
    </row>
    <row r="102">
      <c r="A102" t="inlineStr">
        <is>
          <t>Job gross margin</t>
        </is>
      </c>
      <c r="B102" s="13">
        <f>B96+B97+B98+B101</f>
        <v/>
      </c>
    </row>
    <row r="103">
      <c r="A103" s="15" t="inlineStr">
        <is>
          <t>Job gross margin %</t>
        </is>
      </c>
      <c r="B103" s="16">
        <f>B102/B96</f>
        <v/>
      </c>
    </row>
    <row r="104"/>
    <row r="105"/>
    <row r="106">
      <c r="A106" s="5" t="inlineStr">
        <is>
          <t>Fortitude Valley hotel</t>
        </is>
      </c>
    </row>
    <row r="107">
      <c r="A107" s="12" t="inlineStr">
        <is>
          <t>Job gross margin ÷ revenue for this job (before overheads)</t>
        </is>
      </c>
    </row>
    <row r="108">
      <c r="A108" s="6" t="inlineStr"/>
      <c r="B108" s="7" t="inlineStr">
        <is>
          <t>This job</t>
        </is>
      </c>
    </row>
    <row r="109">
      <c r="A109" t="inlineStr">
        <is>
          <t>Revenue</t>
        </is>
      </c>
      <c r="B109" s="13" t="n">
        <v>3400</v>
      </c>
    </row>
    <row r="110">
      <c r="A110" t="inlineStr">
        <is>
          <t>Materials</t>
        </is>
      </c>
      <c r="B110" s="13" t="n">
        <v>-70</v>
      </c>
    </row>
    <row r="111">
      <c r="A111" t="inlineStr">
        <is>
          <t>Subcontractors</t>
        </is>
      </c>
      <c r="B111" s="13" t="n">
        <v>0</v>
      </c>
    </row>
    <row r="112">
      <c r="A112" t="inlineStr">
        <is>
          <t>Technician hours</t>
        </is>
      </c>
      <c r="B112" s="17" t="n">
        <v>19</v>
      </c>
    </row>
    <row r="113">
      <c r="A113" t="inlineStr">
        <is>
          <t>Technician cost rate ($/hour, wages and all on-costs)</t>
        </is>
      </c>
      <c r="B113" s="13" t="n">
        <v>68</v>
      </c>
    </row>
    <row r="114">
      <c r="A114" t="inlineStr">
        <is>
          <t>Technician time</t>
        </is>
      </c>
      <c r="B114" s="13">
        <f>-B112*B113</f>
        <v/>
      </c>
    </row>
    <row r="115">
      <c r="A115" t="inlineStr">
        <is>
          <t>Job gross margin</t>
        </is>
      </c>
      <c r="B115" s="13">
        <f>B109+B110+B111+B114</f>
        <v/>
      </c>
    </row>
    <row r="116">
      <c r="A116" s="15" t="inlineStr">
        <is>
          <t>Job gross margin %</t>
        </is>
      </c>
      <c r="B116" s="16">
        <f>B115/B109</f>
        <v/>
      </c>
    </row>
    <row r="117"/>
    <row r="118"/>
    <row r="119">
      <c r="A119" s="5" t="inlineStr">
        <is>
          <t>Riverside Apartments (strata)</t>
        </is>
      </c>
    </row>
    <row r="120">
      <c r="A120" s="12" t="inlineStr">
        <is>
          <t>Job gross margin ÷ revenue for this job (before overheads)</t>
        </is>
      </c>
    </row>
    <row r="121">
      <c r="A121" s="6" t="inlineStr"/>
      <c r="B121" s="7" t="inlineStr">
        <is>
          <t>This job</t>
        </is>
      </c>
    </row>
    <row r="122">
      <c r="A122" t="inlineStr">
        <is>
          <t>Revenue</t>
        </is>
      </c>
      <c r="B122" s="13" t="n">
        <v>3200</v>
      </c>
    </row>
    <row r="123">
      <c r="A123" t="inlineStr">
        <is>
          <t>Materials</t>
        </is>
      </c>
      <c r="B123" s="13" t="n">
        <v>-60</v>
      </c>
    </row>
    <row r="124">
      <c r="A124" t="inlineStr">
        <is>
          <t>Subcontractors</t>
        </is>
      </c>
      <c r="B124" s="13" t="n">
        <v>0</v>
      </c>
    </row>
    <row r="125">
      <c r="A125" t="inlineStr">
        <is>
          <t>Technician hours</t>
        </is>
      </c>
      <c r="B125" s="17" t="n">
        <v>18</v>
      </c>
    </row>
    <row r="126">
      <c r="A126" t="inlineStr">
        <is>
          <t>Technician cost rate ($/hour, wages and all on-costs)</t>
        </is>
      </c>
      <c r="B126" s="13" t="n">
        <v>68</v>
      </c>
    </row>
    <row r="127">
      <c r="A127" t="inlineStr">
        <is>
          <t>Technician time</t>
        </is>
      </c>
      <c r="B127" s="13">
        <f>-B125*B126</f>
        <v/>
      </c>
    </row>
    <row r="128">
      <c r="A128" t="inlineStr">
        <is>
          <t>Job gross margin</t>
        </is>
      </c>
      <c r="B128" s="13">
        <f>B122+B123+B124+B127</f>
        <v/>
      </c>
    </row>
    <row r="129">
      <c r="A129" s="15" t="inlineStr">
        <is>
          <t>Job gross margin %</t>
        </is>
      </c>
      <c r="B129" s="16">
        <f>B128/B122</f>
        <v/>
      </c>
    </row>
    <row r="130"/>
    <row r="131"/>
    <row r="132">
      <c r="A132" s="5" t="inlineStr">
        <is>
          <t>Newstead gym</t>
        </is>
      </c>
    </row>
    <row r="133">
      <c r="A133" s="12" t="inlineStr">
        <is>
          <t>Job gross margin ÷ revenue for this job (before overheads)</t>
        </is>
      </c>
    </row>
    <row r="134">
      <c r="A134" s="6" t="inlineStr"/>
      <c r="B134" s="7" t="inlineStr">
        <is>
          <t>This job</t>
        </is>
      </c>
    </row>
    <row r="135">
      <c r="A135" t="inlineStr">
        <is>
          <t>Revenue</t>
        </is>
      </c>
      <c r="B135" s="13" t="n">
        <v>1600</v>
      </c>
    </row>
    <row r="136">
      <c r="A136" t="inlineStr">
        <is>
          <t>Materials</t>
        </is>
      </c>
      <c r="B136" s="13" t="n">
        <v>-30</v>
      </c>
    </row>
    <row r="137">
      <c r="A137" t="inlineStr">
        <is>
          <t>Subcontractors</t>
        </is>
      </c>
      <c r="B137" s="13" t="n">
        <v>0</v>
      </c>
    </row>
    <row r="138">
      <c r="A138" t="inlineStr">
        <is>
          <t>Technician hours</t>
        </is>
      </c>
      <c r="B138" s="17" t="n">
        <v>9</v>
      </c>
    </row>
    <row r="139">
      <c r="A139" t="inlineStr">
        <is>
          <t>Technician cost rate ($/hour, wages and all on-costs)</t>
        </is>
      </c>
      <c r="B139" s="13" t="n">
        <v>68</v>
      </c>
    </row>
    <row r="140">
      <c r="A140" t="inlineStr">
        <is>
          <t>Technician time</t>
        </is>
      </c>
      <c r="B140" s="13">
        <f>-B138*B139</f>
        <v/>
      </c>
    </row>
    <row r="141">
      <c r="A141" t="inlineStr">
        <is>
          <t>Job gross margin</t>
        </is>
      </c>
      <c r="B141" s="13">
        <f>B135+B136+B137+B140</f>
        <v/>
      </c>
    </row>
    <row r="142">
      <c r="A142" s="15" t="inlineStr">
        <is>
          <t>Job gross margin %</t>
        </is>
      </c>
      <c r="B142" s="16">
        <f>B141/B135</f>
        <v/>
      </c>
    </row>
    <row r="143"/>
    <row r="144"/>
    <row r="145">
      <c r="A145" s="5" t="inlineStr">
        <is>
          <t>Chermside retail centre</t>
        </is>
      </c>
    </row>
    <row r="146">
      <c r="A146" s="12" t="inlineStr">
        <is>
          <t>Job gross margin ÷ revenue for this job (before overheads)</t>
        </is>
      </c>
    </row>
    <row r="147">
      <c r="A147" s="6" t="inlineStr"/>
      <c r="B147" s="7" t="inlineStr">
        <is>
          <t>This job</t>
        </is>
      </c>
    </row>
    <row r="148">
      <c r="A148" t="inlineStr">
        <is>
          <t>Revenue</t>
        </is>
      </c>
      <c r="B148" s="13" t="n">
        <v>4100</v>
      </c>
    </row>
    <row r="149">
      <c r="A149" t="inlineStr">
        <is>
          <t>Materials</t>
        </is>
      </c>
      <c r="B149" s="13" t="n">
        <v>-100</v>
      </c>
    </row>
    <row r="150">
      <c r="A150" t="inlineStr">
        <is>
          <t>Subcontractors</t>
        </is>
      </c>
      <c r="B150" s="13" t="n">
        <v>0</v>
      </c>
    </row>
    <row r="151">
      <c r="A151" t="inlineStr">
        <is>
          <t>Technician hours</t>
        </is>
      </c>
      <c r="B151" s="17" t="n">
        <v>23</v>
      </c>
    </row>
    <row r="152">
      <c r="A152" t="inlineStr">
        <is>
          <t>Technician cost rate ($/hour, wages and all on-costs)</t>
        </is>
      </c>
      <c r="B152" s="13" t="n">
        <v>68</v>
      </c>
    </row>
    <row r="153">
      <c r="A153" t="inlineStr">
        <is>
          <t>Technician time</t>
        </is>
      </c>
      <c r="B153" s="13">
        <f>-B151*B152</f>
        <v/>
      </c>
    </row>
    <row r="154">
      <c r="A154" t="inlineStr">
        <is>
          <t>Job gross margin</t>
        </is>
      </c>
      <c r="B154" s="13">
        <f>B148+B149+B150+B153</f>
        <v/>
      </c>
    </row>
    <row r="155">
      <c r="A155" s="15" t="inlineStr">
        <is>
          <t>Job gross margin %</t>
        </is>
      </c>
      <c r="B155" s="16">
        <f>B154/B148</f>
        <v/>
      </c>
    </row>
    <row r="156"/>
    <row r="157"/>
    <row r="158">
      <c r="A158" s="5" t="inlineStr">
        <is>
          <t>Milton office tower</t>
        </is>
      </c>
    </row>
    <row r="159">
      <c r="A159" s="12" t="inlineStr">
        <is>
          <t>Job gross margin ÷ revenue for this job (before overheads)</t>
        </is>
      </c>
    </row>
    <row r="160">
      <c r="A160" s="6" t="inlineStr"/>
      <c r="B160" s="7" t="inlineStr">
        <is>
          <t>This job</t>
        </is>
      </c>
    </row>
    <row r="161">
      <c r="A161" t="inlineStr">
        <is>
          <t>Revenue</t>
        </is>
      </c>
      <c r="B161" s="13" t="n">
        <v>4200</v>
      </c>
    </row>
    <row r="162">
      <c r="A162" t="inlineStr">
        <is>
          <t>Materials</t>
        </is>
      </c>
      <c r="B162" s="13" t="n">
        <v>-90</v>
      </c>
    </row>
    <row r="163">
      <c r="A163" t="inlineStr">
        <is>
          <t>Subcontractors</t>
        </is>
      </c>
      <c r="B163" s="13" t="n">
        <v>0</v>
      </c>
    </row>
    <row r="164">
      <c r="A164" t="inlineStr">
        <is>
          <t>Technician hours</t>
        </is>
      </c>
      <c r="B164" s="17" t="n">
        <v>24</v>
      </c>
    </row>
    <row r="165">
      <c r="A165" t="inlineStr">
        <is>
          <t>Technician cost rate ($/hour, wages and all on-costs)</t>
        </is>
      </c>
      <c r="B165" s="13" t="n">
        <v>68</v>
      </c>
    </row>
    <row r="166">
      <c r="A166" t="inlineStr">
        <is>
          <t>Technician time</t>
        </is>
      </c>
      <c r="B166" s="13">
        <f>-B164*B165</f>
        <v/>
      </c>
    </row>
    <row r="167">
      <c r="A167" t="inlineStr">
        <is>
          <t>Job gross margin</t>
        </is>
      </c>
      <c r="B167" s="13">
        <f>B161+B162+B163+B166</f>
        <v/>
      </c>
    </row>
    <row r="168">
      <c r="A168" s="15" t="inlineStr">
        <is>
          <t>Job gross margin %</t>
        </is>
      </c>
      <c r="B168" s="16">
        <f>B167/B161</f>
        <v/>
      </c>
    </row>
    <row r="169"/>
    <row r="170"/>
    <row r="171">
      <c r="A171" s="5" t="inlineStr">
        <is>
          <t>Bulimba school</t>
        </is>
      </c>
    </row>
    <row r="172">
      <c r="A172" s="12" t="inlineStr">
        <is>
          <t>Job gross margin ÷ revenue for this job (before overheads)</t>
        </is>
      </c>
    </row>
    <row r="173">
      <c r="A173" s="6" t="inlineStr"/>
      <c r="B173" s="7" t="inlineStr">
        <is>
          <t>This job</t>
        </is>
      </c>
    </row>
    <row r="174">
      <c r="A174" t="inlineStr">
        <is>
          <t>Revenue</t>
        </is>
      </c>
      <c r="B174" s="13" t="n">
        <v>2800</v>
      </c>
    </row>
    <row r="175">
      <c r="A175" t="inlineStr">
        <is>
          <t>Materials</t>
        </is>
      </c>
      <c r="B175" s="13" t="n">
        <v>-60</v>
      </c>
    </row>
    <row r="176">
      <c r="A176" t="inlineStr">
        <is>
          <t>Subcontractors</t>
        </is>
      </c>
      <c r="B176" s="13" t="n">
        <v>0</v>
      </c>
    </row>
    <row r="177">
      <c r="A177" t="inlineStr">
        <is>
          <t>Technician hours</t>
        </is>
      </c>
      <c r="B177" s="17" t="n">
        <v>16</v>
      </c>
    </row>
    <row r="178">
      <c r="A178" t="inlineStr">
        <is>
          <t>Technician cost rate ($/hour, wages and all on-costs)</t>
        </is>
      </c>
      <c r="B178" s="13" t="n">
        <v>68</v>
      </c>
    </row>
    <row r="179">
      <c r="A179" t="inlineStr">
        <is>
          <t>Technician time</t>
        </is>
      </c>
      <c r="B179" s="13">
        <f>-B177*B178</f>
        <v/>
      </c>
    </row>
    <row r="180">
      <c r="A180" t="inlineStr">
        <is>
          <t>Job gross margin</t>
        </is>
      </c>
      <c r="B180" s="13">
        <f>B174+B175+B176+B179</f>
        <v/>
      </c>
    </row>
    <row r="181">
      <c r="A181" s="15" t="inlineStr">
        <is>
          <t>Job gross margin %</t>
        </is>
      </c>
      <c r="B181" s="16">
        <f>B180/B174</f>
        <v/>
      </c>
    </row>
    <row r="182"/>
    <row r="183"/>
    <row r="184">
      <c r="A184" s="5" t="inlineStr">
        <is>
          <t>West End brewery</t>
        </is>
      </c>
    </row>
    <row r="185">
      <c r="A185" s="12" t="inlineStr">
        <is>
          <t>Job gross margin ÷ revenue for this job (before overheads)</t>
        </is>
      </c>
    </row>
    <row r="186">
      <c r="A186" s="6" t="inlineStr"/>
      <c r="B186" s="7" t="inlineStr">
        <is>
          <t>This job</t>
        </is>
      </c>
    </row>
    <row r="187">
      <c r="A187" t="inlineStr">
        <is>
          <t>Revenue</t>
        </is>
      </c>
      <c r="B187" s="13" t="n">
        <v>2600</v>
      </c>
    </row>
    <row r="188">
      <c r="A188" t="inlineStr">
        <is>
          <t>Materials</t>
        </is>
      </c>
      <c r="B188" s="13" t="n">
        <v>-50</v>
      </c>
    </row>
    <row r="189">
      <c r="A189" t="inlineStr">
        <is>
          <t>Subcontractors</t>
        </is>
      </c>
      <c r="B189" s="13" t="n">
        <v>0</v>
      </c>
    </row>
    <row r="190">
      <c r="A190" t="inlineStr">
        <is>
          <t>Technician hours</t>
        </is>
      </c>
      <c r="B190" s="17" t="n">
        <v>15</v>
      </c>
    </row>
    <row r="191">
      <c r="A191" t="inlineStr">
        <is>
          <t>Technician cost rate ($/hour, wages and all on-costs)</t>
        </is>
      </c>
      <c r="B191" s="13" t="n">
        <v>68</v>
      </c>
    </row>
    <row r="192">
      <c r="A192" t="inlineStr">
        <is>
          <t>Technician time</t>
        </is>
      </c>
      <c r="B192" s="13">
        <f>-B190*B191</f>
        <v/>
      </c>
    </row>
    <row r="193">
      <c r="A193" t="inlineStr">
        <is>
          <t>Job gross margin</t>
        </is>
      </c>
      <c r="B193" s="13">
        <f>B187+B188+B189+B192</f>
        <v/>
      </c>
    </row>
    <row r="194">
      <c r="A194" s="15" t="inlineStr">
        <is>
          <t>Job gross margin %</t>
        </is>
      </c>
      <c r="B194" s="16">
        <f>B193/B187</f>
        <v/>
      </c>
    </row>
    <row r="195"/>
    <row r="196"/>
    <row r="197">
      <c r="A197" s="5" t="inlineStr">
        <is>
          <t>Rocklea factory</t>
        </is>
      </c>
    </row>
    <row r="198">
      <c r="A198" s="12" t="inlineStr">
        <is>
          <t>Job gross margin ÷ revenue for this job (before overheads)</t>
        </is>
      </c>
    </row>
    <row r="199">
      <c r="A199" s="6" t="inlineStr"/>
      <c r="B199" s="7" t="inlineStr">
        <is>
          <t>This job</t>
        </is>
      </c>
    </row>
    <row r="200">
      <c r="A200" t="inlineStr">
        <is>
          <t>Revenue</t>
        </is>
      </c>
      <c r="B200" s="13" t="n">
        <v>3900</v>
      </c>
    </row>
    <row r="201">
      <c r="A201" t="inlineStr">
        <is>
          <t>Materials</t>
        </is>
      </c>
      <c r="B201" s="13" t="n">
        <v>-110</v>
      </c>
    </row>
    <row r="202">
      <c r="A202" t="inlineStr">
        <is>
          <t>Subcontractors</t>
        </is>
      </c>
      <c r="B202" s="13" t="n">
        <v>0</v>
      </c>
    </row>
    <row r="203">
      <c r="A203" t="inlineStr">
        <is>
          <t>Technician hours</t>
        </is>
      </c>
      <c r="B203" s="17" t="n">
        <v>22</v>
      </c>
    </row>
    <row r="204">
      <c r="A204" t="inlineStr">
        <is>
          <t>Technician cost rate ($/hour, wages and all on-costs)</t>
        </is>
      </c>
      <c r="B204" s="13" t="n">
        <v>68</v>
      </c>
    </row>
    <row r="205">
      <c r="A205" t="inlineStr">
        <is>
          <t>Technician time</t>
        </is>
      </c>
      <c r="B205" s="13">
        <f>-B203*B204</f>
        <v/>
      </c>
    </row>
    <row r="206">
      <c r="A206" t="inlineStr">
        <is>
          <t>Job gross margin</t>
        </is>
      </c>
      <c r="B206" s="13">
        <f>B200+B201+B202+B205</f>
        <v/>
      </c>
    </row>
    <row r="207">
      <c r="A207" s="15" t="inlineStr">
        <is>
          <t>Job gross margin %</t>
        </is>
      </c>
      <c r="B207" s="16">
        <f>B206/B200</f>
        <v/>
      </c>
    </row>
    <row r="208"/>
    <row r="209"/>
    <row r="210">
      <c r="A210" s="5" t="inlineStr">
        <is>
          <t>Kangaroo Point townhouses</t>
        </is>
      </c>
    </row>
    <row r="211">
      <c r="A211" s="12" t="inlineStr">
        <is>
          <t>Job gross margin ÷ revenue for this job (before overheads)</t>
        </is>
      </c>
    </row>
    <row r="212">
      <c r="A212" s="6" t="inlineStr"/>
      <c r="B212" s="7" t="inlineStr">
        <is>
          <t>This job</t>
        </is>
      </c>
    </row>
    <row r="213">
      <c r="A213" t="inlineStr">
        <is>
          <t>Revenue</t>
        </is>
      </c>
      <c r="B213" s="13" t="n">
        <v>2400</v>
      </c>
    </row>
    <row r="214">
      <c r="A214" t="inlineStr">
        <is>
          <t>Materials</t>
        </is>
      </c>
      <c r="B214" s="13" t="n">
        <v>-50</v>
      </c>
    </row>
    <row r="215">
      <c r="A215" t="inlineStr">
        <is>
          <t>Subcontractors</t>
        </is>
      </c>
      <c r="B215" s="13" t="n">
        <v>0</v>
      </c>
    </row>
    <row r="216">
      <c r="A216" t="inlineStr">
        <is>
          <t>Technician hours</t>
        </is>
      </c>
      <c r="B216" s="17" t="n">
        <v>14</v>
      </c>
    </row>
    <row r="217">
      <c r="A217" t="inlineStr">
        <is>
          <t>Technician cost rate ($/hour, wages and all on-costs)</t>
        </is>
      </c>
      <c r="B217" s="13" t="n">
        <v>68</v>
      </c>
    </row>
    <row r="218">
      <c r="A218" t="inlineStr">
        <is>
          <t>Technician time</t>
        </is>
      </c>
      <c r="B218" s="13">
        <f>-B216*B217</f>
        <v/>
      </c>
    </row>
    <row r="219">
      <c r="A219" t="inlineStr">
        <is>
          <t>Job gross margin</t>
        </is>
      </c>
      <c r="B219" s="13">
        <f>B213+B214+B215+B218</f>
        <v/>
      </c>
    </row>
    <row r="220">
      <c r="A220" s="15" t="inlineStr">
        <is>
          <t>Job gross margin %</t>
        </is>
      </c>
      <c r="B220" s="16">
        <f>B219/B213</f>
        <v/>
      </c>
    </row>
    <row r="221"/>
    <row r="222"/>
    <row r="223">
      <c r="A223" s="5" t="inlineStr">
        <is>
          <t>Installations: gross margin, December and November</t>
        </is>
      </c>
    </row>
    <row r="224">
      <c r="A224" s="12" t="inlineStr">
        <is>
          <t>Revenue less direct cost, over revenue. Before overheads.</t>
        </is>
      </c>
    </row>
    <row r="225">
      <c r="A225" s="6" t="inlineStr"/>
      <c r="B225" s="7" t="inlineStr">
        <is>
          <t>Dec 25</t>
        </is>
      </c>
      <c r="C225" s="7" t="inlineStr">
        <is>
          <t>Nov 25</t>
        </is>
      </c>
    </row>
    <row r="226">
      <c r="A226" t="inlineStr">
        <is>
          <t>Revenue</t>
        </is>
      </c>
      <c r="B226" s="13" t="n">
        <v>69700</v>
      </c>
      <c r="C226" s="13" t="n">
        <v>113300</v>
      </c>
    </row>
    <row r="227">
      <c r="A227" t="inlineStr">
        <is>
          <t>Direct cost</t>
        </is>
      </c>
      <c r="B227" s="13" t="n">
        <v>53408</v>
      </c>
      <c r="C227" s="13" t="n">
        <v>87174</v>
      </c>
    </row>
    <row r="228">
      <c r="A228" t="inlineStr">
        <is>
          <t>Gross margin</t>
        </is>
      </c>
      <c r="B228" s="13">
        <f>B226-B227</f>
        <v/>
      </c>
      <c r="C228" s="13">
        <f>C226-C227</f>
        <v/>
      </c>
    </row>
    <row r="229">
      <c r="A229" s="15" t="inlineStr">
        <is>
          <t>Gross margin %</t>
        </is>
      </c>
      <c r="B229" s="16">
        <f>B228/B226</f>
        <v/>
      </c>
      <c r="C229" s="16">
        <f>C228/C226</f>
        <v/>
      </c>
    </row>
    <row r="230"/>
    <row r="231"/>
    <row r="232">
      <c r="A232" s="5" t="inlineStr">
        <is>
          <t>Newstead office office fit-out wiring</t>
        </is>
      </c>
    </row>
    <row r="233">
      <c r="A233" s="12" t="inlineStr">
        <is>
          <t>Job gross margin ÷ revenue for this job (before overheads)</t>
        </is>
      </c>
    </row>
    <row r="234">
      <c r="A234" s="6" t="inlineStr"/>
      <c r="B234" s="7" t="inlineStr">
        <is>
          <t>This job</t>
        </is>
      </c>
    </row>
    <row r="235">
      <c r="A235" t="inlineStr">
        <is>
          <t>Revenue</t>
        </is>
      </c>
      <c r="B235" s="13" t="n">
        <v>15600</v>
      </c>
    </row>
    <row r="236">
      <c r="A236" t="inlineStr">
        <is>
          <t>Materials</t>
        </is>
      </c>
      <c r="B236" s="13" t="n">
        <v>-4800</v>
      </c>
    </row>
    <row r="237">
      <c r="A237" t="inlineStr">
        <is>
          <t>Subcontractors</t>
        </is>
      </c>
      <c r="B237" s="13" t="n">
        <v>-900</v>
      </c>
    </row>
    <row r="238">
      <c r="A238" t="inlineStr">
        <is>
          <t>Technician hours</t>
        </is>
      </c>
      <c r="B238" s="17" t="n">
        <v>59.5</v>
      </c>
    </row>
    <row r="239">
      <c r="A239" t="inlineStr">
        <is>
          <t>Technician cost rate ($/hour, wages and all on-costs)</t>
        </is>
      </c>
      <c r="B239" s="13" t="n">
        <v>68</v>
      </c>
    </row>
    <row r="240">
      <c r="A240" t="inlineStr">
        <is>
          <t>Technician time</t>
        </is>
      </c>
      <c r="B240" s="13">
        <f>-B238*B239</f>
        <v/>
      </c>
    </row>
    <row r="241">
      <c r="A241" t="inlineStr">
        <is>
          <t>Job gross margin</t>
        </is>
      </c>
      <c r="B241" s="13">
        <f>B235+B236+B237+B240</f>
        <v/>
      </c>
    </row>
    <row r="242">
      <c r="A242" s="15" t="inlineStr">
        <is>
          <t>Job gross margin %</t>
        </is>
      </c>
      <c r="B242" s="16">
        <f>B241/B235</f>
        <v/>
      </c>
    </row>
    <row r="243"/>
    <row r="244"/>
    <row r="245">
      <c r="A245" s="5" t="inlineStr">
        <is>
          <t>Salisbury school data cabling</t>
        </is>
      </c>
    </row>
    <row r="246">
      <c r="A246" s="12" t="inlineStr">
        <is>
          <t>Job gross margin ÷ revenue for this job (before overheads)</t>
        </is>
      </c>
    </row>
    <row r="247">
      <c r="A247" s="6" t="inlineStr"/>
      <c r="B247" s="7" t="inlineStr">
        <is>
          <t>This job</t>
        </is>
      </c>
    </row>
    <row r="248">
      <c r="A248" t="inlineStr">
        <is>
          <t>Revenue</t>
        </is>
      </c>
      <c r="B248" s="13" t="n">
        <v>19100</v>
      </c>
    </row>
    <row r="249">
      <c r="A249" t="inlineStr">
        <is>
          <t>Materials</t>
        </is>
      </c>
      <c r="B249" s="13" t="n">
        <v>-6000</v>
      </c>
    </row>
    <row r="250">
      <c r="A250" t="inlineStr">
        <is>
          <t>Subcontractors</t>
        </is>
      </c>
      <c r="B250" s="13" t="n">
        <v>-2300</v>
      </c>
    </row>
    <row r="251">
      <c r="A251" t="inlineStr">
        <is>
          <t>Technician hours</t>
        </is>
      </c>
      <c r="B251" s="17" t="n">
        <v>79.5</v>
      </c>
    </row>
    <row r="252">
      <c r="A252" t="inlineStr">
        <is>
          <t>Technician cost rate ($/hour, wages and all on-costs)</t>
        </is>
      </c>
      <c r="B252" s="13" t="n">
        <v>68</v>
      </c>
    </row>
    <row r="253">
      <c r="A253" t="inlineStr">
        <is>
          <t>Technician time</t>
        </is>
      </c>
      <c r="B253" s="13">
        <f>-B251*B252</f>
        <v/>
      </c>
    </row>
    <row r="254">
      <c r="A254" t="inlineStr">
        <is>
          <t>Job gross margin</t>
        </is>
      </c>
      <c r="B254" s="13">
        <f>B248+B249+B250+B253</f>
        <v/>
      </c>
    </row>
    <row r="255">
      <c r="A255" s="15" t="inlineStr">
        <is>
          <t>Job gross margin %</t>
        </is>
      </c>
      <c r="B255" s="16">
        <f>B254/B248</f>
        <v/>
      </c>
    </row>
    <row r="256"/>
    <row r="257"/>
    <row r="258">
      <c r="A258" s="5" t="inlineStr">
        <is>
          <t>Windsor warehouse switchboard upgrade</t>
        </is>
      </c>
    </row>
    <row r="259">
      <c r="A259" s="12" t="inlineStr">
        <is>
          <t>Job gross margin ÷ revenue for this job (before overheads)</t>
        </is>
      </c>
    </row>
    <row r="260">
      <c r="A260" s="6" t="inlineStr"/>
      <c r="B260" s="7" t="inlineStr">
        <is>
          <t>This job</t>
        </is>
      </c>
    </row>
    <row r="261">
      <c r="A261" t="inlineStr">
        <is>
          <t>Revenue</t>
        </is>
      </c>
      <c r="B261" s="13" t="n">
        <v>13800</v>
      </c>
    </row>
    <row r="262">
      <c r="A262" t="inlineStr">
        <is>
          <t>Materials</t>
        </is>
      </c>
      <c r="B262" s="13" t="n">
        <v>-5500</v>
      </c>
    </row>
    <row r="263">
      <c r="A263" t="inlineStr">
        <is>
          <t>Subcontractors</t>
        </is>
      </c>
      <c r="B263" s="13" t="n">
        <v>-1400</v>
      </c>
    </row>
    <row r="264">
      <c r="A264" t="inlineStr">
        <is>
          <t>Technician hours</t>
        </is>
      </c>
      <c r="B264" s="17" t="n">
        <v>51</v>
      </c>
    </row>
    <row r="265">
      <c r="A265" t="inlineStr">
        <is>
          <t>Technician cost rate ($/hour, wages and all on-costs)</t>
        </is>
      </c>
      <c r="B265" s="13" t="n">
        <v>68</v>
      </c>
    </row>
    <row r="266">
      <c r="A266" t="inlineStr">
        <is>
          <t>Technician time</t>
        </is>
      </c>
      <c r="B266" s="13">
        <f>-B264*B265</f>
        <v/>
      </c>
    </row>
    <row r="267">
      <c r="A267" t="inlineStr">
        <is>
          <t>Job gross margin</t>
        </is>
      </c>
      <c r="B267" s="13">
        <f>B261+B262+B263+B266</f>
        <v/>
      </c>
    </row>
    <row r="268">
      <c r="A268" s="15" t="inlineStr">
        <is>
          <t>Job gross margin %</t>
        </is>
      </c>
      <c r="B268" s="16">
        <f>B267/B261</f>
        <v/>
      </c>
    </row>
    <row r="269"/>
    <row r="270"/>
    <row r="271">
      <c r="A271" s="5" t="inlineStr">
        <is>
          <t>Wynnum factory solar and battery</t>
        </is>
      </c>
    </row>
    <row r="272">
      <c r="A272" s="12" t="inlineStr">
        <is>
          <t>Job gross margin ÷ revenue for this job (before overheads)</t>
        </is>
      </c>
    </row>
    <row r="273">
      <c r="A273" s="6" t="inlineStr"/>
      <c r="B273" s="7" t="inlineStr">
        <is>
          <t>This job</t>
        </is>
      </c>
    </row>
    <row r="274">
      <c r="A274" t="inlineStr">
        <is>
          <t>Revenue</t>
        </is>
      </c>
      <c r="B274" s="13" t="n">
        <v>21200</v>
      </c>
    </row>
    <row r="275">
      <c r="A275" t="inlineStr">
        <is>
          <t>Materials</t>
        </is>
      </c>
      <c r="B275" s="13" t="n">
        <v>-11100</v>
      </c>
    </row>
    <row r="276">
      <c r="A276" t="inlineStr">
        <is>
          <t>Subcontractors</t>
        </is>
      </c>
      <c r="B276" s="13" t="n">
        <v>-2300</v>
      </c>
    </row>
    <row r="277">
      <c r="A277" t="inlineStr">
        <is>
          <t>Technician hours</t>
        </is>
      </c>
      <c r="B277" s="17" t="n">
        <v>91</v>
      </c>
    </row>
    <row r="278">
      <c r="A278" t="inlineStr">
        <is>
          <t>Technician cost rate ($/hour, wages and all on-costs)</t>
        </is>
      </c>
      <c r="B278" s="13" t="n">
        <v>68</v>
      </c>
    </row>
    <row r="279">
      <c r="A279" t="inlineStr">
        <is>
          <t>Technician time</t>
        </is>
      </c>
      <c r="B279" s="13">
        <f>-B277*B278</f>
        <v/>
      </c>
    </row>
    <row r="280">
      <c r="A280" t="inlineStr">
        <is>
          <t>Job gross margin</t>
        </is>
      </c>
      <c r="B280" s="13">
        <f>B274+B275+B276+B279</f>
        <v/>
      </c>
    </row>
    <row r="281">
      <c r="A281" s="15" t="inlineStr">
        <is>
          <t>Job gross margin %</t>
        </is>
      </c>
      <c r="B281" s="16">
        <f>B280/B274</f>
        <v/>
      </c>
    </row>
    <row r="282"/>
    <row r="283"/>
    <row r="284">
      <c r="A284" s="5" t="inlineStr">
        <is>
          <t>Call-outs and repairs: gross margin, December and November</t>
        </is>
      </c>
    </row>
    <row r="285">
      <c r="A285" s="12" t="inlineStr">
        <is>
          <t>Revenue less direct cost, over revenue. Before overheads.</t>
        </is>
      </c>
    </row>
    <row r="286">
      <c r="A286" s="6" t="inlineStr"/>
      <c r="B286" s="7" t="inlineStr">
        <is>
          <t>Dec 25</t>
        </is>
      </c>
      <c r="C286" s="7" t="inlineStr">
        <is>
          <t>Nov 25</t>
        </is>
      </c>
    </row>
    <row r="287">
      <c r="A287" t="inlineStr">
        <is>
          <t>Revenue</t>
        </is>
      </c>
      <c r="B287" s="13" t="n">
        <v>29579</v>
      </c>
      <c r="C287" s="13" t="n">
        <v>25686</v>
      </c>
    </row>
    <row r="288">
      <c r="A288" t="inlineStr">
        <is>
          <t>Direct cost</t>
        </is>
      </c>
      <c r="B288" s="13" t="n">
        <v>16702</v>
      </c>
      <c r="C288" s="13" t="n">
        <v>14252</v>
      </c>
    </row>
    <row r="289">
      <c r="A289" t="inlineStr">
        <is>
          <t>Gross margin</t>
        </is>
      </c>
      <c r="B289" s="13">
        <f>B287-B288</f>
        <v/>
      </c>
      <c r="C289" s="13">
        <f>C287-C288</f>
        <v/>
      </c>
    </row>
    <row r="290">
      <c r="A290" s="15" t="inlineStr">
        <is>
          <t>Gross margin %</t>
        </is>
      </c>
      <c r="B290" s="16">
        <f>B289/B287</f>
        <v/>
      </c>
      <c r="C290" s="16">
        <f>C289/C287</f>
        <v/>
      </c>
    </row>
    <row r="291"/>
    <row r="292"/>
    <row r="293">
      <c r="A293" s="5" t="inlineStr">
        <is>
          <t>Call-out revenue, December</t>
        </is>
      </c>
    </row>
    <row r="294">
      <c r="A294" s="12" t="inlineStr">
        <is>
          <t>Technician time charged at $145/hour + materials charged at cost × 1.3</t>
        </is>
      </c>
    </row>
    <row r="295">
      <c r="A295" s="6" t="inlineStr"/>
      <c r="B295" s="7" t="inlineStr">
        <is>
          <t>Dec 2025</t>
        </is>
      </c>
    </row>
    <row r="296">
      <c r="A296" t="inlineStr">
        <is>
          <t>Technician time charged ($145/hour)</t>
        </is>
      </c>
      <c r="B296" s="13" t="n">
        <v>20154</v>
      </c>
    </row>
    <row r="297">
      <c r="A297" t="inlineStr">
        <is>
          <t>Materials at cost</t>
        </is>
      </c>
      <c r="B297" s="13" t="n">
        <v>7250</v>
      </c>
    </row>
    <row r="298">
      <c r="A298" t="inlineStr">
        <is>
          <t>Mark-up on materials</t>
        </is>
      </c>
      <c r="B298" s="14" t="n">
        <v>0.3</v>
      </c>
    </row>
    <row r="299">
      <c r="A299" t="inlineStr">
        <is>
          <t>Materials charged (cost × 1.3)</t>
        </is>
      </c>
      <c r="B299" s="13">
        <f>B297*(1+B298)</f>
        <v/>
      </c>
    </row>
    <row r="300">
      <c r="A300" t="inlineStr">
        <is>
          <t>Materials charged (as invoiced, rounded per call-out)</t>
        </is>
      </c>
      <c r="B300" s="13" t="n">
        <v>9425</v>
      </c>
    </row>
    <row r="301">
      <c r="A301" t="inlineStr">
        <is>
          <t>Call-out revenue</t>
        </is>
      </c>
      <c r="B301" s="13">
        <f>B296+B300</f>
        <v/>
      </c>
    </row>
    <row r="302">
      <c r="A302" s="15" t="inlineStr">
        <is>
          <t>Technician time, % of call-out revenue</t>
        </is>
      </c>
      <c r="B302" s="16">
        <f>B296/B301</f>
        <v/>
      </c>
    </row>
    <row r="303"/>
    <row r="304"/>
    <row r="305">
      <c r="A305" s="5" t="inlineStr">
        <is>
          <t>Call-out revenue, December</t>
        </is>
      </c>
    </row>
    <row r="306">
      <c r="A306" s="12" t="inlineStr">
        <is>
          <t>Technician time charged at $145/hour + materials charged at cost × 1.3</t>
        </is>
      </c>
    </row>
    <row r="307">
      <c r="A307" s="6" t="inlineStr"/>
      <c r="B307" s="7" t="inlineStr">
        <is>
          <t>Dec 2025</t>
        </is>
      </c>
    </row>
    <row r="308">
      <c r="A308" t="inlineStr">
        <is>
          <t>Technician time charged ($145/hour)</t>
        </is>
      </c>
      <c r="B308" s="13" t="n">
        <v>20154</v>
      </c>
    </row>
    <row r="309">
      <c r="A309" t="inlineStr">
        <is>
          <t>Materials at cost</t>
        </is>
      </c>
      <c r="B309" s="13" t="n">
        <v>7250</v>
      </c>
    </row>
    <row r="310">
      <c r="A310" t="inlineStr">
        <is>
          <t>Mark-up on materials</t>
        </is>
      </c>
      <c r="B310" s="14" t="n">
        <v>0.3</v>
      </c>
    </row>
    <row r="311">
      <c r="A311" t="inlineStr">
        <is>
          <t>Materials charged (cost × 1.3)</t>
        </is>
      </c>
      <c r="B311" s="13">
        <f>B309*(1+B310)</f>
        <v/>
      </c>
    </row>
    <row r="312">
      <c r="A312" t="inlineStr">
        <is>
          <t>Materials charged (as invoiced, rounded per call-out)</t>
        </is>
      </c>
      <c r="B312" s="13" t="n">
        <v>9425</v>
      </c>
    </row>
    <row r="313">
      <c r="A313" t="inlineStr">
        <is>
          <t>Call-out revenue</t>
        </is>
      </c>
      <c r="B313" s="13">
        <f>B308+B312</f>
        <v/>
      </c>
    </row>
    <row r="314">
      <c r="A314" s="15" t="inlineStr">
        <is>
          <t>Technician time, % of call-out revenue</t>
        </is>
      </c>
      <c r="B314" s="16">
        <f>B308/B313</f>
        <v/>
      </c>
    </row>
    <row r="315"/>
    <row r="316"/>
    <row r="317">
      <c r="A317" s="5" t="inlineStr">
        <is>
          <t>1-hour call-outs (6)</t>
        </is>
      </c>
    </row>
    <row r="318">
      <c r="A318" s="12" t="inlineStr">
        <is>
          <t>Call-outs of this length in December, added together</t>
        </is>
      </c>
    </row>
    <row r="319">
      <c r="A319" s="6" t="inlineStr"/>
      <c r="B319" s="7" t="inlineStr">
        <is>
          <t>Dec 2025</t>
        </is>
      </c>
    </row>
    <row r="320">
      <c r="A320" t="inlineStr">
        <is>
          <t>Call-outs</t>
        </is>
      </c>
      <c r="B320" s="13" t="n">
        <v>6</v>
      </c>
    </row>
    <row r="321">
      <c r="A321" t="inlineStr">
        <is>
          <t>Technician time charged ($145/hour)</t>
        </is>
      </c>
      <c r="B321" s="13" t="n">
        <v>870</v>
      </c>
    </row>
    <row r="322">
      <c r="A322" t="inlineStr">
        <is>
          <t>Materials charged (cost × 1.3)</t>
        </is>
      </c>
      <c r="B322" s="13" t="n">
        <v>975</v>
      </c>
    </row>
    <row r="323">
      <c r="A323" t="inlineStr">
        <is>
          <t>Revenue</t>
        </is>
      </c>
      <c r="B323" s="13">
        <f>B321+B322</f>
        <v/>
      </c>
    </row>
    <row r="324">
      <c r="A324" t="inlineStr">
        <is>
          <t>Materials at cost</t>
        </is>
      </c>
      <c r="B324" s="13" t="n">
        <v>-750</v>
      </c>
    </row>
    <row r="325">
      <c r="A325" t="inlineStr">
        <is>
          <t>Technician time at cost</t>
        </is>
      </c>
      <c r="B325" s="13" t="n">
        <v>-408</v>
      </c>
    </row>
    <row r="326">
      <c r="A326" t="inlineStr">
        <is>
          <t>Job gross margin</t>
        </is>
      </c>
      <c r="B326" s="13">
        <f>B323+B324+B325</f>
        <v/>
      </c>
    </row>
    <row r="327">
      <c r="A327" s="15" t="inlineStr">
        <is>
          <t>Job gross margin %</t>
        </is>
      </c>
      <c r="B327" s="16">
        <f>B326/B323</f>
        <v/>
      </c>
    </row>
    <row r="328"/>
    <row r="329"/>
    <row r="330">
      <c r="A330" s="5" t="inlineStr">
        <is>
          <t>1.5-hour call-outs (6)</t>
        </is>
      </c>
    </row>
    <row r="331">
      <c r="A331" s="12" t="inlineStr">
        <is>
          <t>Call-outs of this length in December, added together</t>
        </is>
      </c>
    </row>
    <row r="332">
      <c r="A332" s="6" t="inlineStr"/>
      <c r="B332" s="7" t="inlineStr">
        <is>
          <t>Dec 2025</t>
        </is>
      </c>
    </row>
    <row r="333">
      <c r="A333" t="inlineStr">
        <is>
          <t>Call-outs</t>
        </is>
      </c>
      <c r="B333" s="13" t="n">
        <v>6</v>
      </c>
    </row>
    <row r="334">
      <c r="A334" t="inlineStr">
        <is>
          <t>Technician time charged ($145/hour)</t>
        </is>
      </c>
      <c r="B334" s="13" t="n">
        <v>1305</v>
      </c>
    </row>
    <row r="335">
      <c r="A335" t="inlineStr">
        <is>
          <t>Materials charged (cost × 1.3)</t>
        </is>
      </c>
      <c r="B335" s="13" t="n">
        <v>1001</v>
      </c>
    </row>
    <row r="336">
      <c r="A336" t="inlineStr">
        <is>
          <t>Revenue</t>
        </is>
      </c>
      <c r="B336" s="13">
        <f>B334+B335</f>
        <v/>
      </c>
    </row>
    <row r="337">
      <c r="A337" t="inlineStr">
        <is>
          <t>Materials at cost</t>
        </is>
      </c>
      <c r="B337" s="13" t="n">
        <v>-770</v>
      </c>
    </row>
    <row r="338">
      <c r="A338" t="inlineStr">
        <is>
          <t>Technician time at cost</t>
        </is>
      </c>
      <c r="B338" s="13" t="n">
        <v>-612</v>
      </c>
    </row>
    <row r="339">
      <c r="A339" t="inlineStr">
        <is>
          <t>Job gross margin</t>
        </is>
      </c>
      <c r="B339" s="13">
        <f>B336+B337+B338</f>
        <v/>
      </c>
    </row>
    <row r="340">
      <c r="A340" s="15" t="inlineStr">
        <is>
          <t>Job gross margin %</t>
        </is>
      </c>
      <c r="B340" s="16">
        <f>B339/B336</f>
        <v/>
      </c>
    </row>
    <row r="341"/>
    <row r="342"/>
    <row r="343">
      <c r="A343" s="5" t="inlineStr">
        <is>
          <t>2-hour call-outs (17)</t>
        </is>
      </c>
    </row>
    <row r="344">
      <c r="A344" s="12" t="inlineStr">
        <is>
          <t>Call-outs of this length in December, added together</t>
        </is>
      </c>
    </row>
    <row r="345">
      <c r="A345" s="6" t="inlineStr"/>
      <c r="B345" s="7" t="inlineStr">
        <is>
          <t>Dec 2025</t>
        </is>
      </c>
    </row>
    <row r="346">
      <c r="A346" t="inlineStr">
        <is>
          <t>Call-outs</t>
        </is>
      </c>
      <c r="B346" s="13" t="n">
        <v>17</v>
      </c>
    </row>
    <row r="347">
      <c r="A347" t="inlineStr">
        <is>
          <t>Technician time charged ($145/hour)</t>
        </is>
      </c>
      <c r="B347" s="13" t="n">
        <v>4930</v>
      </c>
    </row>
    <row r="348">
      <c r="A348" t="inlineStr">
        <is>
          <t>Materials charged (cost × 1.3)</t>
        </is>
      </c>
      <c r="B348" s="13" t="n">
        <v>2821</v>
      </c>
    </row>
    <row r="349">
      <c r="A349" t="inlineStr">
        <is>
          <t>Revenue</t>
        </is>
      </c>
      <c r="B349" s="13">
        <f>B347+B348</f>
        <v/>
      </c>
    </row>
    <row r="350">
      <c r="A350" t="inlineStr">
        <is>
          <t>Materials at cost</t>
        </is>
      </c>
      <c r="B350" s="13" t="n">
        <v>-2170</v>
      </c>
    </row>
    <row r="351">
      <c r="A351" t="inlineStr">
        <is>
          <t>Technician time at cost</t>
        </is>
      </c>
      <c r="B351" s="13" t="n">
        <v>-2312</v>
      </c>
    </row>
    <row r="352">
      <c r="A352" t="inlineStr">
        <is>
          <t>Job gross margin</t>
        </is>
      </c>
      <c r="B352" s="13">
        <f>B349+B350+B351</f>
        <v/>
      </c>
    </row>
    <row r="353">
      <c r="A353" s="15" t="inlineStr">
        <is>
          <t>Job gross margin %</t>
        </is>
      </c>
      <c r="B353" s="16">
        <f>B352/B349</f>
        <v/>
      </c>
    </row>
    <row r="354"/>
    <row r="355"/>
    <row r="356">
      <c r="A356" s="5" t="inlineStr">
        <is>
          <t>2.5-hour call-outs (6)</t>
        </is>
      </c>
    </row>
    <row r="357">
      <c r="A357" s="12" t="inlineStr">
        <is>
          <t>Call-outs of this length in December, added together</t>
        </is>
      </c>
    </row>
    <row r="358">
      <c r="A358" s="6" t="inlineStr"/>
      <c r="B358" s="7" t="inlineStr">
        <is>
          <t>Dec 2025</t>
        </is>
      </c>
    </row>
    <row r="359">
      <c r="A359" t="inlineStr">
        <is>
          <t>Call-outs</t>
        </is>
      </c>
      <c r="B359" s="13" t="n">
        <v>6</v>
      </c>
    </row>
    <row r="360">
      <c r="A360" t="inlineStr">
        <is>
          <t>Technician time charged ($145/hour)</t>
        </is>
      </c>
      <c r="B360" s="13" t="n">
        <v>2174</v>
      </c>
    </row>
    <row r="361">
      <c r="A361" t="inlineStr">
        <is>
          <t>Materials charged (cost × 1.3)</t>
        </is>
      </c>
      <c r="B361" s="13" t="n">
        <v>858</v>
      </c>
    </row>
    <row r="362">
      <c r="A362" t="inlineStr">
        <is>
          <t>Revenue</t>
        </is>
      </c>
      <c r="B362" s="13">
        <f>B360+B361</f>
        <v/>
      </c>
    </row>
    <row r="363">
      <c r="A363" t="inlineStr">
        <is>
          <t>Materials at cost</t>
        </is>
      </c>
      <c r="B363" s="13" t="n">
        <v>-660</v>
      </c>
    </row>
    <row r="364">
      <c r="A364" t="inlineStr">
        <is>
          <t>Technician time at cost</t>
        </is>
      </c>
      <c r="B364" s="13" t="n">
        <v>-1020</v>
      </c>
    </row>
    <row r="365">
      <c r="A365" t="inlineStr">
        <is>
          <t>Job gross margin</t>
        </is>
      </c>
      <c r="B365" s="13">
        <f>B362+B363+B364</f>
        <v/>
      </c>
    </row>
    <row r="366">
      <c r="A366" s="15" t="inlineStr">
        <is>
          <t>Job gross margin %</t>
        </is>
      </c>
      <c r="B366" s="16">
        <f>B365/B362</f>
        <v/>
      </c>
    </row>
    <row r="367"/>
    <row r="368"/>
    <row r="369">
      <c r="A369" s="5" t="inlineStr">
        <is>
          <t>3-hour call-outs (13)</t>
        </is>
      </c>
    </row>
    <row r="370">
      <c r="A370" s="12" t="inlineStr">
        <is>
          <t>Call-outs of this length in December, added together</t>
        </is>
      </c>
    </row>
    <row r="371">
      <c r="A371" s="6" t="inlineStr"/>
      <c r="B371" s="7" t="inlineStr">
        <is>
          <t>Dec 2025</t>
        </is>
      </c>
    </row>
    <row r="372">
      <c r="A372" t="inlineStr">
        <is>
          <t>Call-outs</t>
        </is>
      </c>
      <c r="B372" s="13" t="n">
        <v>13</v>
      </c>
    </row>
    <row r="373">
      <c r="A373" t="inlineStr">
        <is>
          <t>Technician time charged ($145/hour)</t>
        </is>
      </c>
      <c r="B373" s="13" t="n">
        <v>5655</v>
      </c>
    </row>
    <row r="374">
      <c r="A374" t="inlineStr">
        <is>
          <t>Materials charged (cost × 1.3)</t>
        </is>
      </c>
      <c r="B374" s="13" t="n">
        <v>2158</v>
      </c>
    </row>
    <row r="375">
      <c r="A375" t="inlineStr">
        <is>
          <t>Revenue</t>
        </is>
      </c>
      <c r="B375" s="13">
        <f>B373+B374</f>
        <v/>
      </c>
    </row>
    <row r="376">
      <c r="A376" t="inlineStr">
        <is>
          <t>Materials at cost</t>
        </is>
      </c>
      <c r="B376" s="13" t="n">
        <v>-1660</v>
      </c>
    </row>
    <row r="377">
      <c r="A377" t="inlineStr">
        <is>
          <t>Technician time at cost</t>
        </is>
      </c>
      <c r="B377" s="13" t="n">
        <v>-2652</v>
      </c>
    </row>
    <row r="378">
      <c r="A378" t="inlineStr">
        <is>
          <t>Job gross margin</t>
        </is>
      </c>
      <c r="B378" s="13">
        <f>B375+B376+B377</f>
        <v/>
      </c>
    </row>
    <row r="379">
      <c r="A379" s="15" t="inlineStr">
        <is>
          <t>Job gross margin %</t>
        </is>
      </c>
      <c r="B379" s="16">
        <f>B378/B375</f>
        <v/>
      </c>
    </row>
    <row r="380"/>
    <row r="381"/>
    <row r="382">
      <c r="A382" s="5" t="inlineStr">
        <is>
          <t>4-hour call-outs (9)</t>
        </is>
      </c>
    </row>
    <row r="383">
      <c r="A383" s="12" t="inlineStr">
        <is>
          <t>Call-outs of this length in December, added together</t>
        </is>
      </c>
    </row>
    <row r="384">
      <c r="A384" s="6" t="inlineStr"/>
      <c r="B384" s="7" t="inlineStr">
        <is>
          <t>Dec 2025</t>
        </is>
      </c>
    </row>
    <row r="385">
      <c r="A385" t="inlineStr">
        <is>
          <t>Call-outs</t>
        </is>
      </c>
      <c r="B385" s="13" t="n">
        <v>9</v>
      </c>
    </row>
    <row r="386">
      <c r="A386" t="inlineStr">
        <is>
          <t>Technician time charged ($145/hour)</t>
        </is>
      </c>
      <c r="B386" s="13" t="n">
        <v>5220</v>
      </c>
    </row>
    <row r="387">
      <c r="A387" t="inlineStr">
        <is>
          <t>Materials charged (cost × 1.3)</t>
        </is>
      </c>
      <c r="B387" s="13" t="n">
        <v>1612</v>
      </c>
    </row>
    <row r="388">
      <c r="A388" t="inlineStr">
        <is>
          <t>Revenue</t>
        </is>
      </c>
      <c r="B388" s="13">
        <f>B386+B387</f>
        <v/>
      </c>
    </row>
    <row r="389">
      <c r="A389" t="inlineStr">
        <is>
          <t>Materials at cost</t>
        </is>
      </c>
      <c r="B389" s="13" t="n">
        <v>-1240</v>
      </c>
    </row>
    <row r="390">
      <c r="A390" t="inlineStr">
        <is>
          <t>Technician time at cost</t>
        </is>
      </c>
      <c r="B390" s="13" t="n">
        <v>-2448</v>
      </c>
    </row>
    <row r="391">
      <c r="A391" t="inlineStr">
        <is>
          <t>Job gross margin</t>
        </is>
      </c>
      <c r="B391" s="13">
        <f>B388+B389+B390</f>
        <v/>
      </c>
    </row>
    <row r="392">
      <c r="A392" s="15" t="inlineStr">
        <is>
          <t>Job gross margin %</t>
        </is>
      </c>
      <c r="B392" s="16">
        <f>B391/B388</f>
        <v/>
      </c>
    </row>
    <row r="393"/>
    <row r="394"/>
    <row r="395"/>
  </sheetData>
  <printOptions horizontalCentered="1"/>
  <pageMargins left="0.5" right="0.5" top="0.75" bottom="0.75" header="0.5" footer="0.5"/>
  <pageSetup orientation="landscape" paperSize="9" fitToHeight="0" fitToWidth="1"/>
  <headerFooter>
    <oddHeader>&amp;L&amp;8 Sample Electrical &amp;&amp; Air Pty Ltd&amp;R&amp;8 &amp;A</oddHeader>
    <oddFooter>&amp;L&amp;8 job-margins.xlsx&amp;C&amp;8 Data retrieved 2pm, Tue 6 Oct 2026&amp;R&amp;8 Page &amp;P of &amp;N</oddFooter>
    <evenHeader/>
    <evenFooter/>
    <firstHeader/>
    <firstFooter/>
  </headerFooter>
  <rowBreaks count="15" manualBreakCount="15">
    <brk id="30" min="0" max="16383" man="1"/>
    <brk id="57" min="0" max="16383" man="1"/>
    <brk id="79" min="0" max="16383" man="1"/>
    <brk id="105" min="0" max="16383" man="1"/>
    <brk id="131" min="0" max="16383" man="1"/>
    <brk id="157" min="0" max="16383" man="1"/>
    <brk id="183" min="0" max="16383" man="1"/>
    <brk id="209" min="0" max="16383" man="1"/>
    <brk id="231" min="0" max="16383" man="1"/>
    <brk id="257" min="0" max="16383" man="1"/>
    <brk id="283" min="0" max="16383" man="1"/>
    <brk id="304" min="0" max="16383" man="1"/>
    <brk id="329" min="0" max="16383" man="1"/>
    <brk id="355" min="0" max="16383" man="1"/>
    <brk id="381" min="0" max="16383" man="1"/>
  </rowBreaks>
</worksheet>
</file>

<file path=xl/worksheets/sheet3.xml><?xml version="1.0" encoding="utf-8"?>
<worksheet xmlns="http://schemas.openxmlformats.org/spreadsheetml/2006/main">
  <sheetPr>
    <outlinePr summaryBelow="1" summaryRight="1"/>
    <pageSetUpPr fitToPage="1"/>
  </sheetPr>
  <dimension ref="A1:G6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t>
        </is>
      </c>
    </row>
    <row r="3">
      <c r="A3" s="2" t="inlineStr">
        <is>
          <t>Period: December 2025 · Data status: Nov 2025 locked · Dec 2025 locked · Oct 2026 incomplete (data retrieved 2pm, Tue 6 Oct 2026)</t>
        </is>
      </c>
    </row>
    <row r="4"/>
    <row r="5">
      <c r="A5" s="6" t="inlineStr">
        <is>
          <t>Line</t>
        </is>
      </c>
      <c r="B5" s="7" t="inlineStr">
        <is>
          <t>Month</t>
        </is>
      </c>
      <c r="C5" s="7" t="inlineStr">
        <is>
          <t>Status</t>
        </is>
      </c>
      <c r="D5" s="7" t="inlineStr">
        <is>
          <t>Revenue</t>
        </is>
      </c>
      <c r="E5" s="7" t="inlineStr">
        <is>
          <t>Direct cost</t>
        </is>
      </c>
      <c r="F5" s="7" t="inlineStr">
        <is>
          <t>Gross margin</t>
        </is>
      </c>
      <c r="G5" s="7" t="inlineStr">
        <is>
          <t>Gross margin %</t>
        </is>
      </c>
    </row>
    <row r="6">
      <c r="A6" s="18" t="inlineStr">
        <is>
          <t>All</t>
        </is>
      </c>
      <c r="B6" s="18" t="inlineStr">
        <is>
          <t>Oct 24</t>
        </is>
      </c>
      <c r="C6" s="18" t="inlineStr">
        <is>
          <t>Locked</t>
        </is>
      </c>
      <c r="D6" s="13" t="n">
        <v>171009</v>
      </c>
      <c r="E6" s="13" t="n">
        <v>114334</v>
      </c>
      <c r="F6" s="13">
        <f>D6-E6</f>
        <v/>
      </c>
      <c r="G6" s="14">
        <f>IF(D6=0,"",F6/D6)</f>
        <v/>
      </c>
    </row>
    <row r="7">
      <c r="A7" s="18" t="inlineStr">
        <is>
          <t>All</t>
        </is>
      </c>
      <c r="B7" s="18" t="inlineStr">
        <is>
          <t>Nov 24</t>
        </is>
      </c>
      <c r="C7" s="18" t="inlineStr">
        <is>
          <t>Locked</t>
        </is>
      </c>
      <c r="D7" s="13" t="n">
        <v>179474</v>
      </c>
      <c r="E7" s="13" t="n">
        <v>113016</v>
      </c>
      <c r="F7" s="13">
        <f>D7-E7</f>
        <v/>
      </c>
      <c r="G7" s="14">
        <f>IF(D7=0,"",F7/D7)</f>
        <v/>
      </c>
    </row>
    <row r="8">
      <c r="A8" s="18" t="inlineStr">
        <is>
          <t>All</t>
        </is>
      </c>
      <c r="B8" s="18" t="inlineStr">
        <is>
          <t>Dec 24</t>
        </is>
      </c>
      <c r="C8" s="18" t="inlineStr">
        <is>
          <t>Locked</t>
        </is>
      </c>
      <c r="D8" s="13" t="n">
        <v>143156</v>
      </c>
      <c r="E8" s="13" t="n">
        <v>85316</v>
      </c>
      <c r="F8" s="13">
        <f>D8-E8</f>
        <v/>
      </c>
      <c r="G8" s="14">
        <f>IF(D8=0,"",F8/D8)</f>
        <v/>
      </c>
    </row>
    <row r="9">
      <c r="A9" s="18" t="inlineStr">
        <is>
          <t>All</t>
        </is>
      </c>
      <c r="B9" s="18" t="inlineStr">
        <is>
          <t>Jan 25</t>
        </is>
      </c>
      <c r="C9" s="18" t="inlineStr">
        <is>
          <t>Locked</t>
        </is>
      </c>
      <c r="D9" s="13" t="n">
        <v>140909</v>
      </c>
      <c r="E9" s="13" t="n">
        <v>80742</v>
      </c>
      <c r="F9" s="13">
        <f>D9-E9</f>
        <v/>
      </c>
      <c r="G9" s="14">
        <f>IF(D9=0,"",F9/D9)</f>
        <v/>
      </c>
    </row>
    <row r="10">
      <c r="A10" s="18" t="inlineStr">
        <is>
          <t>All</t>
        </is>
      </c>
      <c r="B10" s="18" t="inlineStr">
        <is>
          <t>Feb 25</t>
        </is>
      </c>
      <c r="C10" s="18" t="inlineStr">
        <is>
          <t>Locked</t>
        </is>
      </c>
      <c r="D10" s="13" t="n">
        <v>160943</v>
      </c>
      <c r="E10" s="13" t="n">
        <v>102348</v>
      </c>
      <c r="F10" s="13">
        <f>D10-E10</f>
        <v/>
      </c>
      <c r="G10" s="14">
        <f>IF(D10=0,"",F10/D10)</f>
        <v/>
      </c>
    </row>
    <row r="11">
      <c r="A11" s="18" t="inlineStr">
        <is>
          <t>All</t>
        </is>
      </c>
      <c r="B11" s="18" t="inlineStr">
        <is>
          <t>Mar 25</t>
        </is>
      </c>
      <c r="C11" s="18" t="inlineStr">
        <is>
          <t>Locked</t>
        </is>
      </c>
      <c r="D11" s="13" t="n">
        <v>135082</v>
      </c>
      <c r="E11" s="13" t="n">
        <v>85752</v>
      </c>
      <c r="F11" s="13">
        <f>D11-E11</f>
        <v/>
      </c>
      <c r="G11" s="14">
        <f>IF(D11=0,"",F11/D11)</f>
        <v/>
      </c>
    </row>
    <row r="12">
      <c r="A12" s="18" t="inlineStr">
        <is>
          <t>All</t>
        </is>
      </c>
      <c r="B12" s="18" t="inlineStr">
        <is>
          <t>Apr 25</t>
        </is>
      </c>
      <c r="C12" s="18" t="inlineStr">
        <is>
          <t>Locked</t>
        </is>
      </c>
      <c r="D12" s="13" t="n">
        <v>124705</v>
      </c>
      <c r="E12" s="13" t="n">
        <v>76808</v>
      </c>
      <c r="F12" s="13">
        <f>D12-E12</f>
        <v/>
      </c>
      <c r="G12" s="14">
        <f>IF(D12=0,"",F12/D12)</f>
        <v/>
      </c>
    </row>
    <row r="13">
      <c r="A13" s="18" t="inlineStr">
        <is>
          <t>All</t>
        </is>
      </c>
      <c r="B13" s="18" t="inlineStr">
        <is>
          <t>May 25</t>
        </is>
      </c>
      <c r="C13" s="18" t="inlineStr">
        <is>
          <t>Locked</t>
        </is>
      </c>
      <c r="D13" s="13" t="n">
        <v>129816</v>
      </c>
      <c r="E13" s="13" t="n">
        <v>83700</v>
      </c>
      <c r="F13" s="13">
        <f>D13-E13</f>
        <v/>
      </c>
      <c r="G13" s="14">
        <f>IF(D13=0,"",F13/D13)</f>
        <v/>
      </c>
    </row>
    <row r="14">
      <c r="A14" s="18" t="inlineStr">
        <is>
          <t>All</t>
        </is>
      </c>
      <c r="B14" s="18" t="inlineStr">
        <is>
          <t>Jun 25</t>
        </is>
      </c>
      <c r="C14" s="18" t="inlineStr">
        <is>
          <t>Locked</t>
        </is>
      </c>
      <c r="D14" s="13" t="n">
        <v>164113</v>
      </c>
      <c r="E14" s="13" t="n">
        <v>97584</v>
      </c>
      <c r="F14" s="13">
        <f>D14-E14</f>
        <v/>
      </c>
      <c r="G14" s="14">
        <f>IF(D14=0,"",F14/D14)</f>
        <v/>
      </c>
    </row>
    <row r="15">
      <c r="A15" s="18" t="inlineStr">
        <is>
          <t>All</t>
        </is>
      </c>
      <c r="B15" s="18" t="inlineStr">
        <is>
          <t>Jul 25</t>
        </is>
      </c>
      <c r="C15" s="18" t="inlineStr">
        <is>
          <t>Locked</t>
        </is>
      </c>
      <c r="D15" s="13" t="n">
        <v>186760</v>
      </c>
      <c r="E15" s="13" t="n">
        <v>120326</v>
      </c>
      <c r="F15" s="13">
        <f>D15-E15</f>
        <v/>
      </c>
      <c r="G15" s="14">
        <f>IF(D15=0,"",F15/D15)</f>
        <v/>
      </c>
    </row>
    <row r="16">
      <c r="A16" s="18" t="inlineStr">
        <is>
          <t>All</t>
        </is>
      </c>
      <c r="B16" s="18" t="inlineStr">
        <is>
          <t>Aug 25</t>
        </is>
      </c>
      <c r="C16" s="18" t="inlineStr">
        <is>
          <t>Locked</t>
        </is>
      </c>
      <c r="D16" s="13" t="n">
        <v>139164</v>
      </c>
      <c r="E16" s="13" t="n">
        <v>78258</v>
      </c>
      <c r="F16" s="13">
        <f>D16-E16</f>
        <v/>
      </c>
      <c r="G16" s="14">
        <f>IF(D16=0,"",F16/D16)</f>
        <v/>
      </c>
    </row>
    <row r="17">
      <c r="A17" s="18" t="inlineStr">
        <is>
          <t>All</t>
        </is>
      </c>
      <c r="B17" s="18" t="inlineStr">
        <is>
          <t>Sep 25</t>
        </is>
      </c>
      <c r="C17" s="18" t="inlineStr">
        <is>
          <t>Locked</t>
        </is>
      </c>
      <c r="D17" s="13" t="n">
        <v>128255</v>
      </c>
      <c r="E17" s="13" t="n">
        <v>80054</v>
      </c>
      <c r="F17" s="13">
        <f>D17-E17</f>
        <v/>
      </c>
      <c r="G17" s="14">
        <f>IF(D17=0,"",F17/D17)</f>
        <v/>
      </c>
    </row>
    <row r="18">
      <c r="A18" s="18" t="inlineStr">
        <is>
          <t>All</t>
        </is>
      </c>
      <c r="B18" s="18" t="inlineStr">
        <is>
          <t>Oct 25</t>
        </is>
      </c>
      <c r="C18" s="18" t="inlineStr">
        <is>
          <t>Locked</t>
        </is>
      </c>
      <c r="D18" s="13" t="n">
        <v>128898</v>
      </c>
      <c r="E18" s="13" t="n">
        <v>79452</v>
      </c>
      <c r="F18" s="13">
        <f>D18-E18</f>
        <v/>
      </c>
      <c r="G18" s="14">
        <f>IF(D18=0,"",F18/D18)</f>
        <v/>
      </c>
    </row>
    <row r="19">
      <c r="A19" s="18" t="inlineStr">
        <is>
          <t>All</t>
        </is>
      </c>
      <c r="B19" s="18" t="inlineStr">
        <is>
          <t>Nov 25</t>
        </is>
      </c>
      <c r="C19" s="18" t="inlineStr">
        <is>
          <t>Locked</t>
        </is>
      </c>
      <c r="D19" s="13" t="n">
        <v>174786</v>
      </c>
      <c r="E19" s="13" t="n">
        <v>115942</v>
      </c>
      <c r="F19" s="13">
        <f>D19-E19</f>
        <v/>
      </c>
      <c r="G19" s="14">
        <f>IF(D19=0,"",F19/D19)</f>
        <v/>
      </c>
    </row>
    <row r="20">
      <c r="A20" s="18" t="inlineStr">
        <is>
          <t>All</t>
        </is>
      </c>
      <c r="B20" s="18" t="inlineStr">
        <is>
          <t>Dec 25</t>
        </is>
      </c>
      <c r="C20" s="18" t="inlineStr">
        <is>
          <t>Locked</t>
        </is>
      </c>
      <c r="D20" s="13" t="n">
        <v>135079</v>
      </c>
      <c r="E20" s="13" t="n">
        <v>84626</v>
      </c>
      <c r="F20" s="13">
        <f>D20-E20</f>
        <v/>
      </c>
      <c r="G20" s="14">
        <f>IF(D20=0,"",F20/D20)</f>
        <v/>
      </c>
    </row>
    <row r="21">
      <c r="A21" s="18" t="inlineStr">
        <is>
          <t>Maintenance contracts</t>
        </is>
      </c>
      <c r="B21" s="18" t="inlineStr">
        <is>
          <t>Oct 24</t>
        </is>
      </c>
      <c r="C21" s="18" t="inlineStr">
        <is>
          <t>Locked</t>
        </is>
      </c>
      <c r="D21" s="13" t="n">
        <v>24670</v>
      </c>
      <c r="E21" s="13" t="n">
        <v>10420</v>
      </c>
      <c r="F21" s="13">
        <f>D21-E21</f>
        <v/>
      </c>
      <c r="G21" s="14">
        <f>IF(D21=0,"",F21/D21)</f>
        <v/>
      </c>
    </row>
    <row r="22">
      <c r="A22" s="18" t="inlineStr">
        <is>
          <t>Maintenance contracts</t>
        </is>
      </c>
      <c r="B22" s="18" t="inlineStr">
        <is>
          <t>Nov 24</t>
        </is>
      </c>
      <c r="C22" s="18" t="inlineStr">
        <is>
          <t>Locked</t>
        </is>
      </c>
      <c r="D22" s="13" t="n">
        <v>24670</v>
      </c>
      <c r="E22" s="13" t="n">
        <v>10420</v>
      </c>
      <c r="F22" s="13">
        <f>D22-E22</f>
        <v/>
      </c>
      <c r="G22" s="14">
        <f>IF(D22=0,"",F22/D22)</f>
        <v/>
      </c>
    </row>
    <row r="23">
      <c r="A23" s="18" t="inlineStr">
        <is>
          <t>Maintenance contracts</t>
        </is>
      </c>
      <c r="B23" s="18" t="inlineStr">
        <is>
          <t>Dec 24</t>
        </is>
      </c>
      <c r="C23" s="18" t="inlineStr">
        <is>
          <t>Locked</t>
        </is>
      </c>
      <c r="D23" s="13" t="n">
        <v>24670</v>
      </c>
      <c r="E23" s="13" t="n">
        <v>10420</v>
      </c>
      <c r="F23" s="13">
        <f>D23-E23</f>
        <v/>
      </c>
      <c r="G23" s="14">
        <f>IF(D23=0,"",F23/D23)</f>
        <v/>
      </c>
    </row>
    <row r="24">
      <c r="A24" s="18" t="inlineStr">
        <is>
          <t>Maintenance contracts</t>
        </is>
      </c>
      <c r="B24" s="18" t="inlineStr">
        <is>
          <t>Jan 25</t>
        </is>
      </c>
      <c r="C24" s="18" t="inlineStr">
        <is>
          <t>Locked</t>
        </is>
      </c>
      <c r="D24" s="13" t="n">
        <v>24670</v>
      </c>
      <c r="E24" s="13" t="n">
        <v>10420</v>
      </c>
      <c r="F24" s="13">
        <f>D24-E24</f>
        <v/>
      </c>
      <c r="G24" s="14">
        <f>IF(D24=0,"",F24/D24)</f>
        <v/>
      </c>
    </row>
    <row r="25">
      <c r="A25" s="18" t="inlineStr">
        <is>
          <t>Maintenance contracts</t>
        </is>
      </c>
      <c r="B25" s="18" t="inlineStr">
        <is>
          <t>Feb 25</t>
        </is>
      </c>
      <c r="C25" s="18" t="inlineStr">
        <is>
          <t>Locked</t>
        </is>
      </c>
      <c r="D25" s="13" t="n">
        <v>27930</v>
      </c>
      <c r="E25" s="13" t="n">
        <v>11782</v>
      </c>
      <c r="F25" s="13">
        <f>D25-E25</f>
        <v/>
      </c>
      <c r="G25" s="14">
        <f>IF(D25=0,"",F25/D25)</f>
        <v/>
      </c>
    </row>
    <row r="26">
      <c r="A26" s="18" t="inlineStr">
        <is>
          <t>Maintenance contracts</t>
        </is>
      </c>
      <c r="B26" s="18" t="inlineStr">
        <is>
          <t>Mar 25</t>
        </is>
      </c>
      <c r="C26" s="18" t="inlineStr">
        <is>
          <t>Locked</t>
        </is>
      </c>
      <c r="D26" s="13" t="n">
        <v>27930</v>
      </c>
      <c r="E26" s="13" t="n">
        <v>11782</v>
      </c>
      <c r="F26" s="13">
        <f>D26-E26</f>
        <v/>
      </c>
      <c r="G26" s="14">
        <f>IF(D26=0,"",F26/D26)</f>
        <v/>
      </c>
    </row>
    <row r="27">
      <c r="A27" s="18" t="inlineStr">
        <is>
          <t>Maintenance contracts</t>
        </is>
      </c>
      <c r="B27" s="18" t="inlineStr">
        <is>
          <t>Apr 25</t>
        </is>
      </c>
      <c r="C27" s="18" t="inlineStr">
        <is>
          <t>Locked</t>
        </is>
      </c>
      <c r="D27" s="13" t="n">
        <v>27930</v>
      </c>
      <c r="E27" s="13" t="n">
        <v>11782</v>
      </c>
      <c r="F27" s="13">
        <f>D27-E27</f>
        <v/>
      </c>
      <c r="G27" s="14">
        <f>IF(D27=0,"",F27/D27)</f>
        <v/>
      </c>
    </row>
    <row r="28">
      <c r="A28" s="18" t="inlineStr">
        <is>
          <t>Maintenance contracts</t>
        </is>
      </c>
      <c r="B28" s="18" t="inlineStr">
        <is>
          <t>May 25</t>
        </is>
      </c>
      <c r="C28" s="18" t="inlineStr">
        <is>
          <t>Locked</t>
        </is>
      </c>
      <c r="D28" s="13" t="n">
        <v>27930</v>
      </c>
      <c r="E28" s="13" t="n">
        <v>11782</v>
      </c>
      <c r="F28" s="13">
        <f>D28-E28</f>
        <v/>
      </c>
      <c r="G28" s="14">
        <f>IF(D28=0,"",F28/D28)</f>
        <v/>
      </c>
    </row>
    <row r="29">
      <c r="A29" s="18" t="inlineStr">
        <is>
          <t>Maintenance contracts</t>
        </is>
      </c>
      <c r="B29" s="18" t="inlineStr">
        <is>
          <t>Jun 25</t>
        </is>
      </c>
      <c r="C29" s="18" t="inlineStr">
        <is>
          <t>Locked</t>
        </is>
      </c>
      <c r="D29" s="13" t="n">
        <v>31870</v>
      </c>
      <c r="E29" s="13" t="n">
        <v>13446</v>
      </c>
      <c r="F29" s="13">
        <f>D29-E29</f>
        <v/>
      </c>
      <c r="G29" s="14">
        <f>IF(D29=0,"",F29/D29)</f>
        <v/>
      </c>
    </row>
    <row r="30">
      <c r="A30" s="18" t="inlineStr">
        <is>
          <t>Maintenance contracts</t>
        </is>
      </c>
      <c r="B30" s="18" t="inlineStr">
        <is>
          <t>Jul 25</t>
        </is>
      </c>
      <c r="C30" s="18" t="inlineStr">
        <is>
          <t>Locked</t>
        </is>
      </c>
      <c r="D30" s="13" t="n">
        <v>33200</v>
      </c>
      <c r="E30" s="13" t="n">
        <v>13446</v>
      </c>
      <c r="F30" s="13">
        <f>D30-E30</f>
        <v/>
      </c>
      <c r="G30" s="14">
        <f>IF(D30=0,"",F30/D30)</f>
        <v/>
      </c>
    </row>
    <row r="31">
      <c r="A31" s="18" t="inlineStr">
        <is>
          <t>Maintenance contracts</t>
        </is>
      </c>
      <c r="B31" s="18" t="inlineStr">
        <is>
          <t>Aug 25</t>
        </is>
      </c>
      <c r="C31" s="18" t="inlineStr">
        <is>
          <t>Locked</t>
        </is>
      </c>
      <c r="D31" s="13" t="n">
        <v>33200</v>
      </c>
      <c r="E31" s="13" t="n">
        <v>13446</v>
      </c>
      <c r="F31" s="13">
        <f>D31-E31</f>
        <v/>
      </c>
      <c r="G31" s="14">
        <f>IF(D31=0,"",F31/D31)</f>
        <v/>
      </c>
    </row>
    <row r="32">
      <c r="A32" s="18" t="inlineStr">
        <is>
          <t>Maintenance contracts</t>
        </is>
      </c>
      <c r="B32" s="18" t="inlineStr">
        <is>
          <t>Sep 25</t>
        </is>
      </c>
      <c r="C32" s="18" t="inlineStr">
        <is>
          <t>Locked</t>
        </is>
      </c>
      <c r="D32" s="13" t="n">
        <v>33200</v>
      </c>
      <c r="E32" s="13" t="n">
        <v>13446</v>
      </c>
      <c r="F32" s="13">
        <f>D32-E32</f>
        <v/>
      </c>
      <c r="G32" s="14">
        <f>IF(D32=0,"",F32/D32)</f>
        <v/>
      </c>
    </row>
    <row r="33">
      <c r="A33" s="18" t="inlineStr">
        <is>
          <t>Maintenance contracts</t>
        </is>
      </c>
      <c r="B33" s="18" t="inlineStr">
        <is>
          <t>Oct 25</t>
        </is>
      </c>
      <c r="C33" s="18" t="inlineStr">
        <is>
          <t>Locked</t>
        </is>
      </c>
      <c r="D33" s="13" t="n">
        <v>35800</v>
      </c>
      <c r="E33" s="13" t="n">
        <v>14516</v>
      </c>
      <c r="F33" s="13">
        <f>D33-E33</f>
        <v/>
      </c>
      <c r="G33" s="14">
        <f>IF(D33=0,"",F33/D33)</f>
        <v/>
      </c>
    </row>
    <row r="34">
      <c r="A34" s="18" t="inlineStr">
        <is>
          <t>Maintenance contracts</t>
        </is>
      </c>
      <c r="B34" s="18" t="inlineStr">
        <is>
          <t>Nov 25</t>
        </is>
      </c>
      <c r="C34" s="18" t="inlineStr">
        <is>
          <t>Locked</t>
        </is>
      </c>
      <c r="D34" s="13" t="n">
        <v>35800</v>
      </c>
      <c r="E34" s="13" t="n">
        <v>14516</v>
      </c>
      <c r="F34" s="13">
        <f>D34-E34</f>
        <v/>
      </c>
      <c r="G34" s="14">
        <f>IF(D34=0,"",F34/D34)</f>
        <v/>
      </c>
    </row>
    <row r="35">
      <c r="A35" s="18" t="inlineStr">
        <is>
          <t>Maintenance contracts</t>
        </is>
      </c>
      <c r="B35" s="18" t="inlineStr">
        <is>
          <t>Dec 25</t>
        </is>
      </c>
      <c r="C35" s="18" t="inlineStr">
        <is>
          <t>Locked</t>
        </is>
      </c>
      <c r="D35" s="13" t="n">
        <v>35800</v>
      </c>
      <c r="E35" s="13" t="n">
        <v>14516</v>
      </c>
      <c r="F35" s="13">
        <f>D35-E35</f>
        <v/>
      </c>
      <c r="G35" s="14">
        <f>IF(D35=0,"",F35/D35)</f>
        <v/>
      </c>
    </row>
    <row r="36">
      <c r="A36" s="18" t="inlineStr">
        <is>
          <t>Installations</t>
        </is>
      </c>
      <c r="B36" s="18" t="inlineStr">
        <is>
          <t>Oct 24</t>
        </is>
      </c>
      <c r="C36" s="18" t="inlineStr">
        <is>
          <t>Locked</t>
        </is>
      </c>
      <c r="D36" s="13" t="n">
        <v>126300</v>
      </c>
      <c r="E36" s="13" t="n">
        <v>92430</v>
      </c>
      <c r="F36" s="13">
        <f>D36-E36</f>
        <v/>
      </c>
      <c r="G36" s="14">
        <f>IF(D36=0,"",F36/D36)</f>
        <v/>
      </c>
    </row>
    <row r="37">
      <c r="A37" s="18" t="inlineStr">
        <is>
          <t>Installations</t>
        </is>
      </c>
      <c r="B37" s="18" t="inlineStr">
        <is>
          <t>Nov 24</t>
        </is>
      </c>
      <c r="C37" s="18" t="inlineStr">
        <is>
          <t>Locked</t>
        </is>
      </c>
      <c r="D37" s="13" t="n">
        <v>131400</v>
      </c>
      <c r="E37" s="13" t="n">
        <v>89070</v>
      </c>
      <c r="F37" s="13">
        <f>D37-E37</f>
        <v/>
      </c>
      <c r="G37" s="14">
        <f>IF(D37=0,"",F37/D37)</f>
        <v/>
      </c>
    </row>
    <row r="38">
      <c r="A38" s="18" t="inlineStr">
        <is>
          <t>Installations</t>
        </is>
      </c>
      <c r="B38" s="18" t="inlineStr">
        <is>
          <t>Dec 24</t>
        </is>
      </c>
      <c r="C38" s="18" t="inlineStr">
        <is>
          <t>Locked</t>
        </is>
      </c>
      <c r="D38" s="13" t="n">
        <v>92600</v>
      </c>
      <c r="E38" s="13" t="n">
        <v>59908</v>
      </c>
      <c r="F38" s="13">
        <f>D38-E38</f>
        <v/>
      </c>
      <c r="G38" s="14">
        <f>IF(D38=0,"",F38/D38)</f>
        <v/>
      </c>
    </row>
    <row r="39">
      <c r="A39" s="18" t="inlineStr">
        <is>
          <t>Installations</t>
        </is>
      </c>
      <c r="B39" s="18" t="inlineStr">
        <is>
          <t>Jan 25</t>
        </is>
      </c>
      <c r="C39" s="18" t="inlineStr">
        <is>
          <t>Locked</t>
        </is>
      </c>
      <c r="D39" s="13" t="n">
        <v>89400</v>
      </c>
      <c r="E39" s="13" t="n">
        <v>54678</v>
      </c>
      <c r="F39" s="13">
        <f>D39-E39</f>
        <v/>
      </c>
      <c r="G39" s="14">
        <f>IF(D39=0,"",F39/D39)</f>
        <v/>
      </c>
    </row>
    <row r="40">
      <c r="A40" s="18" t="inlineStr">
        <is>
          <t>Installations</t>
        </is>
      </c>
      <c r="B40" s="18" t="inlineStr">
        <is>
          <t>Feb 25</t>
        </is>
      </c>
      <c r="C40" s="18" t="inlineStr">
        <is>
          <t>Locked</t>
        </is>
      </c>
      <c r="D40" s="13" t="n">
        <v>106000</v>
      </c>
      <c r="E40" s="13" t="n">
        <v>74966</v>
      </c>
      <c r="F40" s="13">
        <f>D40-E40</f>
        <v/>
      </c>
      <c r="G40" s="14">
        <f>IF(D40=0,"",F40/D40)</f>
        <v/>
      </c>
    </row>
    <row r="41">
      <c r="A41" s="18" t="inlineStr">
        <is>
          <t>Installations</t>
        </is>
      </c>
      <c r="B41" s="18" t="inlineStr">
        <is>
          <t>Mar 25</t>
        </is>
      </c>
      <c r="C41" s="18" t="inlineStr">
        <is>
          <t>Locked</t>
        </is>
      </c>
      <c r="D41" s="13" t="n">
        <v>86100</v>
      </c>
      <c r="E41" s="13" t="n">
        <v>61664</v>
      </c>
      <c r="F41" s="13">
        <f>D41-E41</f>
        <v/>
      </c>
      <c r="G41" s="14">
        <f>IF(D41=0,"",F41/D41)</f>
        <v/>
      </c>
    </row>
    <row r="42">
      <c r="A42" s="18" t="inlineStr">
        <is>
          <t>Installations</t>
        </is>
      </c>
      <c r="B42" s="18" t="inlineStr">
        <is>
          <t>Apr 25</t>
        </is>
      </c>
      <c r="C42" s="18" t="inlineStr">
        <is>
          <t>Locked</t>
        </is>
      </c>
      <c r="D42" s="13" t="n">
        <v>74900</v>
      </c>
      <c r="E42" s="13" t="n">
        <v>52264</v>
      </c>
      <c r="F42" s="13">
        <f>D42-E42</f>
        <v/>
      </c>
      <c r="G42" s="14">
        <f>IF(D42=0,"",F42/D42)</f>
        <v/>
      </c>
    </row>
    <row r="43">
      <c r="A43" s="18" t="inlineStr">
        <is>
          <t>Installations</t>
        </is>
      </c>
      <c r="B43" s="18" t="inlineStr">
        <is>
          <t>May 25</t>
        </is>
      </c>
      <c r="C43" s="18" t="inlineStr">
        <is>
          <t>Locked</t>
        </is>
      </c>
      <c r="D43" s="13" t="n">
        <v>80300</v>
      </c>
      <c r="E43" s="13" t="n">
        <v>59534</v>
      </c>
      <c r="F43" s="13">
        <f>D43-E43</f>
        <v/>
      </c>
      <c r="G43" s="14">
        <f>IF(D43=0,"",F43/D43)</f>
        <v/>
      </c>
    </row>
    <row r="44">
      <c r="A44" s="18" t="inlineStr">
        <is>
          <t>Installations</t>
        </is>
      </c>
      <c r="B44" s="18" t="inlineStr">
        <is>
          <t>Jun 25</t>
        </is>
      </c>
      <c r="C44" s="18" t="inlineStr">
        <is>
          <t>Locked</t>
        </is>
      </c>
      <c r="D44" s="13" t="n">
        <v>112700</v>
      </c>
      <c r="E44" s="13" t="n">
        <v>72976</v>
      </c>
      <c r="F44" s="13">
        <f>D44-E44</f>
        <v/>
      </c>
      <c r="G44" s="14">
        <f>IF(D44=0,"",F44/D44)</f>
        <v/>
      </c>
    </row>
    <row r="45">
      <c r="A45" s="18" t="inlineStr">
        <is>
          <t>Installations</t>
        </is>
      </c>
      <c r="B45" s="18" t="inlineStr">
        <is>
          <t>Jul 25</t>
        </is>
      </c>
      <c r="C45" s="18" t="inlineStr">
        <is>
          <t>Locked</t>
        </is>
      </c>
      <c r="D45" s="13" t="n">
        <v>135800</v>
      </c>
      <c r="E45" s="13" t="n">
        <v>96920</v>
      </c>
      <c r="F45" s="13">
        <f>D45-E45</f>
        <v/>
      </c>
      <c r="G45" s="14">
        <f>IF(D45=0,"",F45/D45)</f>
        <v/>
      </c>
    </row>
    <row r="46">
      <c r="A46" s="18" t="inlineStr">
        <is>
          <t>Installations</t>
        </is>
      </c>
      <c r="B46" s="18" t="inlineStr">
        <is>
          <t>Aug 25</t>
        </is>
      </c>
      <c r="C46" s="18" t="inlineStr">
        <is>
          <t>Locked</t>
        </is>
      </c>
      <c r="D46" s="13" t="n">
        <v>86200</v>
      </c>
      <c r="E46" s="13" t="n">
        <v>53590</v>
      </c>
      <c r="F46" s="13">
        <f>D46-E46</f>
        <v/>
      </c>
      <c r="G46" s="14">
        <f>IF(D46=0,"",F46/D46)</f>
        <v/>
      </c>
    </row>
    <row r="47">
      <c r="A47" s="18" t="inlineStr">
        <is>
          <t>Installations</t>
        </is>
      </c>
      <c r="B47" s="18" t="inlineStr">
        <is>
          <t>Sep 25</t>
        </is>
      </c>
      <c r="C47" s="18" t="inlineStr">
        <is>
          <t>Locked</t>
        </is>
      </c>
      <c r="D47" s="13" t="n">
        <v>75100</v>
      </c>
      <c r="E47" s="13" t="n">
        <v>55440</v>
      </c>
      <c r="F47" s="13">
        <f>D47-E47</f>
        <v/>
      </c>
      <c r="G47" s="14">
        <f>IF(D47=0,"",F47/D47)</f>
        <v/>
      </c>
    </row>
    <row r="48">
      <c r="A48" s="18" t="inlineStr">
        <is>
          <t>Installations</t>
        </is>
      </c>
      <c r="B48" s="18" t="inlineStr">
        <is>
          <t>Oct 25</t>
        </is>
      </c>
      <c r="C48" s="18" t="inlineStr">
        <is>
          <t>Locked</t>
        </is>
      </c>
      <c r="D48" s="13" t="n">
        <v>70800</v>
      </c>
      <c r="E48" s="13" t="n">
        <v>52288</v>
      </c>
      <c r="F48" s="13">
        <f>D48-E48</f>
        <v/>
      </c>
      <c r="G48" s="14">
        <f>IF(D48=0,"",F48/D48)</f>
        <v/>
      </c>
    </row>
    <row r="49">
      <c r="A49" s="18" t="inlineStr">
        <is>
          <t>Installations</t>
        </is>
      </c>
      <c r="B49" s="18" t="inlineStr">
        <is>
          <t>Nov 25</t>
        </is>
      </c>
      <c r="C49" s="18" t="inlineStr">
        <is>
          <t>Locked</t>
        </is>
      </c>
      <c r="D49" s="13" t="n">
        <v>113300</v>
      </c>
      <c r="E49" s="13" t="n">
        <v>87174</v>
      </c>
      <c r="F49" s="13">
        <f>D49-E49</f>
        <v/>
      </c>
      <c r="G49" s="14">
        <f>IF(D49=0,"",F49/D49)</f>
        <v/>
      </c>
    </row>
    <row r="50">
      <c r="A50" s="18" t="inlineStr">
        <is>
          <t>Installations</t>
        </is>
      </c>
      <c r="B50" s="18" t="inlineStr">
        <is>
          <t>Dec 25</t>
        </is>
      </c>
      <c r="C50" s="18" t="inlineStr">
        <is>
          <t>Locked</t>
        </is>
      </c>
      <c r="D50" s="13" t="n">
        <v>69700</v>
      </c>
      <c r="E50" s="13" t="n">
        <v>53408</v>
      </c>
      <c r="F50" s="13">
        <f>D50-E50</f>
        <v/>
      </c>
      <c r="G50" s="14">
        <f>IF(D50=0,"",F50/D50)</f>
        <v/>
      </c>
    </row>
    <row r="51">
      <c r="A51" s="18" t="inlineStr">
        <is>
          <t>Call-outs and repairs</t>
        </is>
      </c>
      <c r="B51" s="18" t="inlineStr">
        <is>
          <t>Oct 24</t>
        </is>
      </c>
      <c r="C51" s="18" t="inlineStr">
        <is>
          <t>Locked</t>
        </is>
      </c>
      <c r="D51" s="13" t="n">
        <v>20039</v>
      </c>
      <c r="E51" s="13" t="n">
        <v>11484</v>
      </c>
      <c r="F51" s="13">
        <f>D51-E51</f>
        <v/>
      </c>
      <c r="G51" s="14">
        <f>IF(D51=0,"",F51/D51)</f>
        <v/>
      </c>
    </row>
    <row r="52">
      <c r="A52" s="18" t="inlineStr">
        <is>
          <t>Call-outs and repairs</t>
        </is>
      </c>
      <c r="B52" s="18" t="inlineStr">
        <is>
          <t>Nov 24</t>
        </is>
      </c>
      <c r="C52" s="18" t="inlineStr">
        <is>
          <t>Locked</t>
        </is>
      </c>
      <c r="D52" s="13" t="n">
        <v>23404</v>
      </c>
      <c r="E52" s="13" t="n">
        <v>13526</v>
      </c>
      <c r="F52" s="13">
        <f>D52-E52</f>
        <v/>
      </c>
      <c r="G52" s="14">
        <f>IF(D52=0,"",F52/D52)</f>
        <v/>
      </c>
    </row>
    <row r="53">
      <c r="A53" s="18" t="inlineStr">
        <is>
          <t>Call-outs and repairs</t>
        </is>
      </c>
      <c r="B53" s="18" t="inlineStr">
        <is>
          <t>Dec 24</t>
        </is>
      </c>
      <c r="C53" s="18" t="inlineStr">
        <is>
          <t>Locked</t>
        </is>
      </c>
      <c r="D53" s="13" t="n">
        <v>25886</v>
      </c>
      <c r="E53" s="13" t="n">
        <v>14988</v>
      </c>
      <c r="F53" s="13">
        <f>D53-E53</f>
        <v/>
      </c>
      <c r="G53" s="14">
        <f>IF(D53=0,"",F53/D53)</f>
        <v/>
      </c>
    </row>
    <row r="54">
      <c r="A54" s="18" t="inlineStr">
        <is>
          <t>Call-outs and repairs</t>
        </is>
      </c>
      <c r="B54" s="18" t="inlineStr">
        <is>
          <t>Jan 25</t>
        </is>
      </c>
      <c r="C54" s="18" t="inlineStr">
        <is>
          <t>Locked</t>
        </is>
      </c>
      <c r="D54" s="13" t="n">
        <v>26839</v>
      </c>
      <c r="E54" s="13" t="n">
        <v>15644</v>
      </c>
      <c r="F54" s="13">
        <f>D54-E54</f>
        <v/>
      </c>
      <c r="G54" s="14">
        <f>IF(D54=0,"",F54/D54)</f>
        <v/>
      </c>
    </row>
    <row r="55">
      <c r="A55" s="18" t="inlineStr">
        <is>
          <t>Call-outs and repairs</t>
        </is>
      </c>
      <c r="B55" s="18" t="inlineStr">
        <is>
          <t>Feb 25</t>
        </is>
      </c>
      <c r="C55" s="18" t="inlineStr">
        <is>
          <t>Locked</t>
        </is>
      </c>
      <c r="D55" s="13" t="n">
        <v>27013</v>
      </c>
      <c r="E55" s="13" t="n">
        <v>15600</v>
      </c>
      <c r="F55" s="13">
        <f>D55-E55</f>
        <v/>
      </c>
      <c r="G55" s="14">
        <f>IF(D55=0,"",F55/D55)</f>
        <v/>
      </c>
    </row>
    <row r="56">
      <c r="A56" s="18" t="inlineStr">
        <is>
          <t>Call-outs and repairs</t>
        </is>
      </c>
      <c r="B56" s="18" t="inlineStr">
        <is>
          <t>Mar 25</t>
        </is>
      </c>
      <c r="C56" s="18" t="inlineStr">
        <is>
          <t>Locked</t>
        </is>
      </c>
      <c r="D56" s="13" t="n">
        <v>21052</v>
      </c>
      <c r="E56" s="13" t="n">
        <v>12306</v>
      </c>
      <c r="F56" s="13">
        <f>D56-E56</f>
        <v/>
      </c>
      <c r="G56" s="14">
        <f>IF(D56=0,"",F56/D56)</f>
        <v/>
      </c>
    </row>
    <row r="57">
      <c r="A57" s="18" t="inlineStr">
        <is>
          <t>Call-outs and repairs</t>
        </is>
      </c>
      <c r="B57" s="18" t="inlineStr">
        <is>
          <t>Apr 25</t>
        </is>
      </c>
      <c r="C57" s="18" t="inlineStr">
        <is>
          <t>Locked</t>
        </is>
      </c>
      <c r="D57" s="13" t="n">
        <v>21875</v>
      </c>
      <c r="E57" s="13" t="n">
        <v>12762</v>
      </c>
      <c r="F57" s="13">
        <f>D57-E57</f>
        <v/>
      </c>
      <c r="G57" s="14">
        <f>IF(D57=0,"",F57/D57)</f>
        <v/>
      </c>
    </row>
    <row r="58">
      <c r="A58" s="18" t="inlineStr">
        <is>
          <t>Call-outs and repairs</t>
        </is>
      </c>
      <c r="B58" s="18" t="inlineStr">
        <is>
          <t>May 25</t>
        </is>
      </c>
      <c r="C58" s="18" t="inlineStr">
        <is>
          <t>Locked</t>
        </is>
      </c>
      <c r="D58" s="13" t="n">
        <v>21586</v>
      </c>
      <c r="E58" s="13" t="n">
        <v>12384</v>
      </c>
      <c r="F58" s="13">
        <f>D58-E58</f>
        <v/>
      </c>
      <c r="G58" s="14">
        <f>IF(D58=0,"",F58/D58)</f>
        <v/>
      </c>
    </row>
    <row r="59">
      <c r="A59" s="18" t="inlineStr">
        <is>
          <t>Call-outs and repairs</t>
        </is>
      </c>
      <c r="B59" s="18" t="inlineStr">
        <is>
          <t>Jun 25</t>
        </is>
      </c>
      <c r="C59" s="18" t="inlineStr">
        <is>
          <t>Locked</t>
        </is>
      </c>
      <c r="D59" s="13" t="n">
        <v>19543</v>
      </c>
      <c r="E59" s="13" t="n">
        <v>11162</v>
      </c>
      <c r="F59" s="13">
        <f>D59-E59</f>
        <v/>
      </c>
      <c r="G59" s="14">
        <f>IF(D59=0,"",F59/D59)</f>
        <v/>
      </c>
    </row>
    <row r="60">
      <c r="A60" s="18" t="inlineStr">
        <is>
          <t>Call-outs and repairs</t>
        </is>
      </c>
      <c r="B60" s="18" t="inlineStr">
        <is>
          <t>Jul 25</t>
        </is>
      </c>
      <c r="C60" s="18" t="inlineStr">
        <is>
          <t>Locked</t>
        </is>
      </c>
      <c r="D60" s="13" t="n">
        <v>17760</v>
      </c>
      <c r="E60" s="13" t="n">
        <v>9960</v>
      </c>
      <c r="F60" s="13">
        <f>D60-E60</f>
        <v/>
      </c>
      <c r="G60" s="14">
        <f>IF(D60=0,"",F60/D60)</f>
        <v/>
      </c>
    </row>
    <row r="61">
      <c r="A61" s="18" t="inlineStr">
        <is>
          <t>Call-outs and repairs</t>
        </is>
      </c>
      <c r="B61" s="18" t="inlineStr">
        <is>
          <t>Aug 25</t>
        </is>
      </c>
      <c r="C61" s="18" t="inlineStr">
        <is>
          <t>Locked</t>
        </is>
      </c>
      <c r="D61" s="13" t="n">
        <v>19764</v>
      </c>
      <c r="E61" s="13" t="n">
        <v>11222</v>
      </c>
      <c r="F61" s="13">
        <f>D61-E61</f>
        <v/>
      </c>
      <c r="G61" s="14">
        <f>IF(D61=0,"",F61/D61)</f>
        <v/>
      </c>
    </row>
    <row r="62">
      <c r="A62" s="18" t="inlineStr">
        <is>
          <t>Call-outs and repairs</t>
        </is>
      </c>
      <c r="B62" s="18" t="inlineStr">
        <is>
          <t>Sep 25</t>
        </is>
      </c>
      <c r="C62" s="18" t="inlineStr">
        <is>
          <t>Locked</t>
        </is>
      </c>
      <c r="D62" s="13" t="n">
        <v>19955</v>
      </c>
      <c r="E62" s="13" t="n">
        <v>11168</v>
      </c>
      <c r="F62" s="13">
        <f>D62-E62</f>
        <v/>
      </c>
      <c r="G62" s="14">
        <f>IF(D62=0,"",F62/D62)</f>
        <v/>
      </c>
    </row>
    <row r="63">
      <c r="A63" s="18" t="inlineStr">
        <is>
          <t>Call-outs and repairs</t>
        </is>
      </c>
      <c r="B63" s="18" t="inlineStr">
        <is>
          <t>Oct 25</t>
        </is>
      </c>
      <c r="C63" s="18" t="inlineStr">
        <is>
          <t>Locked</t>
        </is>
      </c>
      <c r="D63" s="13" t="n">
        <v>22298</v>
      </c>
      <c r="E63" s="13" t="n">
        <v>12648</v>
      </c>
      <c r="F63" s="13">
        <f>D63-E63</f>
        <v/>
      </c>
      <c r="G63" s="14">
        <f>IF(D63=0,"",F63/D63)</f>
        <v/>
      </c>
    </row>
    <row r="64">
      <c r="A64" s="18" t="inlineStr">
        <is>
          <t>Call-outs and repairs</t>
        </is>
      </c>
      <c r="B64" s="18" t="inlineStr">
        <is>
          <t>Nov 25</t>
        </is>
      </c>
      <c r="C64" s="18" t="inlineStr">
        <is>
          <t>Locked</t>
        </is>
      </c>
      <c r="D64" s="13" t="n">
        <v>25686</v>
      </c>
      <c r="E64" s="13" t="n">
        <v>14252</v>
      </c>
      <c r="F64" s="13">
        <f>D64-E64</f>
        <v/>
      </c>
      <c r="G64" s="14">
        <f>IF(D64=0,"",F64/D64)</f>
        <v/>
      </c>
    </row>
    <row r="65">
      <c r="A65" s="18" t="inlineStr">
        <is>
          <t>Call-outs and repairs</t>
        </is>
      </c>
      <c r="B65" s="18" t="inlineStr">
        <is>
          <t>Dec 25</t>
        </is>
      </c>
      <c r="C65" s="18" t="inlineStr">
        <is>
          <t>Locked</t>
        </is>
      </c>
      <c r="D65" s="13" t="n">
        <v>29579</v>
      </c>
      <c r="E65" s="13" t="n">
        <v>16702</v>
      </c>
      <c r="F65" s="13">
        <f>D65-E65</f>
        <v/>
      </c>
      <c r="G65" s="14">
        <f>IF(D65=0,"",F65/D65)</f>
        <v/>
      </c>
    </row>
  </sheetData>
  <printOptions horizontalCentered="1"/>
  <pageMargins left="0.5" right="0.5" top="0.75" bottom="0.75" header="0.5" footer="0.5"/>
  <pageSetup orientation="landscape" paperSize="9" fitToHeight="0" fitToWidth="1"/>
  <headerFooter>
    <oddHeader>&amp;L&amp;8 Sample Electrical &amp;&amp; Air Pty Ltd&amp;R&amp;8 &amp;A</oddHeader>
    <oddFooter>&amp;L&amp;8 job-margins.xlsx&amp;C&amp;8 Data retrieved 2pm, Tue 6 Oct 2026&amp;R&amp;8 Page &amp;P of &amp;N</oddFooter>
    <evenHeader/>
    <evenFooter/>
    <firstHeader/>
    <firstFooter/>
  </headerFooter>
  <rowBreaks count="2" manualBreakCount="2">
    <brk id="20" min="0" max="16383" man="1"/>
    <brk id="50"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2026-10-06T07:38:20Z</dcterms:created>
  <dcterms:modified xmlns:dcterms="http://purl.org/dc/terms/" xmlns:xsi="http://www.w3.org/2001/XMLSchema-instance" xsi:type="dcterms:W3CDTF">2026-10-06T07:38:20Z</dcterms:modified>
</cp:coreProperties>
</file>