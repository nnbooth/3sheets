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December">'Report'!$B$8</definedName>
    <definedName name="Volunteers_who_did_a_shift_December">'Report'!$B$9</definedName>
    <definedName name="Hours_per_volunteer_December">'Report'!$B$10</definedName>
    <definedName name="December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'Data'!$A$1:$E$20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December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0" headerRowCount="1">
  <autoFilter ref="A5:E20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6:29pm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December</t>
        </is>
      </c>
      <c r="B8" s="6">
        <f>Workings!B10</f>
        <v/>
      </c>
      <c r="C8" s="7" t="inlineStr">
        <is>
          <t>November 626.5 h</t>
        </is>
      </c>
    </row>
    <row r="9">
      <c r="A9" t="inlineStr">
        <is>
          <t>Volunteers who did a shift, December</t>
        </is>
      </c>
      <c r="B9" s="6">
        <f>Workings!B18</f>
        <v/>
      </c>
      <c r="C9" s="7" t="inlineStr">
        <is>
          <t>November 43</t>
        </is>
      </c>
    </row>
    <row r="10">
      <c r="A10" t="inlineStr">
        <is>
          <t>Hours per volunteer, December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December last year</t>
        </is>
      </c>
      <c r="B11" s="6">
        <f>Workings!B34</f>
        <v/>
      </c>
      <c r="C11" s="7" t="inlineStr">
        <is>
          <t>28 volunteers</t>
        </is>
      </c>
    </row>
    <row r="12"/>
    <row r="13">
      <c r="A13" s="8" t="inlineStr">
        <is>
          <t>Volunteer hours by program, December 2025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Youth outreach</t>
        </is>
      </c>
      <c r="B15" s="6">
        <f>Workings!B41</f>
        <v/>
      </c>
    </row>
    <row r="16">
      <c r="A16" t="inlineStr">
        <is>
          <t>Digital literacy</t>
        </is>
      </c>
      <c r="B16" s="6">
        <f>Workings!B49</f>
        <v/>
      </c>
    </row>
    <row r="17">
      <c r="A17" t="inlineStr">
        <is>
          <t>Housing support</t>
        </is>
      </c>
      <c r="B17" s="6">
        <f>Workings!B57</f>
        <v/>
      </c>
    </row>
    <row r="18">
      <c r="A18" t="inlineStr">
        <is>
          <t>Community meals</t>
        </is>
      </c>
      <c r="B18" s="6">
        <f>Workings!B65</f>
        <v/>
      </c>
    </row>
    <row r="19">
      <c r="A19" t="inlineStr">
        <is>
          <t>Volunteer coordinator</t>
        </is>
      </c>
      <c r="B19" s="6">
        <f>Workings!B73</f>
        <v/>
      </c>
    </row>
    <row r="20">
      <c r="A20" t="inlineStr">
        <is>
          <t>Mental health first aid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46 volunteers gave 683.0 h in December, against 626.5 h in November. Youth outreach drew the most (152.5 h, 22.3%).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Mental health first aid had the fewest volunteer hours (81.5 h). Hours are up 87.9% on December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6:29pm</t>
        </is>
      </c>
    </row>
    <row r="4"/>
    <row r="5">
      <c r="A5" s="11" t="inlineStr">
        <is>
          <t>Volunteer hours, December and November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Dec 25</t>
        </is>
      </c>
      <c r="C7" s="5" t="inlineStr">
        <is>
          <t>Nov 25</t>
        </is>
      </c>
    </row>
    <row r="8">
      <c r="A8" t="inlineStr">
        <is>
          <t>Volunteer hours</t>
        </is>
      </c>
      <c r="B8" s="12" t="n">
        <v>683</v>
      </c>
      <c r="C8" s="12" t="n">
        <v>626.5</v>
      </c>
    </row>
    <row r="9">
      <c r="A9" t="inlineStr">
        <is>
          <t>Volunteers who did a shift</t>
        </is>
      </c>
      <c r="B9" s="13" t="n">
        <v>46</v>
      </c>
      <c r="C9" s="13" t="n">
        <v>43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December and November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Dec 25</t>
        </is>
      </c>
      <c r="C15" s="5" t="inlineStr">
        <is>
          <t>Nov 25</t>
        </is>
      </c>
    </row>
    <row r="16">
      <c r="A16" t="inlineStr">
        <is>
          <t>Volunteer hours</t>
        </is>
      </c>
      <c r="B16" s="12" t="n">
        <v>683</v>
      </c>
      <c r="C16" s="12" t="n">
        <v>626.5</v>
      </c>
    </row>
    <row r="17">
      <c r="A17" t="inlineStr">
        <is>
          <t>Volunteers who did a shift</t>
        </is>
      </c>
      <c r="B17" s="13" t="n">
        <v>46</v>
      </c>
      <c r="C17" s="13" t="n">
        <v>43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December and November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Dec 25</t>
        </is>
      </c>
      <c r="C23" s="5" t="inlineStr">
        <is>
          <t>Nov 25</t>
        </is>
      </c>
    </row>
    <row r="24">
      <c r="A24" t="inlineStr">
        <is>
          <t>Volunteer hours</t>
        </is>
      </c>
      <c r="B24" s="12" t="n">
        <v>683</v>
      </c>
      <c r="C24" s="12" t="n">
        <v>626.5</v>
      </c>
    </row>
    <row r="25">
      <c r="A25" t="inlineStr">
        <is>
          <t>Volunteers who did a shift</t>
        </is>
      </c>
      <c r="B25" s="13" t="n">
        <v>46</v>
      </c>
      <c r="C25" s="13" t="n">
        <v>43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Dec 24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Dec 24</t>
        </is>
      </c>
    </row>
    <row r="32">
      <c r="A32" t="inlineStr">
        <is>
          <t>Volunteer hours</t>
        </is>
      </c>
      <c r="B32" s="12" t="n">
        <v>363.5</v>
      </c>
    </row>
    <row r="33">
      <c r="A33" t="inlineStr">
        <is>
          <t>Volunteers who did a shift</t>
        </is>
      </c>
      <c r="B33" s="13" t="n">
        <v>28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Youth outreach: volunteer hours, December 2025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Dec 2025</t>
        </is>
      </c>
    </row>
    <row r="40">
      <c r="A40" t="inlineStr">
        <is>
          <t>Volunteer hours</t>
        </is>
      </c>
      <c r="B40" s="12" t="n">
        <v>152.5</v>
      </c>
    </row>
    <row r="41">
      <c r="A41" t="inlineStr">
        <is>
          <t>All volunteer hours</t>
        </is>
      </c>
      <c r="B41" s="12" t="n">
        <v>683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Digital literacy: volunteer hours, December 2025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Dec 2025</t>
        </is>
      </c>
    </row>
    <row r="48">
      <c r="A48" t="inlineStr">
        <is>
          <t>Volunteer hours</t>
        </is>
      </c>
      <c r="B48" s="12" t="n">
        <v>131.5</v>
      </c>
    </row>
    <row r="49">
      <c r="A49" t="inlineStr">
        <is>
          <t>All volunteer hours</t>
        </is>
      </c>
      <c r="B49" s="12" t="n">
        <v>683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Housing support: volunteer hours, December 2025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Dec 2025</t>
        </is>
      </c>
    </row>
    <row r="56">
      <c r="A56" t="inlineStr">
        <is>
          <t>Volunteer hours</t>
        </is>
      </c>
      <c r="B56" s="12" t="n">
        <v>127</v>
      </c>
    </row>
    <row r="57">
      <c r="A57" t="inlineStr">
        <is>
          <t>All volunteer hours</t>
        </is>
      </c>
      <c r="B57" s="12" t="n">
        <v>683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Community meals: volunteer hours, December 2025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Dec 2025</t>
        </is>
      </c>
    </row>
    <row r="64">
      <c r="A64" t="inlineStr">
        <is>
          <t>Volunteer hours</t>
        </is>
      </c>
      <c r="B64" s="12" t="n">
        <v>106</v>
      </c>
    </row>
    <row r="65">
      <c r="A65" t="inlineStr">
        <is>
          <t>All volunteer hours</t>
        </is>
      </c>
      <c r="B65" s="12" t="n">
        <v>683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Volunteer coordinator: volunteer hours, December 2025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Dec 2025</t>
        </is>
      </c>
    </row>
    <row r="72">
      <c r="A72" t="inlineStr">
        <is>
          <t>Volunteer hours</t>
        </is>
      </c>
      <c r="B72" s="12" t="n">
        <v>84.5</v>
      </c>
    </row>
    <row r="73">
      <c r="A73" t="inlineStr">
        <is>
          <t>All volunteer hours</t>
        </is>
      </c>
      <c r="B73" s="12" t="n">
        <v>683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Mental health first aid: volunteer hours, December 2025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Dec 2025</t>
        </is>
      </c>
    </row>
    <row r="80">
      <c r="A80" t="inlineStr">
        <is>
          <t>Volunteer hours</t>
        </is>
      </c>
      <c r="B80" s="12" t="n">
        <v>81.5</v>
      </c>
    </row>
    <row r="81">
      <c r="A81" t="inlineStr">
        <is>
          <t>All volunteer hours</t>
        </is>
      </c>
      <c r="B81" s="12" t="n">
        <v>683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317.5</v>
      </c>
      <c r="D6" s="13" t="n">
        <v>23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392</v>
      </c>
      <c r="D7" s="13" t="n">
        <v>28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363.5</v>
      </c>
      <c r="D8" s="13" t="n">
        <v>28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399</v>
      </c>
      <c r="D9" s="13" t="n">
        <v>28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422</v>
      </c>
      <c r="D10" s="13" t="n">
        <v>31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451.5</v>
      </c>
      <c r="D11" s="13" t="n">
        <v>33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445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513</v>
      </c>
      <c r="D13" s="13" t="n">
        <v>35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529</v>
      </c>
      <c r="D14" s="13" t="n">
        <v>36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586</v>
      </c>
      <c r="D15" s="13" t="n">
        <v>38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560.5</v>
      </c>
      <c r="D16" s="13" t="n">
        <v>41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625.5</v>
      </c>
      <c r="D17" s="13" t="n">
        <v>43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669.5</v>
      </c>
      <c r="D18" s="13" t="n">
        <v>44</v>
      </c>
      <c r="E18" s="12">
        <f>IF(D18=0,"",C18/D18)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2" t="n">
        <v>626.5</v>
      </c>
      <c r="D19" s="13" t="n">
        <v>43</v>
      </c>
      <c r="E19" s="12">
        <f>IF(D19=0,"",C19/D19)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2" t="n">
        <v>683</v>
      </c>
      <c r="D20" s="13" t="n">
        <v>46</v>
      </c>
      <c r="E20" s="12">
        <f>IF(D20=0,"",C20/D20)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2026-10-08T08:30:58Z</dcterms:created>
  <dcterms:modified xmlns:dcterms="http://purl.org/dc/terms/" xmlns:xsi="http://www.w3.org/2001/XMLSchema-instance" xsi:type="dcterms:W3CDTF">2026-10-08T08:30:58Z</dcterms:modified>
</cp:coreProperties>
</file>