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December">'Report'!$B$9</definedName>
    <definedName name="Answered_while_staffed_December">'Report'!$B$10</definedName>
    <definedName name="Calls_outside_staffed_hours_December">'Report'!$B$11</definedName>
    <definedName name="Median_wait_when_answered_December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0" headerRowCount="1">
  <autoFilter ref="A5:F20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 ht="32" customHeight="1">
      <c r="A5" s="3" t="inlineStr">
        <is>
          <t>In short: 776 calls in December: 79.0% answered while staffed (target 90.0%); 54.0%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December</t>
        </is>
      </c>
      <c r="B9" s="7">
        <f>Workings!B8</f>
        <v/>
      </c>
      <c r="C9" s="8" t="inlineStr">
        <is>
          <t>November 746</t>
        </is>
      </c>
    </row>
    <row r="10">
      <c r="A10" t="inlineStr">
        <is>
          <t>Answered while staffed, December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December</t>
        </is>
      </c>
      <c r="B11" s="9">
        <f>Workings!B32</f>
        <v/>
      </c>
      <c r="C11" s="8" t="inlineStr">
        <is>
          <t>419 calls to voicemail</t>
        </is>
      </c>
    </row>
    <row r="12">
      <c r="A12" t="inlineStr">
        <is>
          <t>Median wait when answered, December</t>
        </is>
      </c>
      <c r="B12" s="7">
        <f>Workings!B39</f>
        <v/>
      </c>
      <c r="C12" s="8" t="inlineStr">
        <is>
          <t>282 answered calls</t>
        </is>
      </c>
    </row>
    <row r="13"/>
    <row r="14">
      <c r="A14" s="10" t="inlineStr">
        <is>
          <t>When the calls come in, December 2025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776 calls for help came in during December. While the line was staffed, 79.0% were answered (target 90.0%); 54.0% of all calls came outside staffed hours and went to voicemail. The busiest time was 5 to 8pm (157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157 calls came between 5 and 8pm, when no-one is on the line. 75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13" t="inlineStr">
        <is>
          <t>Calls for help, December and November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Dec 25</t>
        </is>
      </c>
      <c r="C7" s="6" t="inlineStr">
        <is>
          <t>Nov 25</t>
        </is>
      </c>
    </row>
    <row r="8">
      <c r="A8" t="inlineStr">
        <is>
          <t>Calls</t>
        </is>
      </c>
      <c r="B8" s="14" t="n">
        <v>776</v>
      </c>
      <c r="C8" s="14" t="n">
        <v>746</v>
      </c>
    </row>
    <row r="9">
      <c r="A9" t="inlineStr">
        <is>
          <t>Calls while staffed</t>
        </is>
      </c>
      <c r="B9" s="14" t="n">
        <v>357</v>
      </c>
      <c r="C9" s="14" t="n">
        <v>357</v>
      </c>
    </row>
    <row r="10">
      <c r="A10" t="inlineStr">
        <is>
          <t>Answered</t>
        </is>
      </c>
      <c r="B10" s="14" t="n">
        <v>282</v>
      </c>
      <c r="C10" s="14" t="n">
        <v>297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December and November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Dec 25</t>
        </is>
      </c>
      <c r="C17" s="6" t="inlineStr">
        <is>
          <t>Nov 25</t>
        </is>
      </c>
    </row>
    <row r="18">
      <c r="A18" t="inlineStr">
        <is>
          <t>Calls</t>
        </is>
      </c>
      <c r="B18" s="14" t="n">
        <v>776</v>
      </c>
      <c r="C18" s="14" t="n">
        <v>746</v>
      </c>
    </row>
    <row r="19">
      <c r="A19" t="inlineStr">
        <is>
          <t>Calls while staffed</t>
        </is>
      </c>
      <c r="B19" s="14" t="n">
        <v>357</v>
      </c>
      <c r="C19" s="14" t="n">
        <v>357</v>
      </c>
    </row>
    <row r="20">
      <c r="A20" t="inlineStr">
        <is>
          <t>Answered</t>
        </is>
      </c>
      <c r="B20" s="14" t="n">
        <v>282</v>
      </c>
      <c r="C20" s="14" t="n">
        <v>297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December and November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Dec 25</t>
        </is>
      </c>
      <c r="C27" s="6" t="inlineStr">
        <is>
          <t>Nov 25</t>
        </is>
      </c>
    </row>
    <row r="28">
      <c r="A28" t="inlineStr">
        <is>
          <t>Calls</t>
        </is>
      </c>
      <c r="B28" s="14" t="n">
        <v>776</v>
      </c>
      <c r="C28" s="14" t="n">
        <v>746</v>
      </c>
    </row>
    <row r="29">
      <c r="A29" t="inlineStr">
        <is>
          <t>Calls while staffed</t>
        </is>
      </c>
      <c r="B29" s="14" t="n">
        <v>357</v>
      </c>
      <c r="C29" s="14" t="n">
        <v>357</v>
      </c>
    </row>
    <row r="30">
      <c r="A30" t="inlineStr">
        <is>
          <t>Answered</t>
        </is>
      </c>
      <c r="B30" s="14" t="n">
        <v>282</v>
      </c>
      <c r="C30" s="14" t="n">
        <v>297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December and November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Dec 25</t>
        </is>
      </c>
      <c r="C37" s="6" t="inlineStr">
        <is>
          <t>Nov 25</t>
        </is>
      </c>
    </row>
    <row r="38">
      <c r="A38" t="inlineStr">
        <is>
          <t>Answered calls (while staffed)</t>
        </is>
      </c>
      <c r="B38" s="14" t="n">
        <v>282</v>
      </c>
      <c r="C38" s="14" t="n">
        <v>297</v>
      </c>
    </row>
    <row r="39">
      <c r="A39" s="16" t="inlineStr">
        <is>
          <t>Median wait (seconds, rounded half up)</t>
        </is>
      </c>
      <c r="B39" s="18" t="n">
        <v>71</v>
      </c>
      <c r="C39" s="18" t="n">
        <v>76</v>
      </c>
    </row>
    <row r="40">
      <c r="A40" s="2" t="inlineStr">
        <is>
          <t xml:space="preserve">December: 282 waits in order; the median is halfway between the 141st and 142nd (70 and 71 seconds). Unanswered calls and calls outside staffed hours have no wait to count. </t>
        </is>
      </c>
    </row>
    <row r="41"/>
    <row r="42"/>
    <row r="43">
      <c r="A43" s="13" t="inlineStr">
        <is>
          <t>Calls before 8:30am, December 2025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Dec 2025</t>
        </is>
      </c>
    </row>
    <row r="46">
      <c r="A46" t="inlineStr">
        <is>
          <t>Calls</t>
        </is>
      </c>
      <c r="B46" s="14" t="n">
        <v>115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December 2025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Dec 2025</t>
        </is>
      </c>
    </row>
    <row r="55">
      <c r="A55" t="inlineStr">
        <is>
          <t>Calls</t>
        </is>
      </c>
      <c r="B55" s="14" t="n">
        <v>93</v>
      </c>
    </row>
    <row r="56">
      <c r="A56" t="inlineStr">
        <is>
          <t>Answered</t>
        </is>
      </c>
      <c r="B56" s="14" t="n">
        <v>56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December 2025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Dec 2025</t>
        </is>
      </c>
    </row>
    <row r="64">
      <c r="A64" t="inlineStr">
        <is>
          <t>Calls</t>
        </is>
      </c>
      <c r="B64" s="14" t="n">
        <v>112</v>
      </c>
    </row>
    <row r="65">
      <c r="A65" t="inlineStr">
        <is>
          <t>Answered</t>
        </is>
      </c>
      <c r="B65" s="14" t="n">
        <v>75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December 2025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Dec 2025</t>
        </is>
      </c>
    </row>
    <row r="73">
      <c r="A73" t="inlineStr">
        <is>
          <t>Calls</t>
        </is>
      </c>
      <c r="B73" s="14" t="n">
        <v>86</v>
      </c>
    </row>
    <row r="74">
      <c r="A74" t="inlineStr">
        <is>
          <t>Answered</t>
        </is>
      </c>
      <c r="B74" s="14" t="n">
        <v>58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December 2025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Dec 2025</t>
        </is>
      </c>
    </row>
    <row r="82">
      <c r="A82" t="inlineStr">
        <is>
          <t>Calls</t>
        </is>
      </c>
      <c r="B82" s="14" t="n">
        <v>126</v>
      </c>
    </row>
    <row r="83">
      <c r="A83" t="inlineStr">
        <is>
          <t>Answered</t>
        </is>
      </c>
      <c r="B83" s="14" t="n">
        <v>93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December 2025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Dec 2025</t>
        </is>
      </c>
    </row>
    <row r="91">
      <c r="A91" t="inlineStr">
        <is>
          <t>Calls</t>
        </is>
      </c>
      <c r="B91" s="14" t="n">
        <v>157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December 2025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Dec 2025</t>
        </is>
      </c>
    </row>
    <row r="100">
      <c r="A100" t="inlineStr">
        <is>
          <t>Calls</t>
        </is>
      </c>
      <c r="B100" s="14" t="n">
        <v>87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776</v>
      </c>
      <c r="D20" s="14" t="n">
        <v>357</v>
      </c>
      <c r="E20" s="14" t="n">
        <v>282</v>
      </c>
      <c r="F20" s="15">
        <f>IF(D20=0,"",E20/D20)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