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alls_for_help_December">'Report'!$B$8</definedName>
    <definedName name="Answered_while_staffed_December">'Report'!$B$9</definedName>
    <definedName name="Calls_outside_staffed_hours_December">'Report'!$B$10</definedName>
    <definedName name="Median_wait_when_answered_December">'Report'!$B$11</definedName>
    <definedName name="_xlnm.Print_Area" localSheetId="0">'Report'!$A$1:$D$36</definedName>
    <definedName name="_xlnm.Print_Area" localSheetId="1">'Workings'!$A$1:$C$105</definedName>
    <definedName name="_xlnm.Print_Titles" localSheetId="2">'Data'!$5:$5</definedName>
    <definedName name="_xlnm.Print_Area" localSheetId="2">'Data'!$A$1:$F$20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When the calls come in,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'Report'!$A$15:$A$21</f>
            </numRef>
          </cat>
          <val>
            <numRef>
              <f>'Report'!$B$15:$B$21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6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s_Data" displayName="calls_Data" ref="A5:F20" headerRowCount="1">
  <autoFilter ref="A5:F20"/>
  <tableColumns count="6">
    <tableColumn id="1" name="Month"/>
    <tableColumn id="2" name="Status"/>
    <tableColumn id="3" name="Calls"/>
    <tableColumn id="4" name="While staffed"/>
    <tableColumn id="5" name="Answered"/>
    <tableColumn id="6" name="Answered while staff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When do calls for help come in, and are we there to answer?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6:29pm</t>
        </is>
      </c>
    </row>
    <row r="4"/>
    <row r="5" ht="32" customHeight="1">
      <c r="A5" s="3" t="inlineStr">
        <is>
          <t>Every call to the help line: when it came in, whether someone answered, and how long the caller waited. The line is staffed 8:30am to 5pm on working days.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Calls for help, December</t>
        </is>
      </c>
      <c r="B8" s="6">
        <f>Workings!B12</f>
        <v/>
      </c>
      <c r="C8" s="7" t="inlineStr">
        <is>
          <t>November 675</t>
        </is>
      </c>
    </row>
    <row r="9">
      <c r="A9" t="inlineStr">
        <is>
          <t>Answered while staffed, December</t>
        </is>
      </c>
      <c r="B9" s="6">
        <f>Workings!B22</f>
        <v/>
      </c>
      <c r="C9" s="7" t="inlineStr">
        <is>
          <t>target 90.0%</t>
        </is>
      </c>
    </row>
    <row r="10">
      <c r="A10" t="inlineStr">
        <is>
          <t>Calls outside staffed hours, December</t>
        </is>
      </c>
      <c r="B10" s="6">
        <f>Workings!B32</f>
        <v/>
      </c>
      <c r="C10" s="7" t="inlineStr">
        <is>
          <t>390 calls to voicemail</t>
        </is>
      </c>
    </row>
    <row r="11">
      <c r="A11" t="inlineStr">
        <is>
          <t>Median wait when answered, December</t>
        </is>
      </c>
      <c r="B11" s="6">
        <f>Workings!B42</f>
        <v/>
      </c>
      <c r="C11" s="7" t="inlineStr">
        <is>
          <t>277 answered calls</t>
        </is>
      </c>
    </row>
    <row r="12"/>
    <row r="13">
      <c r="A13" s="8" t="inlineStr">
        <is>
          <t>When the calls come in, December 2025</t>
        </is>
      </c>
    </row>
    <row r="14">
      <c r="A14" s="4" t="inlineStr"/>
      <c r="B14" s="5" t="inlineStr">
        <is>
          <t>Calls</t>
        </is>
      </c>
      <c r="C14" s="5" t="inlineStr">
        <is>
          <t>Answered %</t>
        </is>
      </c>
    </row>
    <row r="15">
      <c r="A15" t="inlineStr">
        <is>
          <t>Before 8:30am</t>
        </is>
      </c>
      <c r="B15" s="9">
        <f>Workings!B49</f>
        <v/>
      </c>
      <c r="C15" s="6">
        <f>Workings!B50</f>
        <v/>
      </c>
    </row>
    <row r="16">
      <c r="A16" t="inlineStr">
        <is>
          <t>8:30 to 10am</t>
        </is>
      </c>
      <c r="B16" s="9">
        <f>Workings!B58</f>
        <v/>
      </c>
      <c r="C16" s="6">
        <f>Workings!B59</f>
        <v/>
      </c>
    </row>
    <row r="17">
      <c r="A17" t="inlineStr">
        <is>
          <t>10am to noon</t>
        </is>
      </c>
      <c r="B17" s="9">
        <f>Workings!B67</f>
        <v/>
      </c>
      <c r="C17" s="6">
        <f>Workings!B68</f>
        <v/>
      </c>
    </row>
    <row r="18">
      <c r="A18" t="inlineStr">
        <is>
          <t>Noon to 2pm</t>
        </is>
      </c>
      <c r="B18" s="9">
        <f>Workings!B76</f>
        <v/>
      </c>
      <c r="C18" s="6">
        <f>Workings!B77</f>
        <v/>
      </c>
    </row>
    <row r="19">
      <c r="A19" t="inlineStr">
        <is>
          <t>2 to 5pm</t>
        </is>
      </c>
      <c r="B19" s="9">
        <f>Workings!B85</f>
        <v/>
      </c>
      <c r="C19" s="6">
        <f>Workings!B86</f>
        <v/>
      </c>
    </row>
    <row r="20">
      <c r="A20" t="inlineStr">
        <is>
          <t>5 to 8pm</t>
        </is>
      </c>
      <c r="B20" s="9">
        <f>Workings!B94</f>
        <v/>
      </c>
      <c r="C20" s="6">
        <f>Workings!B95</f>
        <v/>
      </c>
    </row>
    <row r="21">
      <c r="A21" t="inlineStr">
        <is>
          <t>After 8pm</t>
        </is>
      </c>
      <c r="B21" s="9">
        <f>Workings!B103</f>
        <v/>
      </c>
      <c r="C21" s="6">
        <f>Workings!B104</f>
        <v/>
      </c>
    </row>
    <row r="22"/>
    <row r="23"/>
    <row r="24"/>
    <row r="25"/>
    <row r="26"/>
    <row r="27"/>
    <row r="28"/>
    <row r="29"/>
    <row r="30">
      <c r="A30" s="10" t="inlineStr">
        <is>
          <t>Calls for help by month: every month is on the Data sheet.</t>
        </is>
      </c>
    </row>
    <row r="31"/>
    <row r="32">
      <c r="A32" s="11" t="inlineStr">
        <is>
          <t>What it shows</t>
        </is>
      </c>
    </row>
    <row r="33" ht="45" customHeight="1">
      <c r="A33" s="3" t="inlineStr">
        <is>
          <t>725 calls for help came in during December. While the line was staffed, 82.7% were answered (target 90.0%); 53.8% of all calls came outside staffed hours and went to voicemail. The busiest time was 5 to 8pm (152 calls).</t>
        </is>
      </c>
    </row>
    <row r="34"/>
    <row r="35">
      <c r="A35" s="11" t="inlineStr">
        <is>
          <t>What you'd do about it</t>
        </is>
      </c>
    </row>
    <row r="36" ht="30" customHeight="1">
      <c r="A36" s="3" t="inlineStr">
        <is>
          <t>152 calls came between 5 and 8pm, when no-one is on the line. 58 callers hung up waiting while the line was staffed.</t>
        </is>
      </c>
    </row>
    <row r="37"/>
    <row r="38"/>
  </sheetData>
  <mergeCells count="3">
    <mergeCell ref="A5:D5"/>
    <mergeCell ref="A36:D36"/>
    <mergeCell ref="A33:D33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31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6:29pm</t>
        </is>
      </c>
    </row>
    <row r="4"/>
    <row r="5">
      <c r="A5" s="12" t="inlineStr">
        <is>
          <t>Calls for help, December and November</t>
        </is>
      </c>
    </row>
    <row r="6">
      <c r="A6" s="10" t="inlineStr">
        <is>
          <t>Answered ÷ calls while the line was staffed</t>
        </is>
      </c>
    </row>
    <row r="7">
      <c r="A7" s="4" t="inlineStr"/>
      <c r="B7" s="5" t="inlineStr">
        <is>
          <t>Dec 25</t>
        </is>
      </c>
      <c r="C7" s="5" t="inlineStr">
        <is>
          <t>Nov 25</t>
        </is>
      </c>
    </row>
    <row r="8">
      <c r="A8" t="inlineStr">
        <is>
          <t>Calls</t>
        </is>
      </c>
      <c r="B8" s="13" t="n">
        <v>725</v>
      </c>
      <c r="C8" s="13" t="n">
        <v>675</v>
      </c>
    </row>
    <row r="9">
      <c r="A9" t="inlineStr">
        <is>
          <t>Calls while staffed</t>
        </is>
      </c>
      <c r="B9" s="13" t="n">
        <v>335</v>
      </c>
      <c r="C9" s="13" t="n">
        <v>321</v>
      </c>
    </row>
    <row r="10">
      <c r="A10" t="inlineStr">
        <is>
          <t>Answered</t>
        </is>
      </c>
      <c r="B10" s="13" t="n">
        <v>277</v>
      </c>
      <c r="C10" s="13" t="n">
        <v>266</v>
      </c>
    </row>
    <row r="11">
      <c r="A11" t="inlineStr">
        <is>
          <t>Answered while staffed</t>
        </is>
      </c>
      <c r="B11" s="14">
        <f>B10/B9</f>
        <v/>
      </c>
      <c r="C11" s="14">
        <f>C10/C9</f>
        <v/>
      </c>
    </row>
    <row r="12">
      <c r="A12" s="15" t="inlineStr">
        <is>
          <t>Calls outside staffed hours</t>
        </is>
      </c>
      <c r="B12" s="16">
        <f>(B8-B9)/B8</f>
        <v/>
      </c>
      <c r="C12" s="16">
        <f>(C8-C9)/C8</f>
        <v/>
      </c>
    </row>
    <row r="13"/>
    <row r="14"/>
    <row r="15">
      <c r="A15" s="12" t="inlineStr">
        <is>
          <t>Calls for help, December and November</t>
        </is>
      </c>
    </row>
    <row r="16">
      <c r="A16" s="10" t="inlineStr">
        <is>
          <t>Answered ÷ calls while the line was staffed</t>
        </is>
      </c>
    </row>
    <row r="17">
      <c r="A17" s="4" t="inlineStr"/>
      <c r="B17" s="5" t="inlineStr">
        <is>
          <t>Dec 25</t>
        </is>
      </c>
      <c r="C17" s="5" t="inlineStr">
        <is>
          <t>Nov 25</t>
        </is>
      </c>
    </row>
    <row r="18">
      <c r="A18" t="inlineStr">
        <is>
          <t>Calls</t>
        </is>
      </c>
      <c r="B18" s="13" t="n">
        <v>725</v>
      </c>
      <c r="C18" s="13" t="n">
        <v>675</v>
      </c>
    </row>
    <row r="19">
      <c r="A19" t="inlineStr">
        <is>
          <t>Calls while staffed</t>
        </is>
      </c>
      <c r="B19" s="13" t="n">
        <v>335</v>
      </c>
      <c r="C19" s="13" t="n">
        <v>321</v>
      </c>
    </row>
    <row r="20">
      <c r="A20" t="inlineStr">
        <is>
          <t>Answered</t>
        </is>
      </c>
      <c r="B20" s="13" t="n">
        <v>277</v>
      </c>
      <c r="C20" s="13" t="n">
        <v>266</v>
      </c>
    </row>
    <row r="21">
      <c r="A21" t="inlineStr">
        <is>
          <t>Answered while staffed</t>
        </is>
      </c>
      <c r="B21" s="14">
        <f>B20/B19</f>
        <v/>
      </c>
      <c r="C21" s="14">
        <f>C20/C19</f>
        <v/>
      </c>
    </row>
    <row r="22">
      <c r="A22" s="15" t="inlineStr">
        <is>
          <t>Calls outside staffed hours</t>
        </is>
      </c>
      <c r="B22" s="16">
        <f>(B18-B19)/B18</f>
        <v/>
      </c>
      <c r="C22" s="16">
        <f>(C18-C19)/C18</f>
        <v/>
      </c>
    </row>
    <row r="23"/>
    <row r="24"/>
    <row r="25">
      <c r="A25" s="12" t="inlineStr">
        <is>
          <t>Calls for help, December and November</t>
        </is>
      </c>
    </row>
    <row r="26">
      <c r="A26" s="10" t="inlineStr">
        <is>
          <t>Answered ÷ calls while the line was staffed</t>
        </is>
      </c>
    </row>
    <row r="27">
      <c r="A27" s="4" t="inlineStr"/>
      <c r="B27" s="5" t="inlineStr">
        <is>
          <t>Dec 25</t>
        </is>
      </c>
      <c r="C27" s="5" t="inlineStr">
        <is>
          <t>Nov 25</t>
        </is>
      </c>
    </row>
    <row r="28">
      <c r="A28" t="inlineStr">
        <is>
          <t>Calls</t>
        </is>
      </c>
      <c r="B28" s="13" t="n">
        <v>725</v>
      </c>
      <c r="C28" s="13" t="n">
        <v>675</v>
      </c>
    </row>
    <row r="29">
      <c r="A29" t="inlineStr">
        <is>
          <t>Calls while staffed</t>
        </is>
      </c>
      <c r="B29" s="13" t="n">
        <v>335</v>
      </c>
      <c r="C29" s="13" t="n">
        <v>321</v>
      </c>
    </row>
    <row r="30">
      <c r="A30" t="inlineStr">
        <is>
          <t>Answered</t>
        </is>
      </c>
      <c r="B30" s="13" t="n">
        <v>277</v>
      </c>
      <c r="C30" s="13" t="n">
        <v>266</v>
      </c>
    </row>
    <row r="31">
      <c r="A31" t="inlineStr">
        <is>
          <t>Answered while staffed</t>
        </is>
      </c>
      <c r="B31" s="14">
        <f>B30/B29</f>
        <v/>
      </c>
      <c r="C31" s="14">
        <f>C30/C29</f>
        <v/>
      </c>
    </row>
    <row r="32">
      <c r="A32" s="15" t="inlineStr">
        <is>
          <t>Calls outside staffed hours</t>
        </is>
      </c>
      <c r="B32" s="16">
        <f>(B28-B29)/B28</f>
        <v/>
      </c>
      <c r="C32" s="16">
        <f>(C28-C29)/C28</f>
        <v/>
      </c>
    </row>
    <row r="33"/>
    <row r="34"/>
    <row r="35">
      <c r="A35" s="12" t="inlineStr">
        <is>
          <t>Calls for help, December and November</t>
        </is>
      </c>
    </row>
    <row r="36">
      <c r="A36" s="10" t="inlineStr">
        <is>
          <t>Answered ÷ calls while the line was staffed</t>
        </is>
      </c>
    </row>
    <row r="37">
      <c r="A37" s="4" t="inlineStr"/>
      <c r="B37" s="5" t="inlineStr">
        <is>
          <t>Dec 25</t>
        </is>
      </c>
      <c r="C37" s="5" t="inlineStr">
        <is>
          <t>Nov 25</t>
        </is>
      </c>
    </row>
    <row r="38">
      <c r="A38" t="inlineStr">
        <is>
          <t>Calls</t>
        </is>
      </c>
      <c r="B38" s="13" t="n">
        <v>725</v>
      </c>
      <c r="C38" s="13" t="n">
        <v>675</v>
      </c>
    </row>
    <row r="39">
      <c r="A39" t="inlineStr">
        <is>
          <t>Calls while staffed</t>
        </is>
      </c>
      <c r="B39" s="13" t="n">
        <v>335</v>
      </c>
      <c r="C39" s="13" t="n">
        <v>321</v>
      </c>
    </row>
    <row r="40">
      <c r="A40" t="inlineStr">
        <is>
          <t>Answered</t>
        </is>
      </c>
      <c r="B40" s="13" t="n">
        <v>277</v>
      </c>
      <c r="C40" s="13" t="n">
        <v>266</v>
      </c>
    </row>
    <row r="41">
      <c r="A41" t="inlineStr">
        <is>
          <t>Answered while staffed</t>
        </is>
      </c>
      <c r="B41" s="14">
        <f>B40/B39</f>
        <v/>
      </c>
      <c r="C41" s="14">
        <f>C40/C39</f>
        <v/>
      </c>
    </row>
    <row r="42">
      <c r="A42" s="15" t="inlineStr">
        <is>
          <t>Calls outside staffed hours</t>
        </is>
      </c>
      <c r="B42" s="16">
        <f>(B38-B39)/B38</f>
        <v/>
      </c>
      <c r="C42" s="16">
        <f>(C38-C39)/C38</f>
        <v/>
      </c>
    </row>
    <row r="43"/>
    <row r="44"/>
    <row r="45">
      <c r="A45" s="12" t="inlineStr">
        <is>
          <t>Calls before 8:30am, December 2025</t>
        </is>
      </c>
    </row>
    <row r="46">
      <c r="A46" s="10" t="inlineStr">
        <is>
          <t>Answered ÷ calls</t>
        </is>
      </c>
    </row>
    <row r="47">
      <c r="A47" s="4" t="inlineStr"/>
      <c r="B47" s="5" t="inlineStr">
        <is>
          <t>Dec 2025</t>
        </is>
      </c>
    </row>
    <row r="48">
      <c r="A48" t="inlineStr">
        <is>
          <t>Calls</t>
        </is>
      </c>
      <c r="B48" s="13" t="n">
        <v>107</v>
      </c>
    </row>
    <row r="49">
      <c r="A49" t="inlineStr">
        <is>
          <t>Answered</t>
        </is>
      </c>
      <c r="B49" s="13" t="n">
        <v>0</v>
      </c>
    </row>
    <row r="50">
      <c r="A50" s="15" t="inlineStr">
        <is>
          <t>Answered</t>
        </is>
      </c>
      <c r="B50" s="16">
        <f>B49/B48</f>
        <v/>
      </c>
    </row>
    <row r="51">
      <c r="A51" s="2" t="inlineStr">
        <is>
          <t>Outside 8:30am to 5pm on working days the line goes to voicemail.</t>
        </is>
      </c>
    </row>
    <row r="52"/>
    <row r="53"/>
    <row r="54">
      <c r="A54" s="12" t="inlineStr">
        <is>
          <t>Calls 8:30 to 10am, December 2025</t>
        </is>
      </c>
    </row>
    <row r="55">
      <c r="A55" s="10" t="inlineStr">
        <is>
          <t>Answered ÷ calls</t>
        </is>
      </c>
    </row>
    <row r="56">
      <c r="A56" s="4" t="inlineStr"/>
      <c r="B56" s="5" t="inlineStr">
        <is>
          <t>Dec 2025</t>
        </is>
      </c>
    </row>
    <row r="57">
      <c r="A57" t="inlineStr">
        <is>
          <t>Calls</t>
        </is>
      </c>
      <c r="B57" s="13" t="n">
        <v>62</v>
      </c>
    </row>
    <row r="58">
      <c r="A58" t="inlineStr">
        <is>
          <t>Answered</t>
        </is>
      </c>
      <c r="B58" s="13" t="n">
        <v>42</v>
      </c>
    </row>
    <row r="59">
      <c r="A59" s="15" t="inlineStr">
        <is>
          <t>Answered</t>
        </is>
      </c>
      <c r="B59" s="16">
        <f>B58/B57</f>
        <v/>
      </c>
    </row>
    <row r="60">
      <c r="A60" s="2" t="inlineStr">
        <is>
          <t>Outside 8:30am to 5pm on working days the line goes to voicemail.</t>
        </is>
      </c>
    </row>
    <row r="61"/>
    <row r="62"/>
    <row r="63">
      <c r="A63" s="12" t="inlineStr">
        <is>
          <t>Calls 10am to noon, December 2025</t>
        </is>
      </c>
    </row>
    <row r="64">
      <c r="A64" s="10" t="inlineStr">
        <is>
          <t>Answered ÷ calls</t>
        </is>
      </c>
    </row>
    <row r="65">
      <c r="A65" s="4" t="inlineStr"/>
      <c r="B65" s="5" t="inlineStr">
        <is>
          <t>Dec 2025</t>
        </is>
      </c>
    </row>
    <row r="66">
      <c r="A66" t="inlineStr">
        <is>
          <t>Calls</t>
        </is>
      </c>
      <c r="B66" s="13" t="n">
        <v>110</v>
      </c>
    </row>
    <row r="67">
      <c r="A67" t="inlineStr">
        <is>
          <t>Answered</t>
        </is>
      </c>
      <c r="B67" s="13" t="n">
        <v>81</v>
      </c>
    </row>
    <row r="68">
      <c r="A68" s="15" t="inlineStr">
        <is>
          <t>Answered</t>
        </is>
      </c>
      <c r="B68" s="16">
        <f>B67/B66</f>
        <v/>
      </c>
    </row>
    <row r="69">
      <c r="A69" s="2" t="inlineStr">
        <is>
          <t>Outside 8:30am to 5pm on working days the line goes to voicemail.</t>
        </is>
      </c>
    </row>
    <row r="70"/>
    <row r="71"/>
    <row r="72">
      <c r="A72" s="12" t="inlineStr">
        <is>
          <t>Calls noon to 2pm, December 2025</t>
        </is>
      </c>
    </row>
    <row r="73">
      <c r="A73" s="10" t="inlineStr">
        <is>
          <t>Answered ÷ calls</t>
        </is>
      </c>
    </row>
    <row r="74">
      <c r="A74" s="4" t="inlineStr"/>
      <c r="B74" s="5" t="inlineStr">
        <is>
          <t>Dec 2025</t>
        </is>
      </c>
    </row>
    <row r="75">
      <c r="A75" t="inlineStr">
        <is>
          <t>Calls</t>
        </is>
      </c>
      <c r="B75" s="13" t="n">
        <v>91</v>
      </c>
    </row>
    <row r="76">
      <c r="A76" t="inlineStr">
        <is>
          <t>Answered</t>
        </is>
      </c>
      <c r="B76" s="13" t="n">
        <v>63</v>
      </c>
    </row>
    <row r="77">
      <c r="A77" s="15" t="inlineStr">
        <is>
          <t>Answered</t>
        </is>
      </c>
      <c r="B77" s="16">
        <f>B76/B75</f>
        <v/>
      </c>
    </row>
    <row r="78">
      <c r="A78" s="2" t="inlineStr">
        <is>
          <t>Outside 8:30am to 5pm on working days the line goes to voicemail.</t>
        </is>
      </c>
    </row>
    <row r="79"/>
    <row r="80"/>
    <row r="81">
      <c r="A81" s="12" t="inlineStr">
        <is>
          <t>Calls 2 to 5pm, December 2025</t>
        </is>
      </c>
    </row>
    <row r="82">
      <c r="A82" s="10" t="inlineStr">
        <is>
          <t>Answered ÷ calls</t>
        </is>
      </c>
    </row>
    <row r="83">
      <c r="A83" s="4" t="inlineStr"/>
      <c r="B83" s="5" t="inlineStr">
        <is>
          <t>Dec 2025</t>
        </is>
      </c>
    </row>
    <row r="84">
      <c r="A84" t="inlineStr">
        <is>
          <t>Calls</t>
        </is>
      </c>
      <c r="B84" s="13" t="n">
        <v>124</v>
      </c>
    </row>
    <row r="85">
      <c r="A85" t="inlineStr">
        <is>
          <t>Answered</t>
        </is>
      </c>
      <c r="B85" s="13" t="n">
        <v>91</v>
      </c>
    </row>
    <row r="86">
      <c r="A86" s="15" t="inlineStr">
        <is>
          <t>Answered</t>
        </is>
      </c>
      <c r="B86" s="16">
        <f>B85/B84</f>
        <v/>
      </c>
    </row>
    <row r="87">
      <c r="A87" s="2" t="inlineStr">
        <is>
          <t>Outside 8:30am to 5pm on working days the line goes to voicemail.</t>
        </is>
      </c>
    </row>
    <row r="88"/>
    <row r="89"/>
    <row r="90">
      <c r="A90" s="12" t="inlineStr">
        <is>
          <t>Calls 5 to 8pm, December 2025</t>
        </is>
      </c>
    </row>
    <row r="91">
      <c r="A91" s="10" t="inlineStr">
        <is>
          <t>Answered ÷ calls</t>
        </is>
      </c>
    </row>
    <row r="92">
      <c r="A92" s="4" t="inlineStr"/>
      <c r="B92" s="5" t="inlineStr">
        <is>
          <t>Dec 2025</t>
        </is>
      </c>
    </row>
    <row r="93">
      <c r="A93" t="inlineStr">
        <is>
          <t>Calls</t>
        </is>
      </c>
      <c r="B93" s="13" t="n">
        <v>152</v>
      </c>
    </row>
    <row r="94">
      <c r="A94" t="inlineStr">
        <is>
          <t>Answered</t>
        </is>
      </c>
      <c r="B94" s="13" t="n">
        <v>0</v>
      </c>
    </row>
    <row r="95">
      <c r="A95" s="15" t="inlineStr">
        <is>
          <t>Answered</t>
        </is>
      </c>
      <c r="B95" s="16">
        <f>B94/B93</f>
        <v/>
      </c>
    </row>
    <row r="96">
      <c r="A96" s="2" t="inlineStr">
        <is>
          <t>Outside 8:30am to 5pm on working days the line goes to voicemail.</t>
        </is>
      </c>
    </row>
    <row r="97"/>
    <row r="98"/>
    <row r="99">
      <c r="A99" s="12" t="inlineStr">
        <is>
          <t>Calls after 8pm, December 2025</t>
        </is>
      </c>
    </row>
    <row r="100">
      <c r="A100" s="10" t="inlineStr">
        <is>
          <t>Answered ÷ calls</t>
        </is>
      </c>
    </row>
    <row r="101">
      <c r="A101" s="4" t="inlineStr"/>
      <c r="B101" s="5" t="inlineStr">
        <is>
          <t>Dec 2025</t>
        </is>
      </c>
    </row>
    <row r="102">
      <c r="A102" t="inlineStr">
        <is>
          <t>Calls</t>
        </is>
      </c>
      <c r="B102" s="13" t="n">
        <v>79</v>
      </c>
    </row>
    <row r="103">
      <c r="A103" t="inlineStr">
        <is>
          <t>Answered</t>
        </is>
      </c>
      <c r="B103" s="13" t="n">
        <v>0</v>
      </c>
    </row>
    <row r="104">
      <c r="A104" s="15" t="inlineStr">
        <is>
          <t>Answered</t>
        </is>
      </c>
      <c r="B104" s="16">
        <f>B103/B102</f>
        <v/>
      </c>
    </row>
    <row r="105">
      <c r="A105" s="2" t="inlineStr">
        <is>
          <t>Outside 8:30am to 5pm on working days the line goes to voicemail.</t>
        </is>
      </c>
    </row>
    <row r="106"/>
    <row r="107"/>
    <row r="10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3" manualBreakCount="3">
    <brk id="24" min="0" max="16383" man="1"/>
    <brk id="53" min="0" max="16383" man="1"/>
    <brk id="8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Nov 2025 locked · Dec 2025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Calls</t>
        </is>
      </c>
      <c r="D5" s="5" t="inlineStr">
        <is>
          <t>While staffed</t>
        </is>
      </c>
      <c r="E5" s="5" t="inlineStr">
        <is>
          <t>Answered</t>
        </is>
      </c>
      <c r="F5" s="5" t="inlineStr">
        <is>
          <t>Answered while staffed</t>
        </is>
      </c>
    </row>
    <row r="6">
      <c r="A6" s="17" t="inlineStr">
        <is>
          <t>Oct 24</t>
        </is>
      </c>
      <c r="B6" s="17" t="inlineStr">
        <is>
          <t>Locked</t>
        </is>
      </c>
      <c r="C6" s="13" t="n">
        <v>659</v>
      </c>
      <c r="D6" s="13" t="n">
        <v>312</v>
      </c>
      <c r="E6" s="13" t="n">
        <v>281</v>
      </c>
      <c r="F6" s="14">
        <f>IF(D6=0,"",E6/D6)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3" t="n">
        <v>655</v>
      </c>
      <c r="D7" s="13" t="n">
        <v>320</v>
      </c>
      <c r="E7" s="13" t="n">
        <v>287</v>
      </c>
      <c r="F7" s="14">
        <f>IF(D7=0,"",E7/D7)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3" t="n">
        <v>685</v>
      </c>
      <c r="D8" s="13" t="n">
        <v>327</v>
      </c>
      <c r="E8" s="13" t="n">
        <v>284</v>
      </c>
      <c r="F8" s="14">
        <f>IF(D8=0,"",E8/D8)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3" t="n">
        <v>714</v>
      </c>
      <c r="D9" s="13" t="n">
        <v>324</v>
      </c>
      <c r="E9" s="13" t="n">
        <v>279</v>
      </c>
      <c r="F9" s="14">
        <f>IF(D9=0,"",E9/D9)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3" t="n">
        <v>683</v>
      </c>
      <c r="D10" s="13" t="n">
        <v>321</v>
      </c>
      <c r="E10" s="13" t="n">
        <v>280</v>
      </c>
      <c r="F10" s="14">
        <f>IF(D10=0,"",E10/D10)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3" t="n">
        <v>725</v>
      </c>
      <c r="D11" s="13" t="n">
        <v>340</v>
      </c>
      <c r="E11" s="13" t="n">
        <v>295</v>
      </c>
      <c r="F11" s="14">
        <f>IF(D11=0,"",E11/D11)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3" t="n">
        <v>620</v>
      </c>
      <c r="D12" s="13" t="n">
        <v>297</v>
      </c>
      <c r="E12" s="13" t="n">
        <v>262</v>
      </c>
      <c r="F12" s="14">
        <f>IF(D12=0,"",E12/D12)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3" t="n">
        <v>754</v>
      </c>
      <c r="D13" s="13" t="n">
        <v>353</v>
      </c>
      <c r="E13" s="13" t="n">
        <v>301</v>
      </c>
      <c r="F13" s="14">
        <f>IF(D13=0,"",E13/D13)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3" t="n">
        <v>783</v>
      </c>
      <c r="D14" s="13" t="n">
        <v>398</v>
      </c>
      <c r="E14" s="13" t="n">
        <v>339</v>
      </c>
      <c r="F14" s="14">
        <f>IF(D14=0,"",E14/D14)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3" t="n">
        <v>871</v>
      </c>
      <c r="D15" s="13" t="n">
        <v>428</v>
      </c>
      <c r="E15" s="13" t="n">
        <v>362</v>
      </c>
      <c r="F15" s="14">
        <f>IF(D15=0,"",E15/D15)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3" t="n">
        <v>852</v>
      </c>
      <c r="D16" s="13" t="n">
        <v>431</v>
      </c>
      <c r="E16" s="13" t="n">
        <v>369</v>
      </c>
      <c r="F16" s="14">
        <f>IF(D16=0,"",E16/D16)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3" t="n">
        <v>781</v>
      </c>
      <c r="D17" s="13" t="n">
        <v>373</v>
      </c>
      <c r="E17" s="13" t="n">
        <v>316</v>
      </c>
      <c r="F17" s="14">
        <f>IF(D17=0,"",E17/D17)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3" t="n">
        <v>792</v>
      </c>
      <c r="D18" s="13" t="n">
        <v>364</v>
      </c>
      <c r="E18" s="13" t="n">
        <v>298</v>
      </c>
      <c r="F18" s="14">
        <f>IF(D18=0,"",E18/D18)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3" t="n">
        <v>675</v>
      </c>
      <c r="D19" s="13" t="n">
        <v>321</v>
      </c>
      <c r="E19" s="13" t="n">
        <v>266</v>
      </c>
      <c r="F19" s="14">
        <f>IF(D19=0,"",E19/D19)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3" t="n">
        <v>725</v>
      </c>
      <c r="D20" s="13" t="n">
        <v>335</v>
      </c>
      <c r="E20" s="13" t="n">
        <v>277</v>
      </c>
      <c r="F20" s="14">
        <f>IF(D20=0,"",E20/D20)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calls.xlsx&amp;C&amp;"Roboto,Regular"&amp;8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2026-10-08T08:30:57Z</dcterms:created>
  <dcterms:modified xmlns:dcterms="http://purl.org/dc/terms/" xmlns:xsi="http://www.w3.org/2001/XMLSchema-instance" xsi:type="dcterms:W3CDTF">2026-10-08T08:30:57Z</dcterms:modified>
</cp:coreProperties>
</file>