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December 2025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17</v>
      </c>
    </row>
    <row r="12">
      <c r="A12" t="inlineStr">
        <is>
          <t>Fundraising events</t>
        </is>
      </c>
      <c r="B12" s="8" t="n">
        <v>42</v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In December it cost: Grants 10¢, donations 17¢ and fundraising events 42¢ to raise each dollar.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Cheapest to raise in December: grants (10¢ a dollar). Dearest: fundraising events (42¢). Events are worth counting for what else they bring too (new donors, profile).</t>
        </is>
      </c>
    </row>
    <row r="19"/>
    <row r="20">
      <c r="A20" s="4" t="inlineStr">
        <is>
          <t>Source: Grants</t>
        </is>
      </c>
    </row>
    <row r="21">
      <c r="A21" s="9" t="inlineStr">
        <is>
          <t>What it shows</t>
        </is>
      </c>
    </row>
    <row r="22" ht="30" customHeight="1">
      <c r="A22" s="3" t="inlineStr">
        <is>
          <t>Grants: $390,886 raised this financial year to date (72.3% of everything raised), $42,600 to raise it, so $348,286 left for programs: 11¢ per dollar.</t>
        </is>
      </c>
    </row>
    <row r="23"/>
    <row r="24">
      <c r="A24" s="9" t="inlineStr">
        <is>
          <t>What you'd do about it</t>
        </is>
      </c>
    </row>
    <row r="25" ht="30" customHeight="1">
      <c r="A25" s="3" t="inlineStr">
        <is>
          <t>Most of the money, and usually the cheapest to raise, starting with grants that renew.</t>
        </is>
      </c>
    </row>
    <row r="26"/>
    <row r="27">
      <c r="A27" s="4" t="inlineStr">
        <is>
          <t>Source: Donations</t>
        </is>
      </c>
    </row>
    <row r="28">
      <c r="A28" s="9" t="inlineStr">
        <is>
          <t>What it shows</t>
        </is>
      </c>
    </row>
    <row r="29" ht="30" customHeight="1">
      <c r="A29" s="3" t="inlineStr">
        <is>
          <t>Donations: $106,600 raised this financial year to date (19.7% of everything raised), $16,300 to raise it, so $90,300 left for programs: 15¢ per dollar.</t>
        </is>
      </c>
    </row>
    <row r="30"/>
    <row r="31">
      <c r="A31" s="9" t="inlineStr">
        <is>
          <t>What you'd do about it</t>
        </is>
      </c>
    </row>
    <row r="32" ht="30" customHeight="1">
      <c r="A32" s="3" t="inlineStr">
        <is>
          <t>Cheap and flexible (untied): the money that builds reserves.</t>
        </is>
      </c>
    </row>
    <row r="33"/>
    <row r="34">
      <c r="A34" s="4" t="inlineStr">
        <is>
          <t>Source: Fundraising events</t>
        </is>
      </c>
    </row>
    <row r="35">
      <c r="A35" s="9" t="inlineStr">
        <is>
          <t>What it shows</t>
        </is>
      </c>
    </row>
    <row r="36" ht="30" customHeight="1">
      <c r="A36" s="3" t="inlineStr">
        <is>
          <t>Fundraising events: $43,000 raised this financial year to date (8.0% of everything raised), $17,800 to raise it, so $25,200 left for programs: 41¢ per dollar.</t>
        </is>
      </c>
    </row>
    <row r="37"/>
    <row r="38">
      <c r="A38" s="9" t="inlineStr">
        <is>
          <t>What you'd do about it</t>
        </is>
      </c>
    </row>
    <row r="39" ht="30" customHeight="1">
      <c r="A39" s="3" t="inlineStr">
        <is>
          <t>The dearest per dollar: worth measuring the new donors each event brings in too.</t>
        </is>
      </c>
    </row>
    <row r="40"/>
    <row r="41">
      <c r="A41" s="4" t="inlineStr">
        <is>
          <t>Every source at once</t>
        </is>
      </c>
    </row>
    <row r="42">
      <c r="A42" s="5" t="inlineStr">
        <is>
          <t>Financial year to date (Jul to Dec 2025), by source</t>
        </is>
      </c>
    </row>
    <row r="43">
      <c r="A43" s="6" t="inlineStr"/>
      <c r="B43" s="7" t="inlineStr">
        <is>
          <t>Raised</t>
        </is>
      </c>
      <c r="C43" s="7" t="inlineStr">
        <is>
          <t>Cost of raising it</t>
        </is>
      </c>
      <c r="D43" s="7" t="inlineStr">
        <is>
          <t>Left after costs</t>
        </is>
      </c>
      <c r="E43" s="7" t="inlineStr">
        <is>
          <t>Cost per $1</t>
        </is>
      </c>
    </row>
    <row r="44">
      <c r="A44" s="10" t="inlineStr">
        <is>
          <t>Grants</t>
        </is>
      </c>
      <c r="B44" s="11" t="inlineStr">
        <is>
          <t>$390,886</t>
        </is>
      </c>
      <c r="C44" s="11" t="inlineStr">
        <is>
          <t>$42,600</t>
        </is>
      </c>
      <c r="D44" s="11" t="inlineStr">
        <is>
          <t>$348,286</t>
        </is>
      </c>
      <c r="E44" s="11" t="inlineStr">
        <is>
          <t>11¢</t>
        </is>
      </c>
    </row>
    <row r="45">
      <c r="A45" s="10" t="inlineStr">
        <is>
          <t>Donations</t>
        </is>
      </c>
      <c r="B45" s="11" t="inlineStr">
        <is>
          <t>$106,600</t>
        </is>
      </c>
      <c r="C45" s="11" t="inlineStr">
        <is>
          <t>$16,300</t>
        </is>
      </c>
      <c r="D45" s="11" t="inlineStr">
        <is>
          <t>$90,300</t>
        </is>
      </c>
      <c r="E45" s="11" t="inlineStr">
        <is>
          <t>15¢</t>
        </is>
      </c>
    </row>
    <row r="46">
      <c r="A46" s="10" t="inlineStr">
        <is>
          <t>Fundraising events</t>
        </is>
      </c>
      <c r="B46" s="11" t="inlineStr">
        <is>
          <t>$43,000</t>
        </is>
      </c>
      <c r="C46" s="11" t="inlineStr">
        <is>
          <t>$17,800</t>
        </is>
      </c>
      <c r="D46" s="11" t="inlineStr">
        <is>
          <t>$25,200</t>
        </is>
      </c>
      <c r="E46" s="11" t="inlineStr">
        <is>
          <t>41¢</t>
        </is>
      </c>
    </row>
    <row r="47"/>
    <row r="48">
      <c r="A48" s="12" t="inlineStr">
        <is>
          <t>Raised and left after costs, by month: every month is on the Data sheet.</t>
        </is>
      </c>
    </row>
    <row r="49"/>
    <row r="50"/>
  </sheetData>
  <mergeCells count="9">
    <mergeCell ref="A5:D5"/>
    <mergeCell ref="A18:D18"/>
    <mergeCell ref="A22:D22"/>
    <mergeCell ref="A39:D39"/>
    <mergeCell ref="A15:D15"/>
    <mergeCell ref="A29:D29"/>
    <mergeCell ref="A25:D25"/>
    <mergeCell ref="A32:D32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4" t="inlineStr">
        <is>
          <t>Cost to raise a dollar, by source, December 2025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Dec 2025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68793</v>
      </c>
    </row>
    <row r="10">
      <c r="A10" t="inlineStr">
        <is>
          <t>Donations: cost (donor campaigns)</t>
        </is>
      </c>
      <c r="B10" s="13" t="n">
        <v>4400</v>
      </c>
    </row>
    <row r="11">
      <c r="A11" t="inlineStr">
        <is>
          <t>Donations: raised</t>
        </is>
      </c>
      <c r="B11" s="13" t="n">
        <v>26100</v>
      </c>
    </row>
    <row r="12">
      <c r="A12" t="inlineStr">
        <is>
          <t>Fundraising events: cost (event costs)</t>
        </is>
      </c>
      <c r="B12" s="13" t="n">
        <v>2600</v>
      </c>
    </row>
    <row r="13">
      <c r="A13" t="inlineStr">
        <is>
          <t>Fundraising events: raised</t>
        </is>
      </c>
      <c r="B13" s="13" t="n">
        <v>6200</v>
      </c>
    </row>
    <row r="14">
      <c r="A14" t="inlineStr">
        <is>
          <t>Grants: cost per dollar raised</t>
        </is>
      </c>
      <c r="B14" s="14">
        <f>B8/B9*100</f>
        <v/>
      </c>
    </row>
    <row r="15">
      <c r="A15" t="inlineStr">
        <is>
          <t>Donations: cost per dollar raised</t>
        </is>
      </c>
      <c r="B15" s="14">
        <f>B10/B11*100</f>
        <v/>
      </c>
    </row>
    <row r="16">
      <c r="A16" s="15" t="inlineStr">
        <is>
          <t>Fundraising events: cost per dollar raised</t>
        </is>
      </c>
      <c r="B16" s="16">
        <f>B12/B13*100</f>
        <v/>
      </c>
    </row>
    <row r="17"/>
    <row r="18"/>
    <row r="1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Donations</t>
        </is>
      </c>
      <c r="B21" s="17" t="inlineStr">
        <is>
          <t>Oct 24</t>
        </is>
      </c>
      <c r="C21" s="17" t="inlineStr">
        <is>
          <t>Locked</t>
        </is>
      </c>
      <c r="D21" s="13" t="n">
        <v>15300</v>
      </c>
      <c r="E21" s="13" t="n">
        <v>2200</v>
      </c>
      <c r="F21" s="13">
        <f>D21-E21</f>
        <v/>
      </c>
      <c r="G21" s="14">
        <f>IF(D21=0,"",E21/D21*100)</f>
        <v/>
      </c>
    </row>
    <row r="22">
      <c r="A22" s="17" t="inlineStr">
        <is>
          <t>Donations</t>
        </is>
      </c>
      <c r="B22" s="17" t="inlineStr">
        <is>
          <t>Nov 24</t>
        </is>
      </c>
      <c r="C22" s="17" t="inlineStr">
        <is>
          <t>Locked</t>
        </is>
      </c>
      <c r="D22" s="13" t="n">
        <v>17700</v>
      </c>
      <c r="E22" s="13" t="n">
        <v>3100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Dec 24</t>
        </is>
      </c>
      <c r="C23" s="17" t="inlineStr">
        <is>
          <t>Locked</t>
        </is>
      </c>
      <c r="D23" s="13" t="n">
        <v>24700</v>
      </c>
      <c r="E23" s="13" t="n">
        <v>4400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Jan 25</t>
        </is>
      </c>
      <c r="C24" s="17" t="inlineStr">
        <is>
          <t>Locked</t>
        </is>
      </c>
      <c r="D24" s="13" t="n">
        <v>12400</v>
      </c>
      <c r="E24" s="13" t="n">
        <v>2200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Feb 25</t>
        </is>
      </c>
      <c r="C25" s="17" t="inlineStr">
        <is>
          <t>Locked</t>
        </is>
      </c>
      <c r="D25" s="13" t="n">
        <v>15600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Mar 25</t>
        </is>
      </c>
      <c r="C26" s="17" t="inlineStr">
        <is>
          <t>Locked</t>
        </is>
      </c>
      <c r="D26" s="13" t="n">
        <v>15700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Apr 25</t>
        </is>
      </c>
      <c r="C27" s="17" t="inlineStr">
        <is>
          <t>Locked</t>
        </is>
      </c>
      <c r="D27" s="13" t="n">
        <v>15700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May 25</t>
        </is>
      </c>
      <c r="C28" s="17" t="inlineStr">
        <is>
          <t>Locked</t>
        </is>
      </c>
      <c r="D28" s="13" t="n">
        <v>15800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Jun 25</t>
        </is>
      </c>
      <c r="C29" s="17" t="inlineStr">
        <is>
          <t>Locked</t>
        </is>
      </c>
      <c r="D29" s="13" t="n">
        <v>38100</v>
      </c>
      <c r="E29" s="13" t="n">
        <v>5500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Jul 25</t>
        </is>
      </c>
      <c r="C30" s="17" t="inlineStr">
        <is>
          <t>Locked</t>
        </is>
      </c>
      <c r="D30" s="13" t="n">
        <v>13500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Aug 25</t>
        </is>
      </c>
      <c r="C31" s="17" t="inlineStr">
        <is>
          <t>Locked</t>
        </is>
      </c>
      <c r="D31" s="13" t="n">
        <v>16000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Sep 25</t>
        </is>
      </c>
      <c r="C32" s="17" t="inlineStr">
        <is>
          <t>Locked</t>
        </is>
      </c>
      <c r="D32" s="13" t="n">
        <v>16100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Oct 25</t>
        </is>
      </c>
      <c r="C33" s="17" t="inlineStr">
        <is>
          <t>Locked</t>
        </is>
      </c>
      <c r="D33" s="13" t="n">
        <v>16200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Nov 25</t>
        </is>
      </c>
      <c r="C34" s="17" t="inlineStr">
        <is>
          <t>Locked</t>
        </is>
      </c>
      <c r="D34" s="13" t="n">
        <v>18700</v>
      </c>
      <c r="E34" s="13" t="n">
        <v>3100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Dec 25</t>
        </is>
      </c>
      <c r="C35" s="17" t="inlineStr">
        <is>
          <t>Locked</t>
        </is>
      </c>
      <c r="D35" s="13" t="n">
        <v>26100</v>
      </c>
      <c r="E35" s="13" t="n">
        <v>4400</v>
      </c>
      <c r="F35" s="13">
        <f>D35-E35</f>
        <v/>
      </c>
      <c r="G35" s="14">
        <f>IF(D35=0,"",E35/D35*100)</f>
        <v/>
      </c>
    </row>
    <row r="36">
      <c r="A36" s="17" t="inlineStr">
        <is>
          <t>Fundraising events</t>
        </is>
      </c>
      <c r="B36" s="17" t="inlineStr">
        <is>
          <t>Oct 24</t>
        </is>
      </c>
      <c r="C36" s="17" t="inlineStr">
        <is>
          <t>Locked</t>
        </is>
      </c>
      <c r="D36" s="13" t="n">
        <v>0</v>
      </c>
      <c r="E36" s="13" t="n">
        <v>0</v>
      </c>
      <c r="F36" s="13">
        <f>D36-E36</f>
        <v/>
      </c>
      <c r="G36" s="14">
        <f>IF(D36=0,"",E36/D36*100)</f>
        <v/>
      </c>
    </row>
    <row r="37">
      <c r="A37" s="17" t="inlineStr">
        <is>
          <t>Fundraising events</t>
        </is>
      </c>
      <c r="B37" s="17" t="inlineStr">
        <is>
          <t>Nov 24</t>
        </is>
      </c>
      <c r="C37" s="17" t="inlineStr">
        <is>
          <t>Locked</t>
        </is>
      </c>
      <c r="D37" s="13" t="n">
        <v>0</v>
      </c>
      <c r="E37" s="13" t="n">
        <v>0</v>
      </c>
      <c r="F37" s="13">
        <f>D37-E37</f>
        <v/>
      </c>
      <c r="G37" s="14">
        <f>IF(D37=0,"",E37/D37*100)</f>
        <v/>
      </c>
    </row>
    <row r="38">
      <c r="A38" s="17" t="inlineStr">
        <is>
          <t>Fundraising events</t>
        </is>
      </c>
      <c r="B38" s="17" t="inlineStr">
        <is>
          <t>Dec 24</t>
        </is>
      </c>
      <c r="C38" s="17" t="inlineStr">
        <is>
          <t>Locked</t>
        </is>
      </c>
      <c r="D38" s="13" t="n">
        <v>6200</v>
      </c>
      <c r="E38" s="13" t="n">
        <v>2600</v>
      </c>
      <c r="F38" s="13">
        <f>D38-E38</f>
        <v/>
      </c>
      <c r="G38" s="14">
        <f>IF(D38=0,"",E38/D38*100)</f>
        <v/>
      </c>
    </row>
    <row r="39">
      <c r="A39" s="17" t="inlineStr">
        <is>
          <t>Fundraising events</t>
        </is>
      </c>
      <c r="B39" s="17" t="inlineStr">
        <is>
          <t>Jan 25</t>
        </is>
      </c>
      <c r="C39" s="17" t="inlineStr">
        <is>
          <t>Locked</t>
        </is>
      </c>
      <c r="D39" s="13" t="n">
        <v>0</v>
      </c>
      <c r="E39" s="13" t="n">
        <v>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Feb 25</t>
        </is>
      </c>
      <c r="C40" s="17" t="inlineStr">
        <is>
          <t>Locked</t>
        </is>
      </c>
      <c r="D40" s="13" t="n">
        <v>0</v>
      </c>
      <c r="E40" s="13" t="n">
        <v>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Mar 25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Apr 25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May 25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Jun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Jul 25</t>
        </is>
      </c>
      <c r="C45" s="17" t="inlineStr">
        <is>
          <t>Locked</t>
        </is>
      </c>
      <c r="D45" s="13" t="n">
        <v>0</v>
      </c>
      <c r="E45" s="13" t="n">
        <v>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Aug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Sep 25</t>
        </is>
      </c>
      <c r="C47" s="17" t="inlineStr">
        <is>
          <t>Locked</t>
        </is>
      </c>
      <c r="D47" s="13" t="n">
        <v>36800</v>
      </c>
      <c r="E47" s="13" t="n">
        <v>15200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Oct 25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Nov 25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Dec 25</t>
        </is>
      </c>
      <c r="C50" s="17" t="inlineStr">
        <is>
          <t>Locked</t>
        </is>
      </c>
      <c r="D50" s="13" t="n">
        <v>6200</v>
      </c>
      <c r="E50" s="13" t="n">
        <v>2600</v>
      </c>
      <c r="F50" s="13">
        <f>D50-E50</f>
        <v/>
      </c>
      <c r="G50" s="14">
        <f>IF(D50=0,"",E50/D50*100)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2026-10-07T07:37:21Z</dcterms:created>
  <dcterms:modified xmlns:dcterms="http://purl.org/dc/terms/" xmlns:xsi="http://www.w3.org/2001/XMLSchema-instance" xsi:type="dcterms:W3CDTF">2026-10-07T07:37:21Z</dcterms:modified>
</cp:coreProperties>
</file>