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December 2025 · Data status: Nov 2025 locked · Dec 2025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December · all fundraising</t>
        </is>
      </c>
      <c r="B9" s="7">
        <f>Workings!B10</f>
        <v/>
      </c>
      <c r="C9" s="8" t="inlineStr">
        <is>
          <t>November 11¢</t>
        </is>
      </c>
    </row>
    <row r="10">
      <c r="A10" t="inlineStr">
        <is>
          <t>Year to date (Jul to Dec 2025)</t>
        </is>
      </c>
      <c r="B10" s="7">
        <f>Workings!B18</f>
        <v/>
      </c>
      <c r="C10" s="8" t="inlineStr">
        <is>
          <t>same period last year: not in the data</t>
        </is>
      </c>
    </row>
    <row r="11"/>
    <row r="12">
      <c r="A12" s="9" t="inlineStr">
        <is>
          <t>Cost to raise a dollar, by source, December 2025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10</v>
      </c>
    </row>
    <row r="15">
      <c r="A15" t="inlineStr">
        <is>
          <t>Donations</t>
        </is>
      </c>
      <c r="B15" s="7" t="n">
        <v>17</v>
      </c>
    </row>
    <row r="16">
      <c r="A16" t="inlineStr">
        <is>
          <t>Fundraising events</t>
        </is>
      </c>
      <c r="B16" s="7" t="n">
        <v>42</v>
      </c>
    </row>
    <row r="17"/>
    <row r="18">
      <c r="A18" s="10" t="inlineStr">
        <is>
          <t>What it shows</t>
        </is>
      </c>
    </row>
    <row r="19" ht="30" customHeight="1">
      <c r="A19" s="3" t="inlineStr">
        <is>
          <t>December cost 14¢ to raise each dollar, against 11¢ in November. Fundraising events raised $6,200 and cost $2,600. This financial year to date it has cost 14¢ a dollar.</t>
        </is>
      </c>
    </row>
    <row r="20"/>
    <row r="21">
      <c r="A21" s="10" t="inlineStr">
        <is>
          <t>What you'd do about it</t>
        </is>
      </c>
    </row>
    <row r="22" ht="30" customHeight="1">
      <c r="A22" s="3" t="inlineStr">
        <is>
          <t>The year-to-date figure is steadier than single months: events make some months jump. Pick a source above to see which one moves it.</t>
        </is>
      </c>
    </row>
    <row r="23"/>
    <row r="24">
      <c r="A24" s="4" t="inlineStr">
        <is>
          <t>Source: Grants</t>
        </is>
      </c>
    </row>
    <row r="25">
      <c r="A25" s="5" t="inlineStr">
        <is>
          <t>Headline number</t>
        </is>
      </c>
      <c r="B25" s="6" t="inlineStr">
        <is>
          <t>Value</t>
        </is>
      </c>
      <c r="C25" s="6" t="inlineStr">
        <is>
          <t>Compared with</t>
        </is>
      </c>
    </row>
    <row r="26">
      <c r="A26" t="inlineStr">
        <is>
          <t>December · Grants</t>
        </is>
      </c>
      <c r="B26" s="7">
        <f>Workings!B41</f>
        <v/>
      </c>
      <c r="C26" s="8" t="inlineStr">
        <is>
          <t>November 10¢</t>
        </is>
      </c>
    </row>
    <row r="27">
      <c r="A27" t="inlineStr">
        <is>
          <t>Year to date (Jul to Dec 2025)</t>
        </is>
      </c>
      <c r="B27" s="7">
        <f>Workings!B49</f>
        <v/>
      </c>
      <c r="C27" s="8" t="inlineStr">
        <is>
          <t>same period last year: not in the data</t>
        </is>
      </c>
    </row>
    <row r="28"/>
    <row r="29">
      <c r="A29" s="10" t="inlineStr">
        <is>
          <t>What it shows</t>
        </is>
      </c>
    </row>
    <row r="30" ht="30" customHeight="1">
      <c r="A30" s="3" t="inlineStr">
        <is>
          <t>Grants cost 11¢ to raise each dollar this financial year to date ($42,600 of grant writing and reporting for $390,886).</t>
        </is>
      </c>
    </row>
    <row r="31"/>
    <row r="32">
      <c r="A32" s="10" t="inlineStr">
        <is>
          <t>What you'd do about it</t>
        </is>
      </c>
    </row>
    <row r="33" ht="30" customHeight="1">
      <c r="A33" s="3" t="inlineStr">
        <is>
          <t>Usually the cheapest money to raise, as long as the time that goes into applications and acquittals is protected.</t>
        </is>
      </c>
    </row>
    <row r="34"/>
    <row r="35">
      <c r="A35" s="4" t="inlineStr">
        <is>
          <t>Source: Donations</t>
        </is>
      </c>
    </row>
    <row r="36">
      <c r="A36" s="5" t="inlineStr">
        <is>
          <t>Headline number</t>
        </is>
      </c>
      <c r="B36" s="6" t="inlineStr">
        <is>
          <t>Value</t>
        </is>
      </c>
      <c r="C36" s="6" t="inlineStr">
        <is>
          <t>Compared with</t>
        </is>
      </c>
    </row>
    <row r="37">
      <c r="A37" t="inlineStr">
        <is>
          <t>December · Donations</t>
        </is>
      </c>
      <c r="B37" s="7">
        <f>Workings!B58</f>
        <v/>
      </c>
      <c r="C37" s="8" t="inlineStr">
        <is>
          <t>November 17¢</t>
        </is>
      </c>
    </row>
    <row r="38">
      <c r="A38" t="inlineStr">
        <is>
          <t>Year to date (Jul to Dec 2025)</t>
        </is>
      </c>
      <c r="B38" s="7">
        <f>Workings!B66</f>
        <v/>
      </c>
      <c r="C38" s="8" t="inlineStr">
        <is>
          <t>same period last year: not in the data</t>
        </is>
      </c>
    </row>
    <row r="39"/>
    <row r="40">
      <c r="A40" s="10" t="inlineStr">
        <is>
          <t>What it shows</t>
        </is>
      </c>
    </row>
    <row r="41" ht="30" customHeight="1">
      <c r="A41" s="3" t="inlineStr">
        <is>
          <t>Donations cost 15¢ to raise each dollar this financial year to date ($16,300 of donor campaigns for $106,600).</t>
        </is>
      </c>
    </row>
    <row r="42"/>
    <row r="43">
      <c r="A43" s="10" t="inlineStr">
        <is>
          <t>What you'd do about it</t>
        </is>
      </c>
    </row>
    <row r="44" ht="30" customHeight="1">
      <c r="A44" s="3" t="inlineStr">
        <is>
          <t>Steady and cheap, and untied: the money that builds reserves.</t>
        </is>
      </c>
    </row>
    <row r="45"/>
    <row r="46">
      <c r="A46" s="4" t="inlineStr">
        <is>
          <t>Source: Fundraising events</t>
        </is>
      </c>
    </row>
    <row r="47">
      <c r="A47" s="5" t="inlineStr">
        <is>
          <t>Headline number</t>
        </is>
      </c>
      <c r="B47" s="6" t="inlineStr">
        <is>
          <t>Value</t>
        </is>
      </c>
      <c r="C47" s="6" t="inlineStr">
        <is>
          <t>Compared with</t>
        </is>
      </c>
    </row>
    <row r="48">
      <c r="A48" t="inlineStr">
        <is>
          <t>December · Fundraising events</t>
        </is>
      </c>
      <c r="B48" s="11">
        <f>Workings!B74</f>
        <v/>
      </c>
      <c r="C48" s="8" t="inlineStr">
        <is>
          <t>November none raised</t>
        </is>
      </c>
    </row>
    <row r="49">
      <c r="A49" t="inlineStr">
        <is>
          <t>Year to date (Jul to Dec 2025)</t>
        </is>
      </c>
      <c r="B49" s="7">
        <f>Workings!B83</f>
        <v/>
      </c>
      <c r="C49" s="8" t="inlineStr">
        <is>
          <t>same period last year: not in the data</t>
        </is>
      </c>
    </row>
    <row r="50"/>
    <row r="51">
      <c r="A51" s="10" t="inlineStr">
        <is>
          <t>What it shows</t>
        </is>
      </c>
    </row>
    <row r="52" ht="30" customHeight="1">
      <c r="A52" s="3" t="inlineStr">
        <is>
          <t>Fundraising events cost 41¢ to raise each dollar this financial year to date ($17,800 of event costs for $43,000).</t>
        </is>
      </c>
    </row>
    <row r="53"/>
    <row r="54">
      <c r="A54" s="10" t="inlineStr">
        <is>
          <t>What you'd do about it</t>
        </is>
      </c>
    </row>
    <row r="55" ht="30" customHeight="1">
      <c r="A55" s="3" t="inlineStr">
        <is>
          <t>Usually the dearest money to raise: events are worth counting for what else they bring too (new donors, profile).</t>
        </is>
      </c>
    </row>
    <row r="56"/>
    <row r="57">
      <c r="A57" s="4" t="inlineStr">
        <is>
          <t>Every source at once</t>
        </is>
      </c>
    </row>
    <row r="58">
      <c r="A58" s="12" t="inlineStr">
        <is>
          <t>Cost to raise a dollar, by month (cents): every month is on the Data sheet.</t>
        </is>
      </c>
    </row>
    <row r="59"/>
    <row r="60"/>
  </sheetData>
  <mergeCells count="9">
    <mergeCell ref="A5:D5"/>
    <mergeCell ref="A22:D22"/>
    <mergeCell ref="A30:D30"/>
    <mergeCell ref="A55:D55"/>
    <mergeCell ref="A52:D52"/>
    <mergeCell ref="A41:D41"/>
    <mergeCell ref="A33:D33"/>
    <mergeCell ref="A19:D19"/>
    <mergeCell ref="A44:D4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December 2025 · Data status: Nov 2025 locked · Dec 2025 locked · Oct 2026 incomplete (data retrieved 2pm, Tue 6 Oct 2026)</t>
        </is>
      </c>
    </row>
    <row r="4"/>
    <row r="5">
      <c r="A5" s="4" t="inlineStr">
        <is>
          <t>Cost to raise a dollar, all fundraising, December and November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Dec 25</t>
        </is>
      </c>
      <c r="C7" s="6" t="inlineStr">
        <is>
          <t>Nov 25</t>
        </is>
      </c>
    </row>
    <row r="8">
      <c r="A8" t="inlineStr">
        <is>
          <t>Cost of raising it</t>
        </is>
      </c>
      <c r="B8" s="13" t="n">
        <v>14100</v>
      </c>
      <c r="C8" s="13" t="n">
        <v>10200</v>
      </c>
    </row>
    <row r="9">
      <c r="A9" t="inlineStr">
        <is>
          <t>Money raised</t>
        </is>
      </c>
      <c r="B9" s="13" t="n">
        <v>101093</v>
      </c>
      <c r="C9" s="13" t="n">
        <v>88864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76700</v>
      </c>
    </row>
    <row r="17">
      <c r="A17" t="inlineStr">
        <is>
          <t>Raised, year to date</t>
        </is>
      </c>
      <c r="B17" s="13" t="n">
        <v>540486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4" t="inlineStr">
        <is>
          <t>Cost to raise a dollar, by source, December 2025</t>
        </is>
      </c>
    </row>
    <row r="23">
      <c r="A23" s="12" t="inlineStr">
        <is>
          <t>Fundraising cost ÷ money raised, for each source, in cents</t>
        </is>
      </c>
    </row>
    <row r="24">
      <c r="A24" s="5" t="inlineStr"/>
      <c r="B24" s="6" t="inlineStr">
        <is>
          <t>Dec 2025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68793</v>
      </c>
    </row>
    <row r="27">
      <c r="A27" t="inlineStr">
        <is>
          <t>Donations: cost (donor campaigns)</t>
        </is>
      </c>
      <c r="B27" s="13" t="n">
        <v>4400</v>
      </c>
    </row>
    <row r="28">
      <c r="A28" t="inlineStr">
        <is>
          <t>Donations: raised</t>
        </is>
      </c>
      <c r="B28" s="13" t="n">
        <v>26100</v>
      </c>
    </row>
    <row r="29">
      <c r="A29" t="inlineStr">
        <is>
          <t>Fundraising events: cost (event costs)</t>
        </is>
      </c>
      <c r="B29" s="13" t="n">
        <v>2600</v>
      </c>
    </row>
    <row r="30">
      <c r="A30" t="inlineStr">
        <is>
          <t>Fundraising events: raised</t>
        </is>
      </c>
      <c r="B30" s="13" t="n">
        <v>6200</v>
      </c>
    </row>
    <row r="31">
      <c r="A31" t="inlineStr">
        <is>
          <t>Grants: cost per dollar raised</t>
        </is>
      </c>
      <c r="B31" s="16">
        <f>B25/B26*100</f>
        <v/>
      </c>
    </row>
    <row r="32">
      <c r="A32" t="inlineStr">
        <is>
          <t>Donations: cost per dollar raised</t>
        </is>
      </c>
      <c r="B32" s="16">
        <f>B27/B28*100</f>
        <v/>
      </c>
    </row>
    <row r="33">
      <c r="A33" s="14" t="inlineStr">
        <is>
          <t>Fundraising events: cost per dollar raised</t>
        </is>
      </c>
      <c r="B33" s="15">
        <f>B29/B30*100</f>
        <v/>
      </c>
    </row>
    <row r="34"/>
    <row r="35"/>
    <row r="36">
      <c r="A36" s="4" t="inlineStr">
        <is>
          <t>Cost to raise a dollar, grants, December and November</t>
        </is>
      </c>
    </row>
    <row r="37">
      <c r="A37" s="12" t="inlineStr">
        <is>
          <t>Cost of raising it ÷ money raised, in cents</t>
        </is>
      </c>
    </row>
    <row r="38">
      <c r="A38" s="5" t="inlineStr"/>
      <c r="B38" s="6" t="inlineStr">
        <is>
          <t>Dec 25</t>
        </is>
      </c>
      <c r="C38" s="6" t="inlineStr">
        <is>
          <t>Nov 25</t>
        </is>
      </c>
    </row>
    <row r="39">
      <c r="A39" t="inlineStr">
        <is>
          <t>Cost of raising it</t>
        </is>
      </c>
      <c r="B39" s="13" t="n">
        <v>7100</v>
      </c>
      <c r="C39" s="13" t="n">
        <v>7100</v>
      </c>
    </row>
    <row r="40">
      <c r="A40" t="inlineStr">
        <is>
          <t>Money raised</t>
        </is>
      </c>
      <c r="B40" s="13" t="n">
        <v>68793</v>
      </c>
      <c r="C40" s="13" t="n">
        <v>70164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4" t="inlineStr">
        <is>
          <t>Cost to raise a dollar, grants, year to date</t>
        </is>
      </c>
    </row>
    <row r="45">
      <c r="A45" s="12" t="inlineStr">
        <is>
          <t>Cost ÷ money raised, in cents</t>
        </is>
      </c>
    </row>
    <row r="46">
      <c r="A46" s="5" t="inlineStr"/>
      <c r="B46" s="6" t="inlineStr">
        <is>
          <t>Year to date</t>
        </is>
      </c>
    </row>
    <row r="47">
      <c r="A47" t="inlineStr">
        <is>
          <t>Cost, year to date</t>
        </is>
      </c>
      <c r="B47" s="13" t="n">
        <v>42600</v>
      </c>
    </row>
    <row r="48">
      <c r="A48" t="inlineStr">
        <is>
          <t>Raised, year to date</t>
        </is>
      </c>
      <c r="B48" s="13" t="n">
        <v>390886</v>
      </c>
    </row>
    <row r="49">
      <c r="A49" s="14" t="inlineStr">
        <is>
          <t>Cents, year to date</t>
        </is>
      </c>
      <c r="B49" s="15">
        <f>B47/B48*100</f>
        <v/>
      </c>
    </row>
    <row r="50">
      <c r="A50" s="2" t="inlineStr">
        <is>
          <t>Same period last year: Not available: the data starts October 2024.</t>
        </is>
      </c>
    </row>
    <row r="51"/>
    <row r="52"/>
    <row r="53">
      <c r="A53" s="4" t="inlineStr">
        <is>
          <t>Cost to raise a dollar, donations, December and November</t>
        </is>
      </c>
    </row>
    <row r="54">
      <c r="A54" s="12" t="inlineStr">
        <is>
          <t>Cost of raising it ÷ money raised, in cents</t>
        </is>
      </c>
    </row>
    <row r="55">
      <c r="A55" s="5" t="inlineStr"/>
      <c r="B55" s="6" t="inlineStr">
        <is>
          <t>Dec 25</t>
        </is>
      </c>
      <c r="C55" s="6" t="inlineStr">
        <is>
          <t>Nov 25</t>
        </is>
      </c>
    </row>
    <row r="56">
      <c r="A56" t="inlineStr">
        <is>
          <t>Cost of raising it</t>
        </is>
      </c>
      <c r="B56" s="13" t="n">
        <v>4400</v>
      </c>
      <c r="C56" s="13" t="n">
        <v>3100</v>
      </c>
    </row>
    <row r="57">
      <c r="A57" t="inlineStr">
        <is>
          <t>Money raised</t>
        </is>
      </c>
      <c r="B57" s="13" t="n">
        <v>26100</v>
      </c>
      <c r="C57" s="13" t="n">
        <v>18700</v>
      </c>
    </row>
    <row r="58">
      <c r="A58" s="14" t="inlineStr">
        <is>
          <t>Cents per dollar</t>
        </is>
      </c>
      <c r="B58" s="15">
        <f>B56/B57*100</f>
        <v/>
      </c>
      <c r="C58" s="15">
        <f>C56/C57*100</f>
        <v/>
      </c>
    </row>
    <row r="59"/>
    <row r="60"/>
    <row r="61">
      <c r="A61" s="4" t="inlineStr">
        <is>
          <t>Cost to raise a dollar, donations, year to date</t>
        </is>
      </c>
    </row>
    <row r="62">
      <c r="A62" s="12" t="inlineStr">
        <is>
          <t>Cost ÷ money raised, in cents</t>
        </is>
      </c>
    </row>
    <row r="63">
      <c r="A63" s="5" t="inlineStr"/>
      <c r="B63" s="6" t="inlineStr">
        <is>
          <t>Year to date</t>
        </is>
      </c>
    </row>
    <row r="64">
      <c r="A64" t="inlineStr">
        <is>
          <t>Cost, year to date</t>
        </is>
      </c>
      <c r="B64" s="13" t="n">
        <v>16300</v>
      </c>
    </row>
    <row r="65">
      <c r="A65" t="inlineStr">
        <is>
          <t>Raised, year to date</t>
        </is>
      </c>
      <c r="B65" s="13" t="n">
        <v>106600</v>
      </c>
    </row>
    <row r="66">
      <c r="A66" s="14" t="inlineStr">
        <is>
          <t>Cents, year to date</t>
        </is>
      </c>
      <c r="B66" s="15">
        <f>B64/B65*100</f>
        <v/>
      </c>
    </row>
    <row r="67">
      <c r="A67" s="2" t="inlineStr">
        <is>
          <t>Same period last year: Not available: the data starts October 2024.</t>
        </is>
      </c>
    </row>
    <row r="68"/>
    <row r="69"/>
    <row r="70">
      <c r="A70" s="4" t="inlineStr">
        <is>
          <t>Cost to raise a dollar, fundraising events, December and November</t>
        </is>
      </c>
    </row>
    <row r="71">
      <c r="A71" s="12" t="inlineStr">
        <is>
          <t>Cost of raising it ÷ money raised, in cents</t>
        </is>
      </c>
    </row>
    <row r="72">
      <c r="A72" s="5" t="inlineStr"/>
      <c r="B72" s="6" t="inlineStr">
        <is>
          <t>Dec 25</t>
        </is>
      </c>
      <c r="C72" s="6" t="inlineStr">
        <is>
          <t>Nov 25</t>
        </is>
      </c>
    </row>
    <row r="73">
      <c r="A73" t="inlineStr">
        <is>
          <t>Cost of raising it</t>
        </is>
      </c>
      <c r="B73" s="13" t="n">
        <v>2600</v>
      </c>
      <c r="C73" s="13" t="n">
        <v>0</v>
      </c>
    </row>
    <row r="74">
      <c r="A74" s="14" t="inlineStr">
        <is>
          <t>Money raised</t>
        </is>
      </c>
      <c r="B74" s="17" t="n">
        <v>6200</v>
      </c>
      <c r="C74" s="17" t="n">
        <v>0</v>
      </c>
    </row>
    <row r="75">
      <c r="A75" s="2" t="inlineStr">
        <is>
          <t>Nothing raised in one of the months, so there's no cost per dollar for it.</t>
        </is>
      </c>
    </row>
    <row r="76"/>
    <row r="77"/>
    <row r="78">
      <c r="A78" s="4" t="inlineStr">
        <is>
          <t>Cost to raise a dollar, fundraising events, year to date</t>
        </is>
      </c>
    </row>
    <row r="79">
      <c r="A79" s="12" t="inlineStr">
        <is>
          <t>Cost ÷ money raised, in cents</t>
        </is>
      </c>
    </row>
    <row r="80">
      <c r="A80" s="5" t="inlineStr"/>
      <c r="B80" s="6" t="inlineStr">
        <is>
          <t>Year to date</t>
        </is>
      </c>
    </row>
    <row r="81">
      <c r="A81" t="inlineStr">
        <is>
          <t>Cost, year to date</t>
        </is>
      </c>
      <c r="B81" s="13" t="n">
        <v>17800</v>
      </c>
    </row>
    <row r="82">
      <c r="A82" t="inlineStr">
        <is>
          <t>Raised, year to date</t>
        </is>
      </c>
      <c r="B82" s="13" t="n">
        <v>43000</v>
      </c>
    </row>
    <row r="83">
      <c r="A83" s="14" t="inlineStr">
        <is>
          <t>Cents, year to date</t>
        </is>
      </c>
      <c r="B83" s="15">
        <f>B81/B82*100</f>
        <v/>
      </c>
    </row>
    <row r="84">
      <c r="A84" s="2" t="inlineStr">
        <is>
          <t>Same period last year: Not available: the data starts October 2024.</t>
        </is>
      </c>
    </row>
    <row r="85"/>
    <row r="86"/>
    <row r="8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1" min="0" max="16383" man="1"/>
    <brk id="52" min="0" max="16383" man="1"/>
    <brk id="7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December 2025 · Data status: Nov 2025 locked · Dec 2025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2026-10-07T07:37:17Z</dcterms:created>
  <dcterms:modified xmlns:dcterms="http://purl.org/dc/terms/" xmlns:xsi="http://www.w3.org/2001/XMLSchema-instance" xsi:type="dcterms:W3CDTF">2026-10-07T07:37:17Z</dcterms:modified>
</cp:coreProperties>
</file>