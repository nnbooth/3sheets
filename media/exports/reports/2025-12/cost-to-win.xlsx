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December 2025</t>
        </is>
      </c>
      <c r="B8" s="6">
        <f>Workings!B10</f>
        <v/>
      </c>
      <c r="C8" s="7" t="inlineStr">
        <is>
          <t>November $227</t>
        </is>
      </c>
    </row>
    <row r="9">
      <c r="A9" t="inlineStr">
        <is>
          <t>December last year</t>
        </is>
      </c>
      <c r="B9" s="6">
        <f>Workings!B18</f>
        <v/>
      </c>
      <c r="C9" s="7" t="inlineStr">
        <is>
          <t>37 new customers from $7,800</t>
        </is>
      </c>
    </row>
    <row r="10">
      <c r="A10" t="inlineStr">
        <is>
          <t>Year to date (Jul to Dec 2025)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45 new customers came from $7,800 of marketing in December, against 37 from $8,400 in November: $173 each, down from $227.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10" t="inlineStr">
        <is>
          <t>Cost to win a customer, December and November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Dec 25</t>
        </is>
      </c>
      <c r="C7" s="5" t="inlineStr">
        <is>
          <t>Nov 25</t>
        </is>
      </c>
    </row>
    <row r="8">
      <c r="A8" t="inlineStr">
        <is>
          <t>Marketing spend (ledger)</t>
        </is>
      </c>
      <c r="B8" s="11" t="n">
        <v>7800</v>
      </c>
      <c r="C8" s="11" t="n">
        <v>8400</v>
      </c>
    </row>
    <row r="9">
      <c r="A9" t="inlineStr">
        <is>
          <t>New customers (first job ever)</t>
        </is>
      </c>
      <c r="B9" s="11" t="n">
        <v>45</v>
      </c>
      <c r="C9" s="11" t="n">
        <v>37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Dec 24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Dec 24</t>
        </is>
      </c>
    </row>
    <row r="16">
      <c r="A16" t="inlineStr">
        <is>
          <t>Marketing spend (ledger)</t>
        </is>
      </c>
      <c r="B16" s="11" t="n">
        <v>7800</v>
      </c>
    </row>
    <row r="17">
      <c r="A17" t="inlineStr">
        <is>
          <t>New customers (first job ever)</t>
        </is>
      </c>
      <c r="B17" s="11" t="n">
        <v>37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Dec 2025</t>
        </is>
      </c>
      <c r="B24" s="11" t="n">
        <v>50200</v>
      </c>
    </row>
    <row r="25">
      <c r="A25" t="inlineStr">
        <is>
          <t>New customers, Jul to Dec 2025</t>
        </is>
      </c>
      <c r="B25" s="11" t="n">
        <v>211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December 2025 · Data status: Nov 2025 locked · Dec 2025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  <row r="20">
      <c r="A20" s="14" t="inlineStr">
        <is>
          <t>Dec 25</t>
        </is>
      </c>
      <c r="B20" s="14" t="inlineStr">
        <is>
          <t>Locked</t>
        </is>
      </c>
      <c r="C20" s="11" t="n">
        <v>7800</v>
      </c>
      <c r="D20" s="11" t="n">
        <v>45</v>
      </c>
      <c r="E20" s="11">
        <f>C20/D20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