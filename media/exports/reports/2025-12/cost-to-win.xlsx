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December_2025">'Report'!$B$8</definedName>
    <definedName name="December_last_year">'Report'!$B$9</definedName>
    <definedName name="Year_to_date_Jul_to_Dec_2025">'Report'!$B$10</definedName>
    <definedName name="_xlnm.Print_Area" localSheetId="0">'Report'!$A$1:$D$18</definedName>
    <definedName name="_xlnm.Print_Area" localSheetId="1">'Workings'!$A$1:$C$27</definedName>
    <definedName name="_xlnm.Print_Titles" localSheetId="2">'Data'!$5:$5</definedName>
    <definedName name="_xlnm.Print_Area" localSheetId="2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'Data'!$A$6:$A$20</f>
            </numRef>
          </cat>
          <val>
            <numRef>
              <f>'Data'!$C$6:$C$20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0" headerRowCount="1">
  <autoFilter ref="A5:E20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9:35am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December 2025</t>
        </is>
      </c>
      <c r="B8" s="6">
        <f>Workings!B10</f>
        <v/>
      </c>
      <c r="C8" s="7" t="inlineStr">
        <is>
          <t>November $227</t>
        </is>
      </c>
    </row>
    <row r="9">
      <c r="A9" t="inlineStr">
        <is>
          <t>December last year</t>
        </is>
      </c>
      <c r="B9" s="6">
        <f>Workings!B18</f>
        <v/>
      </c>
      <c r="C9" s="7" t="inlineStr">
        <is>
          <t>37 new customers from $7,800</t>
        </is>
      </c>
    </row>
    <row r="10">
      <c r="A10" t="inlineStr">
        <is>
          <t>Year to date (Jul to Dec 2025)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45 new customers came from $7,800 of marketing in December, against 37 from $8,400 in November: $173 each, down from $227.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A lower cost per customer with steady spend usually means the marketing mix is working. Recording where each new customer came from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9:35am</t>
        </is>
      </c>
    </row>
    <row r="4"/>
    <row r="5">
      <c r="A5" s="10" t="inlineStr">
        <is>
          <t>Cost to win a customer, December and November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Dec 25</t>
        </is>
      </c>
      <c r="C7" s="5" t="inlineStr">
        <is>
          <t>Nov 25</t>
        </is>
      </c>
    </row>
    <row r="8">
      <c r="A8" t="inlineStr">
        <is>
          <t>Marketing spend (ledger)</t>
        </is>
      </c>
      <c r="B8" s="11" t="n">
        <v>7800</v>
      </c>
      <c r="C8" s="11" t="n">
        <v>8400</v>
      </c>
    </row>
    <row r="9">
      <c r="A9" t="inlineStr">
        <is>
          <t>New customers (first job ever)</t>
        </is>
      </c>
      <c r="B9" s="11" t="n">
        <v>45</v>
      </c>
      <c r="C9" s="11" t="n">
        <v>37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Dec 24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Dec 24</t>
        </is>
      </c>
    </row>
    <row r="16">
      <c r="A16" t="inlineStr">
        <is>
          <t>Marketing spend (ledger)</t>
        </is>
      </c>
      <c r="B16" s="11" t="n">
        <v>7800</v>
      </c>
    </row>
    <row r="17">
      <c r="A17" t="inlineStr">
        <is>
          <t>New customers (first job ever)</t>
        </is>
      </c>
      <c r="B17" s="11" t="n">
        <v>37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Dec 2025</t>
        </is>
      </c>
      <c r="B24" s="11" t="n">
        <v>50200</v>
      </c>
    </row>
    <row r="25">
      <c r="A25" t="inlineStr">
        <is>
          <t>New customers, Jul to Dec 2025</t>
        </is>
      </c>
      <c r="B25" s="11" t="n">
        <v>211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9:35am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  <row r="20">
      <c r="A20" s="14" t="inlineStr">
        <is>
          <t>Dec 25</t>
        </is>
      </c>
      <c r="B20" s="14" t="inlineStr">
        <is>
          <t>Locked</t>
        </is>
      </c>
      <c r="C20" s="11" t="n">
        <v>7800</v>
      </c>
      <c r="D20" s="11" t="n">
        <v>45</v>
      </c>
      <c r="E20" s="11">
        <f>C20/D20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8 Oct 2026, 9:35am&amp;R&amp;"Roboto,Regular"&amp;8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2026-10-07T23:35:52Z</dcterms:created>
  <dcterms:modified xmlns:dcterms="http://purl.org/dc/terms/" xmlns:xsi="http://www.w3.org/2001/XMLSchema-instance" xsi:type="dcterms:W3CDTF">2026-10-07T23:35:52Z</dcterms:modified>
</cp:coreProperties>
</file>