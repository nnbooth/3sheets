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Chart lines" sheetId="3" state="hidden" r:id="rId3"/>
    <sheet xmlns:r="http://schemas.openxmlformats.org/officeDocument/2006/relationships" name="Data" sheetId="4" state="visible" r:id="rId4"/>
  </sheets>
  <definedNames>
    <definedName name="Called_back_within_2_working_hours_December">'Report'!$B$9</definedName>
    <definedName name="Median_wait_December">'Report'!$B$10</definedName>
    <definedName name="Enquiries_December">'Report'!$B$11</definedName>
    <definedName name="_xlnm.Print_Area" localSheetId="0">'Report'!$A$1:$D$33</definedName>
    <definedName name="_xlnm.Print_Area" localSheetId="1">'Workings'!$A$1:$C$53</definedName>
    <definedName name="_xlnm.Print_Titles" localSheetId="3">'Data'!$5:$5</definedName>
    <definedName name="_xlnm.Print_Area" localSheetId="3">'Data'!$A$1:$G$20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.0%;[Red](0.0%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5342A"/>
    </font>
    <font>
      <name val="Roboto"/>
      <b val="1"/>
      <color rgb="00FFFFFF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20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right" vertical="center" wrapText="1"/>
    </xf>
    <xf numFmtId="165" fontId="0" fillId="0" borderId="0" pivotButton="0" quotePrefix="0" xfId="0"/>
    <xf numFmtId="0" fontId="9" fillId="0" borderId="0" applyAlignment="1" pivotButton="0" quotePrefix="0" xfId="0">
      <alignment indent="1"/>
    </xf>
    <xf numFmtId="164" fontId="0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10" fillId="0" borderId="0" pivotButton="0" quotePrefix="0" xfId="0"/>
    <xf numFmtId="0" fontId="6" fillId="0" borderId="0" pivotButton="0" quotePrefix="0" xfId="0"/>
    <xf numFmtId="164" fontId="0" fillId="0" borderId="0" applyAlignment="1" pivotButton="0" quotePrefix="0" xfId="0">
      <alignment horizontal="right"/>
    </xf>
    <xf numFmtId="0" fontId="8" fillId="0" borderId="1" pivotButton="0" quotePrefix="0" xfId="0"/>
    <xf numFmtId="165" fontId="8" fillId="0" borderId="1" applyAlignment="1" pivotButton="0" quotePrefix="0" xfId="0">
      <alignment horizontal="right"/>
    </xf>
    <xf numFmtId="164" fontId="8" fillId="0" borderId="1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Called back within 2 working hours, by channel, December 2025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Called back within 2 working hours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Pt>
            <idx val="0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Lbls>
            <numFmt formatCode="0.0%"/>
            <showLegendKey val="0"/>
            <showVal val="1"/>
            <showCatName val="0"/>
            <showSerName val="0"/>
            <showPercent val="0"/>
          </dLbls>
          <cat>
            <numRef>
              <f>'Report'!$A$15:$A$17</f>
            </numRef>
          </cat>
          <val>
            <numRef>
              <f>'Report'!$B$15:$B$17</f>
            </numRef>
          </val>
        </ser>
        <gapWidth val="60"/>
        <axId val="10"/>
        <axId val="100"/>
      </barChart>
      <scatterChart>
        <ser>
          <idx val="1"/>
          <order val="1"/>
          <tx>
            <v>Target 80.0%</v>
          </tx>
          <spPr>
            <a:ln xmlns:a="http://schemas.openxmlformats.org/drawingml/2006/main" w="19050">
              <a:solidFill>
                <a:srgbClr val="25342A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1"/>
              <txPr>
                <a:bodyPr xmlns:a="http://schemas.openxmlformats.org/drawingml/2006/main"/>
                <a:p xmlns:a="http://schemas.openxmlformats.org/drawingml/2006/main">
                  <a:pPr>
                    <a:defRPr sz="900" b="1">
                      <a:solidFill>
                        <a:srgbClr val="25342A"/>
                      </a:solidFill>
                      <a:latin typeface="Roboto"/>
                    </a:defRPr>
                  </a:pPr>
                  <a:r>
                    <a:t/>
                  </a:r>
                  <a:endParaRPr sz="900" b="1">
                    <a:solidFill>
                      <a:srgbClr val="25342A"/>
                    </a:solidFill>
                    <a:latin typeface="Roboto"/>
                  </a:endParaRPr>
                </a:p>
              </txPr>
              <dLblPos val="r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  <showPercent val="0"/>
          </dLbls>
          <xVal>
            <numRef>
              <f>'Chart lines'!$B$4:$B$5</f>
            </numRef>
          </xVal>
          <yVal>
            <numRef>
              <f>'Chart lines'!$C$4:$C$5</f>
            </numRef>
          </yVal>
          <smooth val="0"/>
        </ser>
        <axId val="500"/>
        <axId val="600"/>
      </scatte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0.9199999999999999"/>
          <min val="0"/>
        </scaling>
        <delete val="1"/>
        <axPos val="l"/>
        <numFmt formatCode="0.0%" sourceLinked="0"/>
        <majorTickMark val="none"/>
        <minorTickMark val="none"/>
        <crossAx val="10"/>
      </valAx>
      <valAx>
        <axId val="500"/>
        <scaling>
          <orientation val="minMax"/>
          <max val="0.9199999999999999"/>
          <min val="0"/>
        </scaling>
        <delete val="1"/>
        <axPos val="t"/>
        <majorTickMark val="none"/>
        <minorTickMark val="none"/>
        <crossAx val="600"/>
      </valAx>
      <valAx>
        <axId val="600"/>
        <scaling>
          <orientation val="minMax"/>
          <max val="1.08"/>
          <min val="0"/>
        </scaling>
        <delete val="1"/>
        <axPos val="r"/>
        <majorTickMark val="none"/>
        <minorTickMark val="none"/>
        <crossAx val="500"/>
        <crosses val="max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13</row>
      <rowOff>0</rowOff>
    </from>
    <ext cx="5400000" cy="219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allbacks_Data" displayName="callbacks_Data" ref="A5:G20" headerRowCount="1">
  <autoFilter ref="A5:G20"/>
  <tableColumns count="7">
    <tableColumn id="1" name="Month"/>
    <tableColumn id="2" name="Status"/>
    <tableColumn id="3" name="Enquiries"/>
    <tableColumn id="4" name="Called back"/>
    <tableColumn id="5" name="Within 2 working hours"/>
    <tableColumn id="6" name="Share within target"/>
    <tableColumn id="7" name="Median wait (min)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5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How long do customers wait for a callback?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December 2025 · Data status: Nov 2025 locked · Dec 2025 locked · Oct 2026 incomplete (data retrieved 2pm, Tue 6 Oct 2026) · Generated 10 Oct 2026, 9:55pm</t>
        </is>
      </c>
    </row>
    <row r="4"/>
    <row r="5" ht="32" customHeight="1">
      <c r="A5" s="3" t="inlineStr">
        <is>
          <t>In short: 70.6% called back within 2 working hours in December (target 80.0%); median wait 69 working minutes.</t>
        </is>
      </c>
    </row>
    <row r="6" ht="32" customHeight="1">
      <c r="A6" s="4" t="inlineStr">
        <is>
          <t>Every customer enquiry (phone, web form, email) and how long until someone first called back, in working minutes. Every call-out job has the enquiry that booked it.</t>
        </is>
      </c>
    </row>
    <row r="7"/>
    <row r="8">
      <c r="A8" s="5" t="inlineStr">
        <is>
          <t>Headline number</t>
        </is>
      </c>
      <c r="B8" s="6" t="inlineStr">
        <is>
          <t>Value</t>
        </is>
      </c>
      <c r="C8" s="6" t="inlineStr">
        <is>
          <t>Compared with</t>
        </is>
      </c>
    </row>
    <row r="9">
      <c r="A9" t="inlineStr">
        <is>
          <t>Called back within 2 working hours, December</t>
        </is>
      </c>
      <c r="B9" s="7">
        <f>Workings!B10</f>
        <v/>
      </c>
      <c r="C9" s="8" t="inlineStr">
        <is>
          <t>target 80.0% · November 66.7%</t>
        </is>
      </c>
    </row>
    <row r="10">
      <c r="A10" t="inlineStr">
        <is>
          <t>Median wait, December</t>
        </is>
      </c>
      <c r="B10" s="9">
        <f>Workings!B16</f>
        <v/>
      </c>
      <c r="C10" s="8" t="inlineStr">
        <is>
          <t>November 79 min (working minutes)</t>
        </is>
      </c>
    </row>
    <row r="11">
      <c r="A11" t="inlineStr">
        <is>
          <t>Enquiries, December</t>
        </is>
      </c>
      <c r="B11" s="9">
        <f>Workings!B25</f>
        <v/>
      </c>
      <c r="C11" s="8" t="inlineStr">
        <is>
          <t>November 84</t>
        </is>
      </c>
    </row>
    <row r="12"/>
    <row r="13">
      <c r="A13" s="10" t="inlineStr">
        <is>
          <t>Called back within 2 working hours, by channel, December 2025</t>
        </is>
      </c>
    </row>
    <row r="14">
      <c r="A14" s="5" t="inlineStr"/>
      <c r="B14" s="6" t="inlineStr">
        <is>
          <t>Called back within 2 working hours</t>
        </is>
      </c>
    </row>
    <row r="15">
      <c r="A15" t="inlineStr">
        <is>
          <t>Phone</t>
        </is>
      </c>
      <c r="B15" s="7">
        <f>Workings!B37</f>
        <v/>
      </c>
    </row>
    <row r="16">
      <c r="A16" t="inlineStr">
        <is>
          <t>Web form</t>
        </is>
      </c>
      <c r="B16" s="7">
        <f>Workings!B45</f>
        <v/>
      </c>
    </row>
    <row r="17">
      <c r="A17" t="inlineStr">
        <is>
          <t>Email</t>
        </is>
      </c>
      <c r="B17" s="7">
        <f>Workings!B53</f>
        <v/>
      </c>
    </row>
    <row r="18"/>
    <row r="19"/>
    <row r="20"/>
    <row r="21"/>
    <row r="22"/>
    <row r="23"/>
    <row r="24"/>
    <row r="25"/>
    <row r="26"/>
    <row r="27">
      <c r="A27" s="11" t="inlineStr">
        <is>
          <t>Callbacks by month: every month is on the Data sheet.</t>
        </is>
      </c>
    </row>
    <row r="28"/>
    <row r="29">
      <c r="A29" s="12" t="inlineStr">
        <is>
          <t>What it shows</t>
        </is>
      </c>
    </row>
    <row r="30" ht="30" customHeight="1">
      <c r="A30" s="4" t="inlineStr">
        <is>
          <t>70.6% of the 119 enquiries called back in December heard back within 2 working hours (target 80.0%), up from 66.7% in November. The median wait was 69 working minutes.</t>
        </is>
      </c>
    </row>
    <row r="31"/>
    <row r="32">
      <c r="A32" s="12" t="inlineStr">
        <is>
          <t>What you'd do about it</t>
        </is>
      </c>
    </row>
    <row r="33" ht="30" customHeight="1">
      <c r="A33" s="4" t="inlineStr">
        <is>
          <t>11 more enquiries would have needed a faster callback to reach the 80.0% target. Email enquiries are the slowest: 60.0% within 2 working hours.</t>
        </is>
      </c>
    </row>
    <row r="34"/>
    <row r="35"/>
  </sheetData>
  <mergeCells count="4">
    <mergeCell ref="A5:D5"/>
    <mergeCell ref="A33:D33"/>
    <mergeCell ref="A30:D30"/>
    <mergeCell ref="A6:D6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callbacks.xlsx&amp;C&amp;"Roboto,Regular"&amp;8 Data retrieved 2pm, Tue 6 Oct 2026 · Generated 10 Oct 2026, 9:55pm&amp;R&amp;"Roboto,Regular"&amp;8 Page &amp;P of &amp;N</oddFooter>
    <evenHeader/>
    <evenFooter/>
    <firstHeader/>
    <firstFooter/>
  </headerFooter>
  <rowBreaks count="1" manualBreakCount="1">
    <brk id="28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56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December 2025 · Data status: Nov 2025 locked · Dec 2025 locked · Oct 2026 incomplete (data retrieved 2pm, Tue 6 Oct 2026) · Generated 10 Oct 2026, 9:55pm</t>
        </is>
      </c>
    </row>
    <row r="4"/>
    <row r="5">
      <c r="A5" s="13" t="inlineStr">
        <is>
          <t>Callbacks within 2 working hours, December and November</t>
        </is>
      </c>
    </row>
    <row r="6">
      <c r="A6" s="11" t="inlineStr">
        <is>
          <t>Within 2 working hours ÷ called back</t>
        </is>
      </c>
    </row>
    <row r="7">
      <c r="A7" s="5" t="inlineStr"/>
      <c r="B7" s="6" t="inlineStr">
        <is>
          <t>Dec 25</t>
        </is>
      </c>
      <c r="C7" s="6" t="inlineStr">
        <is>
          <t>Nov 25</t>
        </is>
      </c>
    </row>
    <row r="8">
      <c r="A8" t="inlineStr">
        <is>
          <t>Called back</t>
        </is>
      </c>
      <c r="B8" s="14" t="n">
        <v>119</v>
      </c>
      <c r="C8" s="14" t="n">
        <v>84</v>
      </c>
    </row>
    <row r="9">
      <c r="A9" t="inlineStr">
        <is>
          <t>Within 2 working hours</t>
        </is>
      </c>
      <c r="B9" s="14" t="n">
        <v>84</v>
      </c>
      <c r="C9" s="14" t="n">
        <v>56</v>
      </c>
    </row>
    <row r="10">
      <c r="A10" s="15" t="inlineStr">
        <is>
          <t>Share</t>
        </is>
      </c>
      <c r="B10" s="16">
        <f>B9/B8</f>
        <v/>
      </c>
      <c r="C10" s="16">
        <f>C9/C8</f>
        <v/>
      </c>
    </row>
    <row r="11"/>
    <row r="12"/>
    <row r="13">
      <c r="A13" s="13" t="inlineStr">
        <is>
          <t>Median wait for a callback, December and November</t>
        </is>
      </c>
    </row>
    <row r="14">
      <c r="A14" s="11" t="inlineStr">
        <is>
          <t>The middle wait, in working minutes</t>
        </is>
      </c>
    </row>
    <row r="15">
      <c r="A15" s="5" t="inlineStr"/>
      <c r="B15" s="6" t="inlineStr">
        <is>
          <t>Dec 25</t>
        </is>
      </c>
      <c r="C15" s="6" t="inlineStr">
        <is>
          <t>Nov 25</t>
        </is>
      </c>
    </row>
    <row r="16">
      <c r="A16" t="inlineStr">
        <is>
          <t>Median wait (working minutes)</t>
        </is>
      </c>
      <c r="B16" s="14" t="n">
        <v>69</v>
      </c>
      <c r="C16" s="14" t="n">
        <v>79</v>
      </c>
    </row>
    <row r="17">
      <c r="A17" s="15" t="inlineStr">
        <is>
          <t>Enquiries called back</t>
        </is>
      </c>
      <c r="B17" s="17" t="n">
        <v>119</v>
      </c>
      <c r="C17" s="17" t="n">
        <v>84</v>
      </c>
    </row>
    <row r="18">
      <c r="A18" s="2" t="inlineStr">
        <is>
          <t>Working minutes: 8:30am to 5pm on working days.</t>
        </is>
      </c>
    </row>
    <row r="19"/>
    <row r="20"/>
    <row r="21">
      <c r="A21" s="13" t="inlineStr">
        <is>
          <t>Callbacks, Dec 25</t>
        </is>
      </c>
    </row>
    <row r="22">
      <c r="A22" s="11" t="inlineStr">
        <is>
          <t>Enquiries called back within 2 working hours ÷ enquiries called back</t>
        </is>
      </c>
    </row>
    <row r="23">
      <c r="A23" s="5" t="inlineStr"/>
      <c r="B23" s="6" t="inlineStr">
        <is>
          <t>Dec 25</t>
        </is>
      </c>
    </row>
    <row r="24">
      <c r="A24" t="inlineStr">
        <is>
          <t>Enquiries</t>
        </is>
      </c>
      <c r="B24" s="14" t="n">
        <v>119</v>
      </c>
    </row>
    <row r="25">
      <c r="A25" t="inlineStr">
        <is>
          <t>Called back</t>
        </is>
      </c>
      <c r="B25" s="14" t="n">
        <v>119</v>
      </c>
    </row>
    <row r="26">
      <c r="A26" t="inlineStr">
        <is>
          <t>Called back within 2 working hours</t>
        </is>
      </c>
      <c r="B26" s="14" t="n">
        <v>84</v>
      </c>
    </row>
    <row r="27">
      <c r="A27" t="inlineStr">
        <is>
          <t>Share within 2 working hours</t>
        </is>
      </c>
      <c r="B27" s="18">
        <f>B26/B25</f>
        <v/>
      </c>
    </row>
    <row r="28">
      <c r="A28" s="15" t="inlineStr">
        <is>
          <t>Median wait (working minutes)</t>
        </is>
      </c>
      <c r="B28" s="17" t="n">
        <v>69</v>
      </c>
    </row>
    <row r="29">
      <c r="A29" s="2" t="inlineStr">
        <is>
          <t>Working minutes only: 8:30am to 5pm on working days. The median is the middle wait when every callback is lined up.</t>
        </is>
      </c>
    </row>
    <row r="30"/>
    <row r="31"/>
    <row r="32">
      <c r="A32" s="13" t="inlineStr">
        <is>
          <t>Phone: callbacks, December 2025</t>
        </is>
      </c>
    </row>
    <row r="33">
      <c r="A33" s="11" t="inlineStr">
        <is>
          <t>Within 2 working hours ÷ called back</t>
        </is>
      </c>
    </row>
    <row r="34">
      <c r="A34" s="5" t="inlineStr"/>
      <c r="B34" s="6" t="inlineStr">
        <is>
          <t>Dec 2025</t>
        </is>
      </c>
    </row>
    <row r="35">
      <c r="A35" t="inlineStr">
        <is>
          <t>Called back</t>
        </is>
      </c>
      <c r="B35" s="14" t="n">
        <v>74</v>
      </c>
    </row>
    <row r="36">
      <c r="A36" t="inlineStr">
        <is>
          <t>Within 2 working hours</t>
        </is>
      </c>
      <c r="B36" s="14" t="n">
        <v>54</v>
      </c>
    </row>
    <row r="37">
      <c r="A37" s="15" t="inlineStr">
        <is>
          <t>Share</t>
        </is>
      </c>
      <c r="B37" s="16">
        <f>B36/B35</f>
        <v/>
      </c>
    </row>
    <row r="38"/>
    <row r="39"/>
    <row r="40">
      <c r="A40" s="13" t="inlineStr">
        <is>
          <t>Web form: callbacks, December 2025</t>
        </is>
      </c>
    </row>
    <row r="41">
      <c r="A41" s="11" t="inlineStr">
        <is>
          <t>Within 2 working hours ÷ called back</t>
        </is>
      </c>
    </row>
    <row r="42">
      <c r="A42" s="5" t="inlineStr"/>
      <c r="B42" s="6" t="inlineStr">
        <is>
          <t>Dec 2025</t>
        </is>
      </c>
    </row>
    <row r="43">
      <c r="A43" t="inlineStr">
        <is>
          <t>Called back</t>
        </is>
      </c>
      <c r="B43" s="14" t="n">
        <v>30</v>
      </c>
    </row>
    <row r="44">
      <c r="A44" t="inlineStr">
        <is>
          <t>Within 2 working hours</t>
        </is>
      </c>
      <c r="B44" s="14" t="n">
        <v>21</v>
      </c>
    </row>
    <row r="45">
      <c r="A45" s="15" t="inlineStr">
        <is>
          <t>Share</t>
        </is>
      </c>
      <c r="B45" s="16">
        <f>B44/B43</f>
        <v/>
      </c>
    </row>
    <row r="46"/>
    <row r="47"/>
    <row r="48">
      <c r="A48" s="13" t="inlineStr">
        <is>
          <t>Email: callbacks, December 2025</t>
        </is>
      </c>
    </row>
    <row r="49">
      <c r="A49" s="11" t="inlineStr">
        <is>
          <t>Within 2 working hours ÷ called back</t>
        </is>
      </c>
    </row>
    <row r="50">
      <c r="A50" s="5" t="inlineStr"/>
      <c r="B50" s="6" t="inlineStr">
        <is>
          <t>Dec 2025</t>
        </is>
      </c>
    </row>
    <row r="51">
      <c r="A51" t="inlineStr">
        <is>
          <t>Called back</t>
        </is>
      </c>
      <c r="B51" s="14" t="n">
        <v>15</v>
      </c>
    </row>
    <row r="52">
      <c r="A52" t="inlineStr">
        <is>
          <t>Within 2 working hours</t>
        </is>
      </c>
      <c r="B52" s="14" t="n">
        <v>9</v>
      </c>
    </row>
    <row r="53">
      <c r="A53" s="15" t="inlineStr">
        <is>
          <t>Share</t>
        </is>
      </c>
      <c r="B53" s="16">
        <f>B52/B51</f>
        <v/>
      </c>
    </row>
    <row r="54"/>
    <row r="55"/>
    <row r="56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callbacks.xlsx&amp;C&amp;"Roboto,Regular"&amp;8 Data retrieved 2pm, Tue 6 Oct 2026 · Generated 10 Oct 2026, 9:55pm&amp;R&amp;"Roboto,Regular"&amp;8 Page &amp;P of &amp;N</oddFooter>
    <evenHeader/>
    <evenFooter/>
    <firstHeader/>
    <firstFooter/>
  </headerFooter>
  <rowBreaks count="1" manualBreakCount="1">
    <brk id="31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Points for the target and break-even lines drawn on the charts (hidden sheet; edit the values on the chart's own sheet).</t>
        </is>
      </c>
    </row>
    <row r="2"/>
    <row r="3">
      <c r="A3" t="inlineStr">
        <is>
          <t>Report: Called back within 2 working hours, by channel, December 2025: Target 80.0%</t>
        </is>
      </c>
    </row>
    <row r="4">
      <c r="B4" t="n">
        <v>0.8</v>
      </c>
      <c r="C4" t="n">
        <v>0</v>
      </c>
    </row>
    <row r="5">
      <c r="B5" t="n">
        <v>0.8</v>
      </c>
      <c r="C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2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Data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December 2025 · Data status: Nov 2025 locked · Dec 2025 locked · Oct 2026 incomplete (data retrieved 2pm, Tue 6 Oct 2026) · Generated 10 Oct 2026, 9:55pm</t>
        </is>
      </c>
    </row>
    <row r="4"/>
    <row r="5">
      <c r="A5" s="5" t="inlineStr">
        <is>
          <t>Month</t>
        </is>
      </c>
      <c r="B5" s="6" t="inlineStr">
        <is>
          <t>Status</t>
        </is>
      </c>
      <c r="C5" s="6" t="inlineStr">
        <is>
          <t>Enquiries</t>
        </is>
      </c>
      <c r="D5" s="6" t="inlineStr">
        <is>
          <t>Called back</t>
        </is>
      </c>
      <c r="E5" s="6" t="inlineStr">
        <is>
          <t>Within 2 working hours</t>
        </is>
      </c>
      <c r="F5" s="6" t="inlineStr">
        <is>
          <t>Share within target</t>
        </is>
      </c>
      <c r="G5" s="6" t="inlineStr">
        <is>
          <t>Median wait (min)</t>
        </is>
      </c>
    </row>
    <row r="6">
      <c r="A6" s="19" t="inlineStr">
        <is>
          <t>Oct 24</t>
        </is>
      </c>
      <c r="B6" s="19" t="inlineStr">
        <is>
          <t>Locked</t>
        </is>
      </c>
      <c r="C6" s="14" t="n">
        <v>96</v>
      </c>
      <c r="D6" s="14" t="n">
        <v>96</v>
      </c>
      <c r="E6" s="14" t="n">
        <v>83</v>
      </c>
      <c r="F6" s="18">
        <f>IF(D6=0,"",E6/D6)</f>
        <v/>
      </c>
      <c r="G6" s="14" t="n">
        <v>40</v>
      </c>
    </row>
    <row r="7">
      <c r="A7" s="19" t="inlineStr">
        <is>
          <t>Nov 24</t>
        </is>
      </c>
      <c r="B7" s="19" t="inlineStr">
        <is>
          <t>Locked</t>
        </is>
      </c>
      <c r="C7" s="14" t="n">
        <v>102</v>
      </c>
      <c r="D7" s="14" t="n">
        <v>102</v>
      </c>
      <c r="E7" s="14" t="n">
        <v>87</v>
      </c>
      <c r="F7" s="18">
        <f>IF(D7=0,"",E7/D7)</f>
        <v/>
      </c>
      <c r="G7" s="14" t="n">
        <v>36</v>
      </c>
    </row>
    <row r="8">
      <c r="A8" s="19" t="inlineStr">
        <is>
          <t>Dec 24</t>
        </is>
      </c>
      <c r="B8" s="19" t="inlineStr">
        <is>
          <t>Locked</t>
        </is>
      </c>
      <c r="C8" s="14" t="n">
        <v>121</v>
      </c>
      <c r="D8" s="14" t="n">
        <v>121</v>
      </c>
      <c r="E8" s="14" t="n">
        <v>100</v>
      </c>
      <c r="F8" s="18">
        <f>IF(D8=0,"",E8/D8)</f>
        <v/>
      </c>
      <c r="G8" s="14" t="n">
        <v>38</v>
      </c>
    </row>
    <row r="9">
      <c r="A9" s="19" t="inlineStr">
        <is>
          <t>Jan 25</t>
        </is>
      </c>
      <c r="B9" s="19" t="inlineStr">
        <is>
          <t>Locked</t>
        </is>
      </c>
      <c r="C9" s="14" t="n">
        <v>117</v>
      </c>
      <c r="D9" s="14" t="n">
        <v>117</v>
      </c>
      <c r="E9" s="14" t="n">
        <v>93</v>
      </c>
      <c r="F9" s="18">
        <f>IF(D9=0,"",E9/D9)</f>
        <v/>
      </c>
      <c r="G9" s="14" t="n">
        <v>44</v>
      </c>
    </row>
    <row r="10">
      <c r="A10" s="19" t="inlineStr">
        <is>
          <t>Feb 25</t>
        </is>
      </c>
      <c r="B10" s="19" t="inlineStr">
        <is>
          <t>Locked</t>
        </is>
      </c>
      <c r="C10" s="14" t="n">
        <v>97</v>
      </c>
      <c r="D10" s="14" t="n">
        <v>97</v>
      </c>
      <c r="E10" s="14" t="n">
        <v>72</v>
      </c>
      <c r="F10" s="18">
        <f>IF(D10=0,"",E10/D10)</f>
        <v/>
      </c>
      <c r="G10" s="14" t="n">
        <v>51</v>
      </c>
    </row>
    <row r="11">
      <c r="A11" s="19" t="inlineStr">
        <is>
          <t>Mar 25</t>
        </is>
      </c>
      <c r="B11" s="19" t="inlineStr">
        <is>
          <t>Locked</t>
        </is>
      </c>
      <c r="C11" s="14" t="n">
        <v>96</v>
      </c>
      <c r="D11" s="14" t="n">
        <v>96</v>
      </c>
      <c r="E11" s="14" t="n">
        <v>70</v>
      </c>
      <c r="F11" s="18">
        <f>IF(D11=0,"",E11/D11)</f>
        <v/>
      </c>
      <c r="G11" s="14" t="n">
        <v>66</v>
      </c>
    </row>
    <row r="12">
      <c r="A12" s="19" t="inlineStr">
        <is>
          <t>Apr 25</t>
        </is>
      </c>
      <c r="B12" s="19" t="inlineStr">
        <is>
          <t>Locked</t>
        </is>
      </c>
      <c r="C12" s="14" t="n">
        <v>90</v>
      </c>
      <c r="D12" s="14" t="n">
        <v>90</v>
      </c>
      <c r="E12" s="14" t="n">
        <v>64</v>
      </c>
      <c r="F12" s="18">
        <f>IF(D12=0,"",E12/D12)</f>
        <v/>
      </c>
      <c r="G12" s="14" t="n">
        <v>71</v>
      </c>
    </row>
    <row r="13">
      <c r="A13" s="19" t="inlineStr">
        <is>
          <t>May 25</t>
        </is>
      </c>
      <c r="B13" s="19" t="inlineStr">
        <is>
          <t>Locked</t>
        </is>
      </c>
      <c r="C13" s="14" t="n">
        <v>96</v>
      </c>
      <c r="D13" s="14" t="n">
        <v>96</v>
      </c>
      <c r="E13" s="14" t="n">
        <v>71</v>
      </c>
      <c r="F13" s="18">
        <f>IF(D13=0,"",E13/D13)</f>
        <v/>
      </c>
      <c r="G13" s="14" t="n">
        <v>55</v>
      </c>
    </row>
    <row r="14">
      <c r="A14" s="19" t="inlineStr">
        <is>
          <t>Jun 25</t>
        </is>
      </c>
      <c r="B14" s="19" t="inlineStr">
        <is>
          <t>Locked</t>
        </is>
      </c>
      <c r="C14" s="14" t="n">
        <v>94</v>
      </c>
      <c r="D14" s="14" t="n">
        <v>94</v>
      </c>
      <c r="E14" s="14" t="n">
        <v>64</v>
      </c>
      <c r="F14" s="18">
        <f>IF(D14=0,"",E14/D14)</f>
        <v/>
      </c>
      <c r="G14" s="14" t="n">
        <v>72</v>
      </c>
    </row>
    <row r="15">
      <c r="A15" s="19" t="inlineStr">
        <is>
          <t>Jul 25</t>
        </is>
      </c>
      <c r="B15" s="19" t="inlineStr">
        <is>
          <t>Locked</t>
        </is>
      </c>
      <c r="C15" s="14" t="n">
        <v>96</v>
      </c>
      <c r="D15" s="14" t="n">
        <v>96</v>
      </c>
      <c r="E15" s="14" t="n">
        <v>64</v>
      </c>
      <c r="F15" s="18">
        <f>IF(D15=0,"",E15/D15)</f>
        <v/>
      </c>
      <c r="G15" s="14" t="n">
        <v>67</v>
      </c>
    </row>
    <row r="16">
      <c r="A16" s="19" t="inlineStr">
        <is>
          <t>Aug 25</t>
        </is>
      </c>
      <c r="B16" s="19" t="inlineStr">
        <is>
          <t>Locked</t>
        </is>
      </c>
      <c r="C16" s="14" t="n">
        <v>98</v>
      </c>
      <c r="D16" s="14" t="n">
        <v>98</v>
      </c>
      <c r="E16" s="14" t="n">
        <v>65</v>
      </c>
      <c r="F16" s="18">
        <f>IF(D16=0,"",E16/D16)</f>
        <v/>
      </c>
      <c r="G16" s="14" t="n">
        <v>76</v>
      </c>
    </row>
    <row r="17">
      <c r="A17" s="19" t="inlineStr">
        <is>
          <t>Sep 25</t>
        </is>
      </c>
      <c r="B17" s="19" t="inlineStr">
        <is>
          <t>Locked</t>
        </is>
      </c>
      <c r="C17" s="14" t="n">
        <v>109</v>
      </c>
      <c r="D17" s="14" t="n">
        <v>109</v>
      </c>
      <c r="E17" s="14" t="n">
        <v>76</v>
      </c>
      <c r="F17" s="18">
        <f>IF(D17=0,"",E17/D17)</f>
        <v/>
      </c>
      <c r="G17" s="14" t="n">
        <v>82</v>
      </c>
    </row>
    <row r="18">
      <c r="A18" s="19" t="inlineStr">
        <is>
          <t>Oct 25</t>
        </is>
      </c>
      <c r="B18" s="19" t="inlineStr">
        <is>
          <t>Locked</t>
        </is>
      </c>
      <c r="C18" s="14" t="n">
        <v>100</v>
      </c>
      <c r="D18" s="14" t="n">
        <v>100</v>
      </c>
      <c r="E18" s="14" t="n">
        <v>67</v>
      </c>
      <c r="F18" s="18">
        <f>IF(D18=0,"",E18/D18)</f>
        <v/>
      </c>
      <c r="G18" s="14" t="n">
        <v>75</v>
      </c>
    </row>
    <row r="19">
      <c r="A19" s="19" t="inlineStr">
        <is>
          <t>Nov 25</t>
        </is>
      </c>
      <c r="B19" s="19" t="inlineStr">
        <is>
          <t>Locked</t>
        </is>
      </c>
      <c r="C19" s="14" t="n">
        <v>84</v>
      </c>
      <c r="D19" s="14" t="n">
        <v>84</v>
      </c>
      <c r="E19" s="14" t="n">
        <v>56</v>
      </c>
      <c r="F19" s="18">
        <f>IF(D19=0,"",E19/D19)</f>
        <v/>
      </c>
      <c r="G19" s="14" t="n">
        <v>79</v>
      </c>
    </row>
    <row r="20">
      <c r="A20" s="19" t="inlineStr">
        <is>
          <t>Dec 25</t>
        </is>
      </c>
      <c r="B20" s="19" t="inlineStr">
        <is>
          <t>Locked</t>
        </is>
      </c>
      <c r="C20" s="14" t="n">
        <v>119</v>
      </c>
      <c r="D20" s="14" t="n">
        <v>119</v>
      </c>
      <c r="E20" s="14" t="n">
        <v>84</v>
      </c>
      <c r="F20" s="18">
        <f>IF(D20=0,"",E20/D20)</f>
        <v/>
      </c>
      <c r="G20" s="14" t="n">
        <v>69</v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callbacks.xlsx&amp;C&amp;"Roboto,Regular"&amp;8 Data retrieved 2pm, Tue 6 Oct 2026 · Generated 10 Oct 2026, 9:55pm&amp;R&amp;"Roboto,Regular"&amp;8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2026-10-10T11:56:55Z</dcterms:created>
  <dcterms:modified xmlns:dcterms="http://purl.org/dc/terms/" xmlns:xsi="http://www.w3.org/2001/XMLSchema-instance" xsi:type="dcterms:W3CDTF">2026-10-10T11:56:55Z</dcterms:modified>
</cp:coreProperties>
</file>