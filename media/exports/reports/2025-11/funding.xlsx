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_xlnm.Print_Titles" localSheetId="2">'Data'!$5:$5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¢&quot;;[Red](0&quot;¢&quot;)"/>
    <numFmt numFmtId="165" formatCode="#,##0;[Red](#,##0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F7A5D"/>
      <sz val="12"/>
    </font>
    <font>
      <name val="Roboto"/>
      <b val="1"/>
      <color rgb="0025342A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b val="1"/>
      <color rgb="002F7A5D"/>
    </font>
    <font>
      <name val="Roboto"/>
      <color rgb="005F6F63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7" fillId="0" borderId="0" pivotButton="0" quotePrefix="0" xfId="0"/>
    <xf numFmtId="165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5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  <col width="13" customWidth="1" min="5" max="5"/>
  </cols>
  <sheetData>
    <row r="1">
      <c r="A1" s="1" t="inlineStr">
        <is>
          <t>Which funding is worth chasing?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November 2025 · Data status: Oct 2025 locked · Nov 2025 locked · Oct 2026 incomplete (data retrieved 2pm, Tue 6 Oct 2026)</t>
        </is>
      </c>
    </row>
    <row r="4"/>
    <row r="5" ht="32" customHeight="1">
      <c r="A5" s="3" t="inlineStr">
        <is>
          <t>Each source of money compared on what it raises and what it costs to raise. Pick a source and every chart, table row and note follows it.</t>
        </is>
      </c>
    </row>
    <row r="6"/>
    <row r="7">
      <c r="A7" s="4" t="inlineStr">
        <is>
          <t>Source: All sources</t>
        </is>
      </c>
    </row>
    <row r="8">
      <c r="A8" s="5" t="inlineStr">
        <is>
          <t>Cost to raise a dollar, by source, November 2025 (cents)</t>
        </is>
      </c>
    </row>
    <row r="9">
      <c r="A9" s="6" t="inlineStr"/>
      <c r="B9" s="7" t="inlineStr">
        <is>
          <t>Value</t>
        </is>
      </c>
    </row>
    <row r="10">
      <c r="A10" t="inlineStr">
        <is>
          <t>Grants</t>
        </is>
      </c>
      <c r="B10" s="8" t="n">
        <v>10</v>
      </c>
    </row>
    <row r="11">
      <c r="A11" t="inlineStr">
        <is>
          <t>Donations</t>
        </is>
      </c>
      <c r="B11" s="8" t="n">
        <v>17</v>
      </c>
    </row>
    <row r="12"/>
    <row r="13">
      <c r="A13" s="9" t="inlineStr">
        <is>
          <t>What it shows</t>
        </is>
      </c>
    </row>
    <row r="14" ht="30" customHeight="1">
      <c r="A14" s="3" t="inlineStr">
        <is>
          <t>In November it cost: Grants 10¢, donations 17¢ to raise each dollar.</t>
        </is>
      </c>
    </row>
    <row r="15"/>
    <row r="16">
      <c r="A16" s="9" t="inlineStr">
        <is>
          <t>What you'd do about it</t>
        </is>
      </c>
    </row>
    <row r="17" ht="30" customHeight="1">
      <c r="A17" s="3" t="inlineStr">
        <is>
          <t>Cheapest to raise in November: grants (10¢ a dollar). Dearest: donations (17¢). Events are worth counting for what else they bring too (new donors, profile).</t>
        </is>
      </c>
    </row>
    <row r="18"/>
    <row r="19">
      <c r="A19" s="4" t="inlineStr">
        <is>
          <t>Source: Grants</t>
        </is>
      </c>
    </row>
    <row r="20">
      <c r="A20" s="9" t="inlineStr">
        <is>
          <t>What it shows</t>
        </is>
      </c>
    </row>
    <row r="21" ht="30" customHeight="1">
      <c r="A21" s="3" t="inlineStr">
        <is>
          <t>Grants: $322,093 raised this financial year to date (73.3% of everything raised), $35,500 to raise it, so $286,593 left for programs: 11¢ per dollar.</t>
        </is>
      </c>
    </row>
    <row r="22"/>
    <row r="23">
      <c r="A23" s="9" t="inlineStr">
        <is>
          <t>What you'd do about it</t>
        </is>
      </c>
    </row>
    <row r="24" ht="30" customHeight="1">
      <c r="A24" s="3" t="inlineStr">
        <is>
          <t>Most of the money, and usually the cheapest to raise, starting with grants that renew.</t>
        </is>
      </c>
    </row>
    <row r="25"/>
    <row r="26">
      <c r="A26" s="4" t="inlineStr">
        <is>
          <t>Source: Donations</t>
        </is>
      </c>
    </row>
    <row r="27">
      <c r="A27" s="9" t="inlineStr">
        <is>
          <t>What it shows</t>
        </is>
      </c>
    </row>
    <row r="28" ht="30" customHeight="1">
      <c r="A28" s="3" t="inlineStr">
        <is>
          <t>Donations: $80,500 raised this financial year to date (18.3% of everything raised), $11,900 to raise it, so $68,600 left for programs: 15¢ per dollar.</t>
        </is>
      </c>
    </row>
    <row r="29"/>
    <row r="30">
      <c r="A30" s="9" t="inlineStr">
        <is>
          <t>What you'd do about it</t>
        </is>
      </c>
    </row>
    <row r="31" ht="30" customHeight="1">
      <c r="A31" s="3" t="inlineStr">
        <is>
          <t>Cheap and flexible (untied): the money that builds reserves.</t>
        </is>
      </c>
    </row>
    <row r="32"/>
    <row r="33">
      <c r="A33" s="4" t="inlineStr">
        <is>
          <t>Source: Fundraising events</t>
        </is>
      </c>
    </row>
    <row r="34">
      <c r="A34" s="9" t="inlineStr">
        <is>
          <t>What it shows</t>
        </is>
      </c>
    </row>
    <row r="35" ht="30" customHeight="1">
      <c r="A35" s="3" t="inlineStr">
        <is>
          <t>Fundraising events: $36,800 raised this financial year to date (8.4% of everything raised), $15,200 to raise it, so $21,600 left for programs: 41¢ per dollar.</t>
        </is>
      </c>
    </row>
    <row r="36"/>
    <row r="37">
      <c r="A37" s="9" t="inlineStr">
        <is>
          <t>What you'd do about it</t>
        </is>
      </c>
    </row>
    <row r="38" ht="30" customHeight="1">
      <c r="A38" s="3" t="inlineStr">
        <is>
          <t>The dearest per dollar: worth measuring the new donors each event brings in too.</t>
        </is>
      </c>
    </row>
    <row r="39"/>
    <row r="40">
      <c r="A40" s="4" t="inlineStr">
        <is>
          <t>Every source at once</t>
        </is>
      </c>
    </row>
    <row r="41">
      <c r="A41" s="6" t="inlineStr">
        <is>
          <t>Headline number</t>
        </is>
      </c>
      <c r="B41" s="7" t="inlineStr">
        <is>
          <t>Value</t>
        </is>
      </c>
      <c r="C41" s="7" t="inlineStr">
        <is>
          <t>Compared with</t>
        </is>
      </c>
    </row>
    <row r="42">
      <c r="A42" t="inlineStr">
        <is>
          <t>Cheapest to raise: Grants</t>
        </is>
      </c>
      <c r="B42" s="8">
        <f>Workings!B25</f>
        <v/>
      </c>
      <c r="C42" s="10" t="inlineStr">
        <is>
          <t>per $1 raised in November</t>
        </is>
      </c>
    </row>
    <row r="43">
      <c r="A43" t="inlineStr">
        <is>
          <t>Dearest to raise: Donations</t>
        </is>
      </c>
      <c r="B43" s="8">
        <f>Workings!B37</f>
        <v/>
      </c>
      <c r="C43" s="10" t="inlineStr">
        <is>
          <t>per $1 raised in November</t>
        </is>
      </c>
    </row>
    <row r="44">
      <c r="A44" t="inlineStr">
        <is>
          <t>Raised, year to date</t>
        </is>
      </c>
      <c r="B44" s="11">
        <f>Workings!B47</f>
        <v/>
      </c>
      <c r="C44" s="10" t="inlineStr">
        <is>
          <t>Jul to Nov 2025</t>
        </is>
      </c>
    </row>
    <row r="45"/>
    <row r="46">
      <c r="A46" s="5" t="inlineStr">
        <is>
          <t>Financial year to date (Jul to Nov 2025), by source</t>
        </is>
      </c>
    </row>
    <row r="47">
      <c r="A47" s="6" t="inlineStr"/>
      <c r="B47" s="7" t="inlineStr">
        <is>
          <t>Raised</t>
        </is>
      </c>
      <c r="C47" s="7" t="inlineStr">
        <is>
          <t>Cost of raising it</t>
        </is>
      </c>
      <c r="D47" s="7" t="inlineStr">
        <is>
          <t>Left after costs</t>
        </is>
      </c>
      <c r="E47" s="7" t="inlineStr">
        <is>
          <t>Cost per $1</t>
        </is>
      </c>
    </row>
    <row r="48">
      <c r="A48" s="12" t="inlineStr">
        <is>
          <t>Grants</t>
        </is>
      </c>
      <c r="B48" s="13" t="inlineStr">
        <is>
          <t>$322,093</t>
        </is>
      </c>
      <c r="C48" s="13" t="inlineStr">
        <is>
          <t>$35,500</t>
        </is>
      </c>
      <c r="D48" s="13" t="inlineStr">
        <is>
          <t>$286,593</t>
        </is>
      </c>
      <c r="E48" s="13" t="inlineStr">
        <is>
          <t>11¢</t>
        </is>
      </c>
    </row>
    <row r="49">
      <c r="A49" s="12" t="inlineStr">
        <is>
          <t>Donations</t>
        </is>
      </c>
      <c r="B49" s="13" t="inlineStr">
        <is>
          <t>$80,500</t>
        </is>
      </c>
      <c r="C49" s="13" t="inlineStr">
        <is>
          <t>$11,900</t>
        </is>
      </c>
      <c r="D49" s="13" t="inlineStr">
        <is>
          <t>$68,600</t>
        </is>
      </c>
      <c r="E49" s="13" t="inlineStr">
        <is>
          <t>15¢</t>
        </is>
      </c>
    </row>
    <row r="50">
      <c r="A50" s="12" t="inlineStr">
        <is>
          <t>Fundraising events</t>
        </is>
      </c>
      <c r="B50" s="13" t="inlineStr">
        <is>
          <t>$36,800</t>
        </is>
      </c>
      <c r="C50" s="13" t="inlineStr">
        <is>
          <t>$15,200</t>
        </is>
      </c>
      <c r="D50" s="13" t="inlineStr">
        <is>
          <t>$21,600</t>
        </is>
      </c>
      <c r="E50" s="13" t="inlineStr">
        <is>
          <t>41¢</t>
        </is>
      </c>
    </row>
    <row r="51"/>
    <row r="52">
      <c r="A52" s="14" t="inlineStr">
        <is>
          <t>Raised and left after costs, by month: every month is on the Data sheet.</t>
        </is>
      </c>
    </row>
    <row r="53"/>
    <row r="54"/>
  </sheetData>
  <mergeCells count="9">
    <mergeCell ref="A5:D5"/>
    <mergeCell ref="A17:D17"/>
    <mergeCell ref="A31:D31"/>
    <mergeCell ref="A35:D35"/>
    <mergeCell ref="A21:D21"/>
    <mergeCell ref="A38:D38"/>
    <mergeCell ref="A24:D24"/>
    <mergeCell ref="A28:D28"/>
    <mergeCell ref="A14:D14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2026&amp;R&amp;"Roboto,Regular"&amp;8 Page &amp;P of &amp;N</oddFooter>
    <evenHeader/>
    <evenFooter/>
    <firstHeader/>
    <firstFooter/>
  </headerFooter>
  <rowBreaks count="1" manualBreakCount="1">
    <brk id="26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50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November 2025 · Data status: Oct 2025 locked · Nov 2025 locked · Oct 2026 incomplete (data retrieved 2pm, Tue 6 Oct 2026)</t>
        </is>
      </c>
    </row>
    <row r="4"/>
    <row r="5">
      <c r="A5" s="4" t="inlineStr">
        <is>
          <t>Cost to raise a dollar, by source, November 2025</t>
        </is>
      </c>
    </row>
    <row r="6">
      <c r="A6" s="14" t="inlineStr">
        <is>
          <t>Fundraising cost ÷ money raised, for each source, in cents</t>
        </is>
      </c>
    </row>
    <row r="7">
      <c r="A7" s="6" t="inlineStr"/>
      <c r="B7" s="7" t="inlineStr">
        <is>
          <t>Nov 2025</t>
        </is>
      </c>
    </row>
    <row r="8">
      <c r="A8" t="inlineStr">
        <is>
          <t>Grants: cost (grant writing and reporting)</t>
        </is>
      </c>
      <c r="B8" s="15" t="n">
        <v>7100</v>
      </c>
    </row>
    <row r="9">
      <c r="A9" t="inlineStr">
        <is>
          <t>Grants: raised</t>
        </is>
      </c>
      <c r="B9" s="15" t="n">
        <v>70164</v>
      </c>
    </row>
    <row r="10">
      <c r="A10" t="inlineStr">
        <is>
          <t>Donations: cost (donor campaigns)</t>
        </is>
      </c>
      <c r="B10" s="15" t="n">
        <v>3100</v>
      </c>
    </row>
    <row r="11">
      <c r="A11" t="inlineStr">
        <is>
          <t>Donations: raised</t>
        </is>
      </c>
      <c r="B11" s="15" t="n">
        <v>18700</v>
      </c>
    </row>
    <row r="12">
      <c r="A12" t="inlineStr">
        <is>
          <t>Grants: cost per dollar raised</t>
        </is>
      </c>
      <c r="B12" s="16">
        <f>B8/B9*100</f>
        <v/>
      </c>
    </row>
    <row r="13">
      <c r="A13" s="17" t="inlineStr">
        <is>
          <t>Donations: cost per dollar raised</t>
        </is>
      </c>
      <c r="B13" s="18">
        <f>B10/B11*100</f>
        <v/>
      </c>
    </row>
    <row r="14">
      <c r="A14" s="2" t="inlineStr">
        <is>
          <t xml:space="preserve">Nothing raised from fundraising events in November. </t>
        </is>
      </c>
    </row>
    <row r="15"/>
    <row r="16"/>
    <row r="17">
      <c r="A17" s="4" t="inlineStr">
        <is>
          <t>Cost to raise a dollar, by source, November 2025</t>
        </is>
      </c>
    </row>
    <row r="18">
      <c r="A18" s="14" t="inlineStr">
        <is>
          <t>Fundraising cost ÷ money raised, for each source, in cents</t>
        </is>
      </c>
    </row>
    <row r="19">
      <c r="A19" s="6" t="inlineStr"/>
      <c r="B19" s="7" t="inlineStr">
        <is>
          <t>Nov 2025</t>
        </is>
      </c>
    </row>
    <row r="20">
      <c r="A20" t="inlineStr">
        <is>
          <t>Grants: cost (grant writing and reporting)</t>
        </is>
      </c>
      <c r="B20" s="15" t="n">
        <v>7100</v>
      </c>
    </row>
    <row r="21">
      <c r="A21" t="inlineStr">
        <is>
          <t>Grants: raised</t>
        </is>
      </c>
      <c r="B21" s="15" t="n">
        <v>70164</v>
      </c>
    </row>
    <row r="22">
      <c r="A22" t="inlineStr">
        <is>
          <t>Donations: cost (donor campaigns)</t>
        </is>
      </c>
      <c r="B22" s="15" t="n">
        <v>3100</v>
      </c>
    </row>
    <row r="23">
      <c r="A23" t="inlineStr">
        <is>
          <t>Donations: raised</t>
        </is>
      </c>
      <c r="B23" s="15" t="n">
        <v>18700</v>
      </c>
    </row>
    <row r="24">
      <c r="A24" t="inlineStr">
        <is>
          <t>Grants: cost per dollar raised</t>
        </is>
      </c>
      <c r="B24" s="16">
        <f>B20/B21*100</f>
        <v/>
      </c>
    </row>
    <row r="25">
      <c r="A25" s="17" t="inlineStr">
        <is>
          <t>Donations: cost per dollar raised</t>
        </is>
      </c>
      <c r="B25" s="18">
        <f>B22/B23*100</f>
        <v/>
      </c>
    </row>
    <row r="26">
      <c r="A26" s="2" t="inlineStr">
        <is>
          <t xml:space="preserve">Nothing raised from fundraising events in November. </t>
        </is>
      </c>
    </row>
    <row r="27"/>
    <row r="28"/>
    <row r="29">
      <c r="A29" s="4" t="inlineStr">
        <is>
          <t>Cost to raise a dollar, by source, November 2025</t>
        </is>
      </c>
    </row>
    <row r="30">
      <c r="A30" s="14" t="inlineStr">
        <is>
          <t>Fundraising cost ÷ money raised, for each source, in cents</t>
        </is>
      </c>
    </row>
    <row r="31">
      <c r="A31" s="6" t="inlineStr"/>
      <c r="B31" s="7" t="inlineStr">
        <is>
          <t>Nov 2025</t>
        </is>
      </c>
    </row>
    <row r="32">
      <c r="A32" t="inlineStr">
        <is>
          <t>Grants: cost (grant writing and reporting)</t>
        </is>
      </c>
      <c r="B32" s="15" t="n">
        <v>7100</v>
      </c>
    </row>
    <row r="33">
      <c r="A33" t="inlineStr">
        <is>
          <t>Grants: raised</t>
        </is>
      </c>
      <c r="B33" s="15" t="n">
        <v>70164</v>
      </c>
    </row>
    <row r="34">
      <c r="A34" t="inlineStr">
        <is>
          <t>Donations: cost (donor campaigns)</t>
        </is>
      </c>
      <c r="B34" s="15" t="n">
        <v>3100</v>
      </c>
    </row>
    <row r="35">
      <c r="A35" t="inlineStr">
        <is>
          <t>Donations: raised</t>
        </is>
      </c>
      <c r="B35" s="15" t="n">
        <v>18700</v>
      </c>
    </row>
    <row r="36">
      <c r="A36" t="inlineStr">
        <is>
          <t>Grants: cost per dollar raised</t>
        </is>
      </c>
      <c r="B36" s="16">
        <f>B32/B33*100</f>
        <v/>
      </c>
    </row>
    <row r="37">
      <c r="A37" s="17" t="inlineStr">
        <is>
          <t>Donations: cost per dollar raised</t>
        </is>
      </c>
      <c r="B37" s="18">
        <f>B34/B35*100</f>
        <v/>
      </c>
    </row>
    <row r="38">
      <c r="A38" s="2" t="inlineStr">
        <is>
          <t xml:space="preserve">Nothing raised from fundraising events in November. </t>
        </is>
      </c>
    </row>
    <row r="39"/>
    <row r="40"/>
    <row r="41">
      <c r="A41" s="4" t="inlineStr">
        <is>
          <t>Raised, financial year to date (Jul to Nov 2025)</t>
        </is>
      </c>
    </row>
    <row r="42">
      <c r="A42" s="14" t="inlineStr">
        <is>
          <t>Grants + donations + fundraising events</t>
        </is>
      </c>
    </row>
    <row r="43">
      <c r="A43" s="6" t="inlineStr"/>
      <c r="B43" s="7" t="inlineStr">
        <is>
          <t>Year to date</t>
        </is>
      </c>
    </row>
    <row r="44">
      <c r="A44" t="inlineStr">
        <is>
          <t>Grants, raised</t>
        </is>
      </c>
      <c r="B44" s="15" t="n">
        <v>322093</v>
      </c>
    </row>
    <row r="45">
      <c r="A45" t="inlineStr">
        <is>
          <t>Donations, raised</t>
        </is>
      </c>
      <c r="B45" s="15" t="n">
        <v>80500</v>
      </c>
    </row>
    <row r="46">
      <c r="A46" t="inlineStr">
        <is>
          <t>Fundraising events, raised</t>
        </is>
      </c>
      <c r="B46" s="15" t="n">
        <v>36800</v>
      </c>
    </row>
    <row r="47">
      <c r="A47" s="17" t="inlineStr">
        <is>
          <t>Raised, year to date</t>
        </is>
      </c>
      <c r="B47" s="19">
        <f>B44+B45+B46</f>
        <v/>
      </c>
    </row>
    <row r="48"/>
    <row r="49"/>
    <row r="50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2026&amp;R&amp;"Roboto,Regular"&amp;8 Page &amp;P of &amp;N</oddFooter>
    <evenHeader/>
    <evenFooter/>
    <firstHeader/>
    <firstFooter/>
  </headerFooter>
  <rowBreaks count="1" manualBreakCount="1">
    <brk id="28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4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November 2025 · Data status: Oct 2025 locked · Nov 2025 locked · Oct 2026 incomplete (data retrieved 2pm, Tue 6 Oct 2026)</t>
        </is>
      </c>
    </row>
    <row r="4"/>
    <row r="5">
      <c r="A5" s="6" t="inlineStr">
        <is>
          <t>Source</t>
        </is>
      </c>
      <c r="B5" s="7" t="inlineStr">
        <is>
          <t>Month</t>
        </is>
      </c>
      <c r="C5" s="7" t="inlineStr">
        <is>
          <t>Status</t>
        </is>
      </c>
      <c r="D5" s="7" t="inlineStr">
        <is>
          <t>Raised</t>
        </is>
      </c>
      <c r="E5" s="7" t="inlineStr">
        <is>
          <t>Cost of raising it</t>
        </is>
      </c>
      <c r="F5" s="7" t="inlineStr">
        <is>
          <t>Left after costs</t>
        </is>
      </c>
      <c r="G5" s="7" t="inlineStr">
        <is>
          <t>Cents per $1</t>
        </is>
      </c>
    </row>
    <row r="6">
      <c r="A6" s="20" t="inlineStr">
        <is>
          <t>Grants</t>
        </is>
      </c>
      <c r="B6" s="20" t="inlineStr">
        <is>
          <t>Oct 24</t>
        </is>
      </c>
      <c r="C6" s="20" t="inlineStr">
        <is>
          <t>Locked</t>
        </is>
      </c>
      <c r="D6" s="15" t="n">
        <v>26600</v>
      </c>
      <c r="E6" s="15" t="n">
        <v>6500</v>
      </c>
      <c r="F6" s="15">
        <f>D6-E6</f>
        <v/>
      </c>
      <c r="G6" s="16">
        <f>IF(D6=0,"",E6/D6*100)</f>
        <v/>
      </c>
    </row>
    <row r="7">
      <c r="A7" s="20" t="inlineStr">
        <is>
          <t>Grants</t>
        </is>
      </c>
      <c r="B7" s="20" t="inlineStr">
        <is>
          <t>Nov 24</t>
        </is>
      </c>
      <c r="C7" s="20" t="inlineStr">
        <is>
          <t>Locked</t>
        </is>
      </c>
      <c r="D7" s="15" t="n">
        <v>31800</v>
      </c>
      <c r="E7" s="15" t="n">
        <v>6500</v>
      </c>
      <c r="F7" s="15">
        <f>D7-E7</f>
        <v/>
      </c>
      <c r="G7" s="16">
        <f>IF(D7=0,"",E7/D7*100)</f>
        <v/>
      </c>
    </row>
    <row r="8">
      <c r="A8" s="20" t="inlineStr">
        <is>
          <t>Grants</t>
        </is>
      </c>
      <c r="B8" s="20" t="inlineStr">
        <is>
          <t>Dec 24</t>
        </is>
      </c>
      <c r="C8" s="20" t="inlineStr">
        <is>
          <t>Locked</t>
        </is>
      </c>
      <c r="D8" s="15" t="n">
        <v>29700</v>
      </c>
      <c r="E8" s="15" t="n">
        <v>6500</v>
      </c>
      <c r="F8" s="15">
        <f>D8-E8</f>
        <v/>
      </c>
      <c r="G8" s="16">
        <f>IF(D8=0,"",E8/D8*100)</f>
        <v/>
      </c>
    </row>
    <row r="9">
      <c r="A9" s="20" t="inlineStr">
        <is>
          <t>Grants</t>
        </is>
      </c>
      <c r="B9" s="20" t="inlineStr">
        <is>
          <t>Jan 25</t>
        </is>
      </c>
      <c r="C9" s="20" t="inlineStr">
        <is>
          <t>Locked</t>
        </is>
      </c>
      <c r="D9" s="15" t="n">
        <v>62700</v>
      </c>
      <c r="E9" s="15" t="n">
        <v>6500</v>
      </c>
      <c r="F9" s="15">
        <f>D9-E9</f>
        <v/>
      </c>
      <c r="G9" s="16">
        <f>IF(D9=0,"",E9/D9*100)</f>
        <v/>
      </c>
    </row>
    <row r="10">
      <c r="A10" s="20" t="inlineStr">
        <is>
          <t>Grants</t>
        </is>
      </c>
      <c r="B10" s="20" t="inlineStr">
        <is>
          <t>Feb 25</t>
        </is>
      </c>
      <c r="C10" s="20" t="inlineStr">
        <is>
          <t>Locked</t>
        </is>
      </c>
      <c r="D10" s="15" t="n">
        <v>61700</v>
      </c>
      <c r="E10" s="15" t="n">
        <v>6500</v>
      </c>
      <c r="F10" s="15">
        <f>D10-E10</f>
        <v/>
      </c>
      <c r="G10" s="16">
        <f>IF(D10=0,"",E10/D10*100)</f>
        <v/>
      </c>
    </row>
    <row r="11">
      <c r="A11" s="20" t="inlineStr">
        <is>
          <t>Grants</t>
        </is>
      </c>
      <c r="B11" s="20" t="inlineStr">
        <is>
          <t>Mar 25</t>
        </is>
      </c>
      <c r="C11" s="20" t="inlineStr">
        <is>
          <t>Locked</t>
        </is>
      </c>
      <c r="D11" s="15" t="n">
        <v>54500</v>
      </c>
      <c r="E11" s="15" t="n">
        <v>6500</v>
      </c>
      <c r="F11" s="15">
        <f>D11-E11</f>
        <v/>
      </c>
      <c r="G11" s="16">
        <f>IF(D11=0,"",E11/D11*100)</f>
        <v/>
      </c>
    </row>
    <row r="12">
      <c r="A12" s="20" t="inlineStr">
        <is>
          <t>Grants</t>
        </is>
      </c>
      <c r="B12" s="20" t="inlineStr">
        <is>
          <t>Apr 25</t>
        </is>
      </c>
      <c r="C12" s="20" t="inlineStr">
        <is>
          <t>Locked</t>
        </is>
      </c>
      <c r="D12" s="15" t="n">
        <v>61500</v>
      </c>
      <c r="E12" s="15" t="n">
        <v>6500</v>
      </c>
      <c r="F12" s="15">
        <f>D12-E12</f>
        <v/>
      </c>
      <c r="G12" s="16">
        <f>IF(D12=0,"",E12/D12*100)</f>
        <v/>
      </c>
    </row>
    <row r="13">
      <c r="A13" s="20" t="inlineStr">
        <is>
          <t>Grants</t>
        </is>
      </c>
      <c r="B13" s="20" t="inlineStr">
        <is>
          <t>May 25</t>
        </is>
      </c>
      <c r="C13" s="20" t="inlineStr">
        <is>
          <t>Locked</t>
        </is>
      </c>
      <c r="D13" s="15" t="n">
        <v>61700</v>
      </c>
      <c r="E13" s="15" t="n">
        <v>6500</v>
      </c>
      <c r="F13" s="15">
        <f>D13-E13</f>
        <v/>
      </c>
      <c r="G13" s="16">
        <f>IF(D13=0,"",E13/D13*100)</f>
        <v/>
      </c>
    </row>
    <row r="14">
      <c r="A14" s="20" t="inlineStr">
        <is>
          <t>Grants</t>
        </is>
      </c>
      <c r="B14" s="20" t="inlineStr">
        <is>
          <t>Jun 25</t>
        </is>
      </c>
      <c r="C14" s="20" t="inlineStr">
        <is>
          <t>Locked</t>
        </is>
      </c>
      <c r="D14" s="15" t="n">
        <v>52200</v>
      </c>
      <c r="E14" s="15" t="n">
        <v>6500</v>
      </c>
      <c r="F14" s="15">
        <f>D14-E14</f>
        <v/>
      </c>
      <c r="G14" s="16">
        <f>IF(D14=0,"",E14/D14*100)</f>
        <v/>
      </c>
    </row>
    <row r="15">
      <c r="A15" s="20" t="inlineStr">
        <is>
          <t>Grants</t>
        </is>
      </c>
      <c r="B15" s="20" t="inlineStr">
        <is>
          <t>Jul 25</t>
        </is>
      </c>
      <c r="C15" s="20" t="inlineStr">
        <is>
          <t>Locked</t>
        </is>
      </c>
      <c r="D15" s="15" t="n">
        <v>59063</v>
      </c>
      <c r="E15" s="15" t="n">
        <v>7100</v>
      </c>
      <c r="F15" s="15">
        <f>D15-E15</f>
        <v/>
      </c>
      <c r="G15" s="16">
        <f>IF(D15=0,"",E15/D15*100)</f>
        <v/>
      </c>
    </row>
    <row r="16">
      <c r="A16" s="20" t="inlineStr">
        <is>
          <t>Grants</t>
        </is>
      </c>
      <c r="B16" s="20" t="inlineStr">
        <is>
          <t>Aug 25</t>
        </is>
      </c>
      <c r="C16" s="20" t="inlineStr">
        <is>
          <t>Locked</t>
        </is>
      </c>
      <c r="D16" s="15" t="n">
        <v>61544</v>
      </c>
      <c r="E16" s="15" t="n">
        <v>7100</v>
      </c>
      <c r="F16" s="15">
        <f>D16-E16</f>
        <v/>
      </c>
      <c r="G16" s="16">
        <f>IF(D16=0,"",E16/D16*100)</f>
        <v/>
      </c>
    </row>
    <row r="17">
      <c r="A17" s="20" t="inlineStr">
        <is>
          <t>Grants</t>
        </is>
      </c>
      <c r="B17" s="20" t="inlineStr">
        <is>
          <t>Sep 25</t>
        </is>
      </c>
      <c r="C17" s="20" t="inlineStr">
        <is>
          <t>Locked</t>
        </is>
      </c>
      <c r="D17" s="15" t="n">
        <v>62137</v>
      </c>
      <c r="E17" s="15" t="n">
        <v>7100</v>
      </c>
      <c r="F17" s="15">
        <f>D17-E17</f>
        <v/>
      </c>
      <c r="G17" s="16">
        <f>IF(D17=0,"",E17/D17*100)</f>
        <v/>
      </c>
    </row>
    <row r="18">
      <c r="A18" s="20" t="inlineStr">
        <is>
          <t>Grants</t>
        </is>
      </c>
      <c r="B18" s="20" t="inlineStr">
        <is>
          <t>Oct 25</t>
        </is>
      </c>
      <c r="C18" s="20" t="inlineStr">
        <is>
          <t>Locked</t>
        </is>
      </c>
      <c r="D18" s="15" t="n">
        <v>69185</v>
      </c>
      <c r="E18" s="15" t="n">
        <v>7100</v>
      </c>
      <c r="F18" s="15">
        <f>D18-E18</f>
        <v/>
      </c>
      <c r="G18" s="16">
        <f>IF(D18=0,"",E18/D18*100)</f>
        <v/>
      </c>
    </row>
    <row r="19">
      <c r="A19" s="20" t="inlineStr">
        <is>
          <t>Grants</t>
        </is>
      </c>
      <c r="B19" s="20" t="inlineStr">
        <is>
          <t>Nov 25</t>
        </is>
      </c>
      <c r="C19" s="20" t="inlineStr">
        <is>
          <t>Locked</t>
        </is>
      </c>
      <c r="D19" s="15" t="n">
        <v>70164</v>
      </c>
      <c r="E19" s="15" t="n">
        <v>7100</v>
      </c>
      <c r="F19" s="15">
        <f>D19-E19</f>
        <v/>
      </c>
      <c r="G19" s="16">
        <f>IF(D19=0,"",E19/D19*100)</f>
        <v/>
      </c>
    </row>
    <row r="20">
      <c r="A20" s="20" t="inlineStr">
        <is>
          <t>Donations</t>
        </is>
      </c>
      <c r="B20" s="20" t="inlineStr">
        <is>
          <t>Oct 24</t>
        </is>
      </c>
      <c r="C20" s="20" t="inlineStr">
        <is>
          <t>Locked</t>
        </is>
      </c>
      <c r="D20" s="15" t="n">
        <v>15300</v>
      </c>
      <c r="E20" s="15" t="n">
        <v>2200</v>
      </c>
      <c r="F20" s="15">
        <f>D20-E20</f>
        <v/>
      </c>
      <c r="G20" s="16">
        <f>IF(D20=0,"",E20/D20*100)</f>
        <v/>
      </c>
    </row>
    <row r="21">
      <c r="A21" s="20" t="inlineStr">
        <is>
          <t>Donations</t>
        </is>
      </c>
      <c r="B21" s="20" t="inlineStr">
        <is>
          <t>Nov 24</t>
        </is>
      </c>
      <c r="C21" s="20" t="inlineStr">
        <is>
          <t>Locked</t>
        </is>
      </c>
      <c r="D21" s="15" t="n">
        <v>17700</v>
      </c>
      <c r="E21" s="15" t="n">
        <v>3100</v>
      </c>
      <c r="F21" s="15">
        <f>D21-E21</f>
        <v/>
      </c>
      <c r="G21" s="16">
        <f>IF(D21=0,"",E21/D21*100)</f>
        <v/>
      </c>
    </row>
    <row r="22">
      <c r="A22" s="20" t="inlineStr">
        <is>
          <t>Donations</t>
        </is>
      </c>
      <c r="B22" s="20" t="inlineStr">
        <is>
          <t>Dec 24</t>
        </is>
      </c>
      <c r="C22" s="20" t="inlineStr">
        <is>
          <t>Locked</t>
        </is>
      </c>
      <c r="D22" s="15" t="n">
        <v>24700</v>
      </c>
      <c r="E22" s="15" t="n">
        <v>4400</v>
      </c>
      <c r="F22" s="15">
        <f>D22-E22</f>
        <v/>
      </c>
      <c r="G22" s="16">
        <f>IF(D22=0,"",E22/D22*100)</f>
        <v/>
      </c>
    </row>
    <row r="23">
      <c r="A23" s="20" t="inlineStr">
        <is>
          <t>Donations</t>
        </is>
      </c>
      <c r="B23" s="20" t="inlineStr">
        <is>
          <t>Jan 25</t>
        </is>
      </c>
      <c r="C23" s="20" t="inlineStr">
        <is>
          <t>Locked</t>
        </is>
      </c>
      <c r="D23" s="15" t="n">
        <v>12400</v>
      </c>
      <c r="E23" s="15" t="n">
        <v>2200</v>
      </c>
      <c r="F23" s="15">
        <f>D23-E23</f>
        <v/>
      </c>
      <c r="G23" s="16">
        <f>IF(D23=0,"",E23/D23*100)</f>
        <v/>
      </c>
    </row>
    <row r="24">
      <c r="A24" s="20" t="inlineStr">
        <is>
          <t>Donations</t>
        </is>
      </c>
      <c r="B24" s="20" t="inlineStr">
        <is>
          <t>Feb 25</t>
        </is>
      </c>
      <c r="C24" s="20" t="inlineStr">
        <is>
          <t>Locked</t>
        </is>
      </c>
      <c r="D24" s="15" t="n">
        <v>15600</v>
      </c>
      <c r="E24" s="15" t="n">
        <v>2200</v>
      </c>
      <c r="F24" s="15">
        <f>D24-E24</f>
        <v/>
      </c>
      <c r="G24" s="16">
        <f>IF(D24=0,"",E24/D24*100)</f>
        <v/>
      </c>
    </row>
    <row r="25">
      <c r="A25" s="20" t="inlineStr">
        <is>
          <t>Donations</t>
        </is>
      </c>
      <c r="B25" s="20" t="inlineStr">
        <is>
          <t>Mar 25</t>
        </is>
      </c>
      <c r="C25" s="20" t="inlineStr">
        <is>
          <t>Locked</t>
        </is>
      </c>
      <c r="D25" s="15" t="n">
        <v>15700</v>
      </c>
      <c r="E25" s="15" t="n">
        <v>2200</v>
      </c>
      <c r="F25" s="15">
        <f>D25-E25</f>
        <v/>
      </c>
      <c r="G25" s="16">
        <f>IF(D25=0,"",E25/D25*100)</f>
        <v/>
      </c>
    </row>
    <row r="26">
      <c r="A26" s="20" t="inlineStr">
        <is>
          <t>Donations</t>
        </is>
      </c>
      <c r="B26" s="20" t="inlineStr">
        <is>
          <t>Apr 25</t>
        </is>
      </c>
      <c r="C26" s="20" t="inlineStr">
        <is>
          <t>Locked</t>
        </is>
      </c>
      <c r="D26" s="15" t="n">
        <v>15700</v>
      </c>
      <c r="E26" s="15" t="n">
        <v>2200</v>
      </c>
      <c r="F26" s="15">
        <f>D26-E26</f>
        <v/>
      </c>
      <c r="G26" s="16">
        <f>IF(D26=0,"",E26/D26*100)</f>
        <v/>
      </c>
    </row>
    <row r="27">
      <c r="A27" s="20" t="inlineStr">
        <is>
          <t>Donations</t>
        </is>
      </c>
      <c r="B27" s="20" t="inlineStr">
        <is>
          <t>May 25</t>
        </is>
      </c>
      <c r="C27" s="20" t="inlineStr">
        <is>
          <t>Locked</t>
        </is>
      </c>
      <c r="D27" s="15" t="n">
        <v>15800</v>
      </c>
      <c r="E27" s="15" t="n">
        <v>2200</v>
      </c>
      <c r="F27" s="15">
        <f>D27-E27</f>
        <v/>
      </c>
      <c r="G27" s="16">
        <f>IF(D27=0,"",E27/D27*100)</f>
        <v/>
      </c>
    </row>
    <row r="28">
      <c r="A28" s="20" t="inlineStr">
        <is>
          <t>Donations</t>
        </is>
      </c>
      <c r="B28" s="20" t="inlineStr">
        <is>
          <t>Jun 25</t>
        </is>
      </c>
      <c r="C28" s="20" t="inlineStr">
        <is>
          <t>Locked</t>
        </is>
      </c>
      <c r="D28" s="15" t="n">
        <v>38100</v>
      </c>
      <c r="E28" s="15" t="n">
        <v>5500</v>
      </c>
      <c r="F28" s="15">
        <f>D28-E28</f>
        <v/>
      </c>
      <c r="G28" s="16">
        <f>IF(D28=0,"",E28/D28*100)</f>
        <v/>
      </c>
    </row>
    <row r="29">
      <c r="A29" s="20" t="inlineStr">
        <is>
          <t>Donations</t>
        </is>
      </c>
      <c r="B29" s="20" t="inlineStr">
        <is>
          <t>Jul 25</t>
        </is>
      </c>
      <c r="C29" s="20" t="inlineStr">
        <is>
          <t>Locked</t>
        </is>
      </c>
      <c r="D29" s="15" t="n">
        <v>13500</v>
      </c>
      <c r="E29" s="15" t="n">
        <v>2200</v>
      </c>
      <c r="F29" s="15">
        <f>D29-E29</f>
        <v/>
      </c>
      <c r="G29" s="16">
        <f>IF(D29=0,"",E29/D29*100)</f>
        <v/>
      </c>
    </row>
    <row r="30">
      <c r="A30" s="20" t="inlineStr">
        <is>
          <t>Donations</t>
        </is>
      </c>
      <c r="B30" s="20" t="inlineStr">
        <is>
          <t>Aug 25</t>
        </is>
      </c>
      <c r="C30" s="20" t="inlineStr">
        <is>
          <t>Locked</t>
        </is>
      </c>
      <c r="D30" s="15" t="n">
        <v>16000</v>
      </c>
      <c r="E30" s="15" t="n">
        <v>2200</v>
      </c>
      <c r="F30" s="15">
        <f>D30-E30</f>
        <v/>
      </c>
      <c r="G30" s="16">
        <f>IF(D30=0,"",E30/D30*100)</f>
        <v/>
      </c>
    </row>
    <row r="31">
      <c r="A31" s="20" t="inlineStr">
        <is>
          <t>Donations</t>
        </is>
      </c>
      <c r="B31" s="20" t="inlineStr">
        <is>
          <t>Sep 25</t>
        </is>
      </c>
      <c r="C31" s="20" t="inlineStr">
        <is>
          <t>Locked</t>
        </is>
      </c>
      <c r="D31" s="15" t="n">
        <v>16100</v>
      </c>
      <c r="E31" s="15" t="n">
        <v>2200</v>
      </c>
      <c r="F31" s="15">
        <f>D31-E31</f>
        <v/>
      </c>
      <c r="G31" s="16">
        <f>IF(D31=0,"",E31/D31*100)</f>
        <v/>
      </c>
    </row>
    <row r="32">
      <c r="A32" s="20" t="inlineStr">
        <is>
          <t>Donations</t>
        </is>
      </c>
      <c r="B32" s="20" t="inlineStr">
        <is>
          <t>Oct 25</t>
        </is>
      </c>
      <c r="C32" s="20" t="inlineStr">
        <is>
          <t>Locked</t>
        </is>
      </c>
      <c r="D32" s="15" t="n">
        <v>16200</v>
      </c>
      <c r="E32" s="15" t="n">
        <v>2200</v>
      </c>
      <c r="F32" s="15">
        <f>D32-E32</f>
        <v/>
      </c>
      <c r="G32" s="16">
        <f>IF(D32=0,"",E32/D32*100)</f>
        <v/>
      </c>
    </row>
    <row r="33">
      <c r="A33" s="20" t="inlineStr">
        <is>
          <t>Donations</t>
        </is>
      </c>
      <c r="B33" s="20" t="inlineStr">
        <is>
          <t>Nov 25</t>
        </is>
      </c>
      <c r="C33" s="20" t="inlineStr">
        <is>
          <t>Locked</t>
        </is>
      </c>
      <c r="D33" s="15" t="n">
        <v>18700</v>
      </c>
      <c r="E33" s="15" t="n">
        <v>3100</v>
      </c>
      <c r="F33" s="15">
        <f>D33-E33</f>
        <v/>
      </c>
      <c r="G33" s="16">
        <f>IF(D33=0,"",E33/D33*100)</f>
        <v/>
      </c>
    </row>
    <row r="34">
      <c r="A34" s="20" t="inlineStr">
        <is>
          <t>Fundraising events</t>
        </is>
      </c>
      <c r="B34" s="20" t="inlineStr">
        <is>
          <t>Oct 24</t>
        </is>
      </c>
      <c r="C34" s="20" t="inlineStr">
        <is>
          <t>Locked</t>
        </is>
      </c>
      <c r="D34" s="15" t="n">
        <v>0</v>
      </c>
      <c r="E34" s="15" t="n">
        <v>0</v>
      </c>
      <c r="F34" s="15">
        <f>D34-E34</f>
        <v/>
      </c>
      <c r="G34" s="16">
        <f>IF(D34=0,"",E34/D34*100)</f>
        <v/>
      </c>
    </row>
    <row r="35">
      <c r="A35" s="20" t="inlineStr">
        <is>
          <t>Fundraising events</t>
        </is>
      </c>
      <c r="B35" s="20" t="inlineStr">
        <is>
          <t>Nov 24</t>
        </is>
      </c>
      <c r="C35" s="20" t="inlineStr">
        <is>
          <t>Locked</t>
        </is>
      </c>
      <c r="D35" s="15" t="n">
        <v>0</v>
      </c>
      <c r="E35" s="15" t="n">
        <v>0</v>
      </c>
      <c r="F35" s="15">
        <f>D35-E35</f>
        <v/>
      </c>
      <c r="G35" s="16">
        <f>IF(D35=0,"",E35/D35*100)</f>
        <v/>
      </c>
    </row>
    <row r="36">
      <c r="A36" s="20" t="inlineStr">
        <is>
          <t>Fundraising events</t>
        </is>
      </c>
      <c r="B36" s="20" t="inlineStr">
        <is>
          <t>Dec 24</t>
        </is>
      </c>
      <c r="C36" s="20" t="inlineStr">
        <is>
          <t>Locked</t>
        </is>
      </c>
      <c r="D36" s="15" t="n">
        <v>6200</v>
      </c>
      <c r="E36" s="15" t="n">
        <v>2600</v>
      </c>
      <c r="F36" s="15">
        <f>D36-E36</f>
        <v/>
      </c>
      <c r="G36" s="16">
        <f>IF(D36=0,"",E36/D36*100)</f>
        <v/>
      </c>
    </row>
    <row r="37">
      <c r="A37" s="20" t="inlineStr">
        <is>
          <t>Fundraising events</t>
        </is>
      </c>
      <c r="B37" s="20" t="inlineStr">
        <is>
          <t>Jan 25</t>
        </is>
      </c>
      <c r="C37" s="20" t="inlineStr">
        <is>
          <t>Locked</t>
        </is>
      </c>
      <c r="D37" s="15" t="n">
        <v>0</v>
      </c>
      <c r="E37" s="15" t="n">
        <v>0</v>
      </c>
      <c r="F37" s="15">
        <f>D37-E37</f>
        <v/>
      </c>
      <c r="G37" s="16">
        <f>IF(D37=0,"",E37/D37*100)</f>
        <v/>
      </c>
    </row>
    <row r="38">
      <c r="A38" s="20" t="inlineStr">
        <is>
          <t>Fundraising events</t>
        </is>
      </c>
      <c r="B38" s="20" t="inlineStr">
        <is>
          <t>Feb 25</t>
        </is>
      </c>
      <c r="C38" s="20" t="inlineStr">
        <is>
          <t>Locked</t>
        </is>
      </c>
      <c r="D38" s="15" t="n">
        <v>0</v>
      </c>
      <c r="E38" s="15" t="n">
        <v>0</v>
      </c>
      <c r="F38" s="15">
        <f>D38-E38</f>
        <v/>
      </c>
      <c r="G38" s="16">
        <f>IF(D38=0,"",E38/D38*100)</f>
        <v/>
      </c>
    </row>
    <row r="39">
      <c r="A39" s="20" t="inlineStr">
        <is>
          <t>Fundraising events</t>
        </is>
      </c>
      <c r="B39" s="20" t="inlineStr">
        <is>
          <t>Mar 25</t>
        </is>
      </c>
      <c r="C39" s="20" t="inlineStr">
        <is>
          <t>Locked</t>
        </is>
      </c>
      <c r="D39" s="15" t="n">
        <v>0</v>
      </c>
      <c r="E39" s="15" t="n">
        <v>0</v>
      </c>
      <c r="F39" s="15">
        <f>D39-E39</f>
        <v/>
      </c>
      <c r="G39" s="16">
        <f>IF(D39=0,"",E39/D39*100)</f>
        <v/>
      </c>
    </row>
    <row r="40">
      <c r="A40" s="20" t="inlineStr">
        <is>
          <t>Fundraising events</t>
        </is>
      </c>
      <c r="B40" s="20" t="inlineStr">
        <is>
          <t>Apr 25</t>
        </is>
      </c>
      <c r="C40" s="20" t="inlineStr">
        <is>
          <t>Locked</t>
        </is>
      </c>
      <c r="D40" s="15" t="n">
        <v>0</v>
      </c>
      <c r="E40" s="15" t="n">
        <v>0</v>
      </c>
      <c r="F40" s="15">
        <f>D40-E40</f>
        <v/>
      </c>
      <c r="G40" s="16">
        <f>IF(D40=0,"",E40/D40*100)</f>
        <v/>
      </c>
    </row>
    <row r="41">
      <c r="A41" s="20" t="inlineStr">
        <is>
          <t>Fundraising events</t>
        </is>
      </c>
      <c r="B41" s="20" t="inlineStr">
        <is>
          <t>May 25</t>
        </is>
      </c>
      <c r="C41" s="20" t="inlineStr">
        <is>
          <t>Locked</t>
        </is>
      </c>
      <c r="D41" s="15" t="n">
        <v>0</v>
      </c>
      <c r="E41" s="15" t="n">
        <v>0</v>
      </c>
      <c r="F41" s="15">
        <f>D41-E41</f>
        <v/>
      </c>
      <c r="G41" s="16">
        <f>IF(D41=0,"",E41/D41*100)</f>
        <v/>
      </c>
    </row>
    <row r="42">
      <c r="A42" s="20" t="inlineStr">
        <is>
          <t>Fundraising events</t>
        </is>
      </c>
      <c r="B42" s="20" t="inlineStr">
        <is>
          <t>Jun 25</t>
        </is>
      </c>
      <c r="C42" s="20" t="inlineStr">
        <is>
          <t>Locked</t>
        </is>
      </c>
      <c r="D42" s="15" t="n">
        <v>0</v>
      </c>
      <c r="E42" s="15" t="n">
        <v>0</v>
      </c>
      <c r="F42" s="15">
        <f>D42-E42</f>
        <v/>
      </c>
      <c r="G42" s="16">
        <f>IF(D42=0,"",E42/D42*100)</f>
        <v/>
      </c>
    </row>
    <row r="43">
      <c r="A43" s="20" t="inlineStr">
        <is>
          <t>Fundraising events</t>
        </is>
      </c>
      <c r="B43" s="20" t="inlineStr">
        <is>
          <t>Jul 25</t>
        </is>
      </c>
      <c r="C43" s="20" t="inlineStr">
        <is>
          <t>Locked</t>
        </is>
      </c>
      <c r="D43" s="15" t="n">
        <v>0</v>
      </c>
      <c r="E43" s="15" t="n">
        <v>0</v>
      </c>
      <c r="F43" s="15">
        <f>D43-E43</f>
        <v/>
      </c>
      <c r="G43" s="16">
        <f>IF(D43=0,"",E43/D43*100)</f>
        <v/>
      </c>
    </row>
    <row r="44">
      <c r="A44" s="20" t="inlineStr">
        <is>
          <t>Fundraising events</t>
        </is>
      </c>
      <c r="B44" s="20" t="inlineStr">
        <is>
          <t>Aug 25</t>
        </is>
      </c>
      <c r="C44" s="20" t="inlineStr">
        <is>
          <t>Locked</t>
        </is>
      </c>
      <c r="D44" s="15" t="n">
        <v>0</v>
      </c>
      <c r="E44" s="15" t="n">
        <v>0</v>
      </c>
      <c r="F44" s="15">
        <f>D44-E44</f>
        <v/>
      </c>
      <c r="G44" s="16">
        <f>IF(D44=0,"",E44/D44*100)</f>
        <v/>
      </c>
    </row>
    <row r="45">
      <c r="A45" s="20" t="inlineStr">
        <is>
          <t>Fundraising events</t>
        </is>
      </c>
      <c r="B45" s="20" t="inlineStr">
        <is>
          <t>Sep 25</t>
        </is>
      </c>
      <c r="C45" s="20" t="inlineStr">
        <is>
          <t>Locked</t>
        </is>
      </c>
      <c r="D45" s="15" t="n">
        <v>36800</v>
      </c>
      <c r="E45" s="15" t="n">
        <v>15200</v>
      </c>
      <c r="F45" s="15">
        <f>D45-E45</f>
        <v/>
      </c>
      <c r="G45" s="16">
        <f>IF(D45=0,"",E45/D45*100)</f>
        <v/>
      </c>
    </row>
    <row r="46">
      <c r="A46" s="20" t="inlineStr">
        <is>
          <t>Fundraising events</t>
        </is>
      </c>
      <c r="B46" s="20" t="inlineStr">
        <is>
          <t>Oct 25</t>
        </is>
      </c>
      <c r="C46" s="20" t="inlineStr">
        <is>
          <t>Locked</t>
        </is>
      </c>
      <c r="D46" s="15" t="n">
        <v>0</v>
      </c>
      <c r="E46" s="15" t="n">
        <v>0</v>
      </c>
      <c r="F46" s="15">
        <f>D46-E46</f>
        <v/>
      </c>
      <c r="G46" s="16">
        <f>IF(D46=0,"",E46/D46*100)</f>
        <v/>
      </c>
    </row>
    <row r="47">
      <c r="A47" s="20" t="inlineStr">
        <is>
          <t>Fundraising events</t>
        </is>
      </c>
      <c r="B47" s="20" t="inlineStr">
        <is>
          <t>Nov 25</t>
        </is>
      </c>
      <c r="C47" s="20" t="inlineStr">
        <is>
          <t>Locked</t>
        </is>
      </c>
      <c r="D47" s="15" t="n">
        <v>0</v>
      </c>
      <c r="E47" s="15" t="n">
        <v>0</v>
      </c>
      <c r="F47" s="15">
        <f>D47-E47</f>
        <v/>
      </c>
      <c r="G47" s="16">
        <f>IF(D47=0,"",E47/D47*100)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2026&amp;R&amp;"Roboto,Regular"&amp;8 Page &amp;P of &amp;N</oddFooter>
    <evenHeader/>
    <evenFooter/>
    <firstHeader/>
    <firstFooter/>
  </headerFooter>
  <rowBreaks count="1" manualBreakCount="1">
    <brk id="1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2026-10-07T12:58:03Z</dcterms:created>
  <dcterms:modified xmlns:dcterms="http://purl.org/dc/terms/" xmlns:xsi="http://www.w3.org/2001/XMLSchema-instance" xsi:type="dcterms:W3CDTF">2026-10-07T12:58:03Z</dcterms:modified>
</cp:coreProperties>
</file>