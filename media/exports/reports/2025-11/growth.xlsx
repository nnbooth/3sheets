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November against November last year</t>
        </is>
      </c>
      <c r="B16" s="9">
        <f>Workings!B27</f>
        <v/>
      </c>
      <c r="C16" s="10" t="inlineStr">
        <is>
          <t>$174,786 against $179,474</t>
        </is>
      </c>
    </row>
    <row r="17">
      <c r="A17" t="inlineStr">
        <is>
          <t>Year to date (Jul to Nov 2025)</t>
        </is>
      </c>
      <c r="B17" s="9">
        <f>Workings!B35</f>
        <v/>
      </c>
      <c r="C17" s="10" t="inlineStr">
        <is>
          <t>same period last year: not in the data</t>
        </is>
      </c>
    </row>
    <row r="18">
      <c r="A18" t="inlineStr">
        <is>
          <t>Gross margin, year to date</t>
        </is>
      </c>
      <c r="B18" s="9">
        <f>Workings!B43</f>
        <v/>
      </c>
      <c r="C18" s="10" t="inlineStr">
        <is>
          <t>$283,831 before overheads</t>
        </is>
      </c>
    </row>
    <row r="19"/>
    <row r="20">
      <c r="A20" s="5" t="inlineStr">
        <is>
          <t>What it shows</t>
        </is>
      </c>
    </row>
    <row r="21" ht="45" customHeight="1">
      <c r="A21" s="3" t="inlineStr">
        <is>
          <t>Revenue is $757,863 this financial year to date (Jul to Nov 2025). Maintenance contracts make the highest gross margin (59.5%); Installations the lowest (28.2%). The business needs 31.4% gross margin just to cover overheads.</t>
        </is>
      </c>
    </row>
    <row r="22"/>
    <row r="23">
      <c r="A23" s="5" t="inlineStr">
        <is>
          <t>What you'd do about it</t>
        </is>
      </c>
    </row>
    <row r="24" ht="30" customHeight="1">
      <c r="A24" s="3" t="inlineStr">
        <is>
          <t>Maintenance contracts: 59.5% gross margin, the most profitable work you do. Installations: 28.2% gross margin, below the 31.4%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November against November last year</t>
        </is>
      </c>
      <c r="B28" s="9">
        <f>Workings!B51</f>
        <v/>
      </c>
      <c r="C28" s="10" t="inlineStr">
        <is>
          <t>$35,800 against $24,670</t>
        </is>
      </c>
    </row>
    <row r="29">
      <c r="A29" t="inlineStr">
        <is>
          <t>Year to date (Jul to Nov 2025)</t>
        </is>
      </c>
      <c r="B29" s="9">
        <f>Workings!B59</f>
        <v/>
      </c>
      <c r="C29" s="10" t="inlineStr">
        <is>
          <t>same period last year: not in the data</t>
        </is>
      </c>
    </row>
    <row r="30">
      <c r="A30" t="inlineStr">
        <is>
          <t>Gross margin, year to date</t>
        </is>
      </c>
      <c r="B30" s="9">
        <f>Workings!B67</f>
        <v/>
      </c>
      <c r="C30" s="10" t="inlineStr">
        <is>
          <t>$101,830 before overheads</t>
        </is>
      </c>
    </row>
    <row r="31"/>
    <row r="32">
      <c r="A32" s="5" t="inlineStr">
        <is>
          <t>What it shows</t>
        </is>
      </c>
    </row>
    <row r="33" ht="30" customHeight="1">
      <c r="A33" s="3" t="inlineStr">
        <is>
          <t>Maintenance contracts brought in $171,200 this financial year to date, at a 59.5% gross margin (above the 37.5% overall).</t>
        </is>
      </c>
    </row>
    <row r="34"/>
    <row r="35">
      <c r="A35" s="5" t="inlineStr">
        <is>
          <t>What you'd do about it</t>
        </is>
      </c>
    </row>
    <row r="36" ht="30" customHeight="1">
      <c r="A36" s="3" t="inlineStr">
        <is>
          <t>Maintenance contracts: 59.5% gross margin, 28.1 points clear of the 31.4% overheads need.</t>
        </is>
      </c>
    </row>
    <row r="37"/>
    <row r="38">
      <c r="A38" s="6" t="inlineStr">
        <is>
          <t>Line: Installations</t>
        </is>
      </c>
    </row>
    <row r="39">
      <c r="A39" s="7" t="inlineStr">
        <is>
          <t>Headline number</t>
        </is>
      </c>
      <c r="B39" s="8" t="inlineStr">
        <is>
          <t>Value</t>
        </is>
      </c>
      <c r="C39" s="8" t="inlineStr">
        <is>
          <t>Compared with</t>
        </is>
      </c>
    </row>
    <row r="40">
      <c r="A40" t="inlineStr">
        <is>
          <t>November against November last year</t>
        </is>
      </c>
      <c r="B40" s="9">
        <f>Workings!B75</f>
        <v/>
      </c>
      <c r="C40" s="10" t="inlineStr">
        <is>
          <t>$113,300 against $131,400</t>
        </is>
      </c>
    </row>
    <row r="41">
      <c r="A41" t="inlineStr">
        <is>
          <t>Year to date (Jul to Nov 2025)</t>
        </is>
      </c>
      <c r="B41" s="9">
        <f>Workings!B83</f>
        <v/>
      </c>
      <c r="C41" s="10" t="inlineStr">
        <is>
          <t>same period last year: not in the data</t>
        </is>
      </c>
    </row>
    <row r="42">
      <c r="A42" t="inlineStr">
        <is>
          <t>Gross margin, year to date</t>
        </is>
      </c>
      <c r="B42" s="9">
        <f>Workings!B91</f>
        <v/>
      </c>
      <c r="C42" s="10" t="inlineStr">
        <is>
          <t>$135,788 before overheads</t>
        </is>
      </c>
    </row>
    <row r="43"/>
    <row r="44">
      <c r="A44" s="5" t="inlineStr">
        <is>
          <t>What it shows</t>
        </is>
      </c>
    </row>
    <row r="45" ht="30" customHeight="1">
      <c r="A45" s="3" t="inlineStr">
        <is>
          <t>Installations brought in $481,200 this financial year to date, at a 28.2% gross margin (below the 37.5% overall).</t>
        </is>
      </c>
    </row>
    <row r="46"/>
    <row r="47">
      <c r="A47" s="5" t="inlineStr">
        <is>
          <t>What you'd do about it</t>
        </is>
      </c>
    </row>
    <row r="48" ht="30" customHeight="1">
      <c r="A48" s="3" t="inlineStr">
        <is>
          <t>Installations: 28.2% gross margin, below the 31.4%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November against November last year</t>
        </is>
      </c>
      <c r="B52" s="9">
        <f>Workings!B99</f>
        <v/>
      </c>
      <c r="C52" s="10" t="inlineStr">
        <is>
          <t>$25,686 against $23,404</t>
        </is>
      </c>
    </row>
    <row r="53">
      <c r="A53" t="inlineStr">
        <is>
          <t>Year to date (Jul to Nov 2025)</t>
        </is>
      </c>
      <c r="B53" s="9">
        <f>Workings!B107</f>
        <v/>
      </c>
      <c r="C53" s="10" t="inlineStr">
        <is>
          <t>same period last year: not in the data</t>
        </is>
      </c>
    </row>
    <row r="54">
      <c r="A54" t="inlineStr">
        <is>
          <t>Gross margin, year to date</t>
        </is>
      </c>
      <c r="B54" s="9">
        <f>Workings!B115</f>
        <v/>
      </c>
      <c r="C54" s="10" t="inlineStr">
        <is>
          <t>$46,213 before overheads</t>
        </is>
      </c>
    </row>
    <row r="55"/>
    <row r="56">
      <c r="A56" s="5" t="inlineStr">
        <is>
          <t>What it shows</t>
        </is>
      </c>
    </row>
    <row r="57" ht="30" customHeight="1">
      <c r="A57" s="3" t="inlineStr">
        <is>
          <t>Call-outs and repairs brought in $105,463 this financial year to date, at a 43.8% gross margin (above the 37.5% overall).</t>
        </is>
      </c>
    </row>
    <row r="58"/>
    <row r="59">
      <c r="A59" s="5" t="inlineStr">
        <is>
          <t>What you'd do about it</t>
        </is>
      </c>
    </row>
    <row r="60" ht="30" customHeight="1">
      <c r="A60" s="3" t="inlineStr">
        <is>
          <t>Call-outs and repairs: 43.8% gross margin, 12.4 points clear of the 31.4%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November's client work made $52,800 gross margin (62.9%). Consultant time not charged to client work took $11,210 and overheads $51,270, leaving ($9,680) profit before tax ((11.5%) of revenue). To cover overheads, client work needs a 74.4%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November against November last year</t>
        </is>
      </c>
      <c r="B74" s="9">
        <f>Workings!B140</f>
        <v/>
      </c>
      <c r="C74" s="10" t="inlineStr">
        <is>
          <t>$83,940 against $108,140</t>
        </is>
      </c>
    </row>
    <row r="75">
      <c r="A75" t="inlineStr">
        <is>
          <t>Year to date (Jul to Nov 2025)</t>
        </is>
      </c>
      <c r="B75" s="9">
        <f>Workings!B148</f>
        <v/>
      </c>
      <c r="C75" s="10" t="inlineStr">
        <is>
          <t>same period last year: not in the data</t>
        </is>
      </c>
    </row>
    <row r="76">
      <c r="A76" t="inlineStr">
        <is>
          <t>Gross margin, year to date</t>
        </is>
      </c>
      <c r="B76" s="9">
        <f>Workings!B156</f>
        <v/>
      </c>
      <c r="C76" s="10" t="inlineStr">
        <is>
          <t>$231,390 before overheads</t>
        </is>
      </c>
    </row>
    <row r="77"/>
    <row r="78">
      <c r="A78" s="5" t="inlineStr">
        <is>
          <t>What it shows</t>
        </is>
      </c>
    </row>
    <row r="79" ht="45" customHeight="1">
      <c r="A79" s="3" t="inlineStr">
        <is>
          <t>Revenue is $362,530 this financial year to date (Jul to Nov 2025). Training makes the highest gross margin (75.8%); Projects the lowest (61.4%). The business needs 74.4% gross margin just to cover overheads.</t>
        </is>
      </c>
    </row>
    <row r="80"/>
    <row r="81">
      <c r="A81" s="5" t="inlineStr">
        <is>
          <t>What you'd do about it</t>
        </is>
      </c>
    </row>
    <row r="82" ht="30" customHeight="1">
      <c r="A82" s="3" t="inlineStr">
        <is>
          <t>Training: 75.8% gross margin, the most profitable work you do. Projects: 61.4% gross margin, below the 74.4%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November against November last year</t>
        </is>
      </c>
      <c r="B86" s="9">
        <f>Workings!B164</f>
        <v/>
      </c>
      <c r="C86" s="10" t="inlineStr">
        <is>
          <t>$46,840 against $88,540</t>
        </is>
      </c>
    </row>
    <row r="87">
      <c r="A87" t="inlineStr">
        <is>
          <t>Year to date (Jul to Nov 2025)</t>
        </is>
      </c>
      <c r="B87" s="9">
        <f>Workings!B172</f>
        <v/>
      </c>
      <c r="C87" s="10" t="inlineStr">
        <is>
          <t>same period last year: not in the data</t>
        </is>
      </c>
    </row>
    <row r="88">
      <c r="A88" t="inlineStr">
        <is>
          <t>Gross margin, year to date</t>
        </is>
      </c>
      <c r="B88" s="9">
        <f>Workings!B180</f>
        <v/>
      </c>
      <c r="C88" s="10" t="inlineStr">
        <is>
          <t>$143,810 before overheads</t>
        </is>
      </c>
    </row>
    <row r="89"/>
    <row r="90">
      <c r="A90" s="5" t="inlineStr">
        <is>
          <t>What it shows</t>
        </is>
      </c>
    </row>
    <row r="91" ht="30" customHeight="1">
      <c r="A91" s="3" t="inlineStr">
        <is>
          <t>Projects brought in $234,330 this financial year to date, at a 61.4% gross margin (below the 63.8% overall).</t>
        </is>
      </c>
    </row>
    <row r="92"/>
    <row r="93">
      <c r="A93" s="5" t="inlineStr">
        <is>
          <t>What you'd do about it</t>
        </is>
      </c>
    </row>
    <row r="94" ht="30" customHeight="1">
      <c r="A94" s="3" t="inlineStr">
        <is>
          <t>Projects: 61.4% gross margin, below the 74.4%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November against November last year</t>
        </is>
      </c>
      <c r="B98" s="9">
        <f>Workings!B188</f>
        <v/>
      </c>
      <c r="C98" s="10" t="inlineStr">
        <is>
          <t>$28,300 against $15,000</t>
        </is>
      </c>
    </row>
    <row r="99">
      <c r="A99" t="inlineStr">
        <is>
          <t>Year to date (Jul to Nov 2025)</t>
        </is>
      </c>
      <c r="B99" s="9">
        <f>Workings!B196</f>
        <v/>
      </c>
      <c r="C99" s="10" t="inlineStr">
        <is>
          <t>same period last year: not in the data</t>
        </is>
      </c>
    </row>
    <row r="100">
      <c r="A100" t="inlineStr">
        <is>
          <t>Gross margin, year to date</t>
        </is>
      </c>
      <c r="B100" s="9">
        <f>Workings!B204</f>
        <v/>
      </c>
      <c r="C100" s="10" t="inlineStr">
        <is>
          <t>$61,280 before overheads</t>
        </is>
      </c>
    </row>
    <row r="101"/>
    <row r="102">
      <c r="A102" s="5" t="inlineStr">
        <is>
          <t>What it shows</t>
        </is>
      </c>
    </row>
    <row r="103" ht="30" customHeight="1">
      <c r="A103" s="3" t="inlineStr">
        <is>
          <t>Retainers brought in $93,500 this financial year to date, at a 65.5% gross margin (above the 63.8% overall).</t>
        </is>
      </c>
    </row>
    <row r="104"/>
    <row r="105">
      <c r="A105" s="5" t="inlineStr">
        <is>
          <t>What you'd do about it</t>
        </is>
      </c>
    </row>
    <row r="106" ht="30" customHeight="1">
      <c r="A106" s="3" t="inlineStr">
        <is>
          <t>Retainers: 65.5% gross margin, below the 74.4%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November against November last year</t>
        </is>
      </c>
      <c r="B110" s="9">
        <f>Workings!B212</f>
        <v/>
      </c>
      <c r="C110" s="10" t="inlineStr">
        <is>
          <t>$8,800 against $4,600</t>
        </is>
      </c>
    </row>
    <row r="111">
      <c r="A111" t="inlineStr">
        <is>
          <t>Year to date (Jul to Nov 2025)</t>
        </is>
      </c>
      <c r="B111" s="9">
        <f>Workings!B220</f>
        <v/>
      </c>
      <c r="C111" s="10" t="inlineStr">
        <is>
          <t>same period last year: not in the data</t>
        </is>
      </c>
    </row>
    <row r="112">
      <c r="A112" t="inlineStr">
        <is>
          <t>Gross margin, year to date</t>
        </is>
      </c>
      <c r="B112" s="9">
        <f>Workings!B228</f>
        <v/>
      </c>
      <c r="C112" s="10" t="inlineStr">
        <is>
          <t>$26,300 before overheads</t>
        </is>
      </c>
    </row>
    <row r="113"/>
    <row r="114">
      <c r="A114" s="5" t="inlineStr">
        <is>
          <t>What it shows</t>
        </is>
      </c>
    </row>
    <row r="115" ht="30" customHeight="1">
      <c r="A115" s="3" t="inlineStr">
        <is>
          <t>Training brought in $34,700 this financial year to date, at a 75.8% gross margin (above the 63.8% overall).</t>
        </is>
      </c>
    </row>
    <row r="116"/>
    <row r="117">
      <c r="A117" s="5" t="inlineStr">
        <is>
          <t>What you'd do about it</t>
        </is>
      </c>
    </row>
    <row r="118" ht="30" customHeight="1">
      <c r="A118" s="3" t="inlineStr">
        <is>
          <t>Training: 75.8% gross margin, 1.4 points clear of the 74.4%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6" t="inlineStr">
        <is>
          <t>From gross margin to profit, November 2025</t>
        </is>
      </c>
    </row>
    <row r="6">
      <c r="A6" s="11" t="inlineStr">
        <is>
          <t>Gross margin on the work − time not charged − overheads = profit before tax</t>
        </is>
      </c>
    </row>
    <row r="7">
      <c r="A7" s="7" t="inlineStr"/>
      <c r="B7" s="8" t="inlineStr">
        <is>
          <t>Nov 2025</t>
        </is>
      </c>
    </row>
    <row r="8">
      <c r="A8" t="inlineStr">
        <is>
          <t>Gross margin on jobs</t>
        </is>
      </c>
      <c r="B8" s="12" t="n">
        <v>58844</v>
      </c>
    </row>
    <row r="9">
      <c r="A9" t="inlineStr">
        <is>
          <t>Technician wages and on-costs</t>
        </is>
      </c>
      <c r="B9" s="12" t="n">
        <v>46800</v>
      </c>
    </row>
    <row r="10">
      <c r="A10" t="inlineStr">
        <is>
          <t>Technician time charged to jobs (at cost)</t>
        </is>
      </c>
      <c r="B10" s="12" t="n">
        <v>49912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57960</v>
      </c>
    </row>
    <row r="14">
      <c r="A14" t="inlineStr">
        <is>
          <t>Profit before tax (the P&amp;L)</t>
        </is>
      </c>
      <c r="B14" s="12">
        <f>B12-B13</f>
        <v/>
      </c>
    </row>
    <row r="15">
      <c r="A15" t="inlineStr">
        <is>
          <t>Revenue</t>
        </is>
      </c>
      <c r="B15" s="12" t="n">
        <v>174786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November 2025 P&amp;L (locked). Wages always include all on-costs: super, payroll tax, workers' compensation insurance and leave.</t>
        </is>
      </c>
    </row>
    <row r="20"/>
    <row r="21"/>
    <row r="22">
      <c r="A22" s="6" t="inlineStr">
        <is>
          <t>All lines: November against November last year</t>
        </is>
      </c>
    </row>
    <row r="23">
      <c r="A23" s="11" t="inlineStr">
        <is>
          <t>November 2025 ÷ November 2024 − 1 (year on year)</t>
        </is>
      </c>
    </row>
    <row r="24">
      <c r="A24" s="7" t="inlineStr"/>
      <c r="B24" s="8" t="inlineStr">
        <is>
          <t>Nov</t>
        </is>
      </c>
    </row>
    <row r="25">
      <c r="A25" t="inlineStr">
        <is>
          <t>Revenue, Nov 2025</t>
        </is>
      </c>
      <c r="B25" s="12" t="n">
        <v>174786</v>
      </c>
    </row>
    <row r="26">
      <c r="A26" t="inlineStr">
        <is>
          <t>Revenue, Nov 2024</t>
        </is>
      </c>
      <c r="B26" s="12" t="n">
        <v>179474</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Nov 2025)</t>
        </is>
      </c>
      <c r="B33" s="12" t="n">
        <v>757863</v>
      </c>
    </row>
    <row r="34">
      <c r="A34" t="inlineStr">
        <is>
          <t>Gross margin, year to date</t>
        </is>
      </c>
      <c r="B34" s="12" t="n">
        <v>283831</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Nov 2025)</t>
        </is>
      </c>
      <c r="B41" s="12" t="n">
        <v>757863</v>
      </c>
    </row>
    <row r="42">
      <c r="A42" t="inlineStr">
        <is>
          <t>Gross margin, year to date</t>
        </is>
      </c>
      <c r="B42" s="12" t="n">
        <v>283831</v>
      </c>
    </row>
    <row r="43">
      <c r="A43" s="14" t="inlineStr">
        <is>
          <t>Gross margin %, year to date</t>
        </is>
      </c>
      <c r="B43" s="15">
        <f>B42/B41</f>
        <v/>
      </c>
    </row>
    <row r="44"/>
    <row r="45"/>
    <row r="46">
      <c r="A46" s="6" t="inlineStr">
        <is>
          <t>Maintenance contracts: November against November last year</t>
        </is>
      </c>
    </row>
    <row r="47">
      <c r="A47" s="11" t="inlineStr">
        <is>
          <t>November 2025 ÷ November 2024 − 1 (year on year)</t>
        </is>
      </c>
    </row>
    <row r="48">
      <c r="A48" s="7" t="inlineStr"/>
      <c r="B48" s="8" t="inlineStr">
        <is>
          <t>Nov</t>
        </is>
      </c>
    </row>
    <row r="49">
      <c r="A49" t="inlineStr">
        <is>
          <t>Revenue, Nov 2025</t>
        </is>
      </c>
      <c r="B49" s="12" t="n">
        <v>35800</v>
      </c>
    </row>
    <row r="50">
      <c r="A50" t="inlineStr">
        <is>
          <t>Revenue, Nov 2024</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Nov 2025)</t>
        </is>
      </c>
      <c r="B57" s="12" t="n">
        <v>171200</v>
      </c>
    </row>
    <row r="58">
      <c r="A58" t="inlineStr">
        <is>
          <t>Gross margin, year to date</t>
        </is>
      </c>
      <c r="B58" s="12" t="n">
        <v>101830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Nov 2025)</t>
        </is>
      </c>
      <c r="B65" s="12" t="n">
        <v>171200</v>
      </c>
    </row>
    <row r="66">
      <c r="A66" t="inlineStr">
        <is>
          <t>Gross margin, year to date</t>
        </is>
      </c>
      <c r="B66" s="12" t="n">
        <v>101830</v>
      </c>
    </row>
    <row r="67">
      <c r="A67" s="14" t="inlineStr">
        <is>
          <t>Gross margin %, year to date</t>
        </is>
      </c>
      <c r="B67" s="15">
        <f>B66/B65</f>
        <v/>
      </c>
    </row>
    <row r="68"/>
    <row r="69"/>
    <row r="70">
      <c r="A70" s="6" t="inlineStr">
        <is>
          <t>Installations: November against November last year</t>
        </is>
      </c>
    </row>
    <row r="71">
      <c r="A71" s="11" t="inlineStr">
        <is>
          <t>November 2025 ÷ November 2024 − 1 (year on year)</t>
        </is>
      </c>
    </row>
    <row r="72">
      <c r="A72" s="7" t="inlineStr"/>
      <c r="B72" s="8" t="inlineStr">
        <is>
          <t>Nov</t>
        </is>
      </c>
    </row>
    <row r="73">
      <c r="A73" t="inlineStr">
        <is>
          <t>Revenue, Nov 2025</t>
        </is>
      </c>
      <c r="B73" s="12" t="n">
        <v>113300</v>
      </c>
    </row>
    <row r="74">
      <c r="A74" t="inlineStr">
        <is>
          <t>Revenue, Nov 2024</t>
        </is>
      </c>
      <c r="B74" s="12" t="n">
        <v>131400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Nov 2025)</t>
        </is>
      </c>
      <c r="B81" s="12" t="n">
        <v>481200</v>
      </c>
    </row>
    <row r="82">
      <c r="A82" t="inlineStr">
        <is>
          <t>Gross margin, year to date</t>
        </is>
      </c>
      <c r="B82" s="12" t="n">
        <v>135788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Nov 2025)</t>
        </is>
      </c>
      <c r="B89" s="12" t="n">
        <v>481200</v>
      </c>
    </row>
    <row r="90">
      <c r="A90" t="inlineStr">
        <is>
          <t>Gross margin, year to date</t>
        </is>
      </c>
      <c r="B90" s="12" t="n">
        <v>135788</v>
      </c>
    </row>
    <row r="91">
      <c r="A91" s="14" t="inlineStr">
        <is>
          <t>Gross margin %, year to date</t>
        </is>
      </c>
      <c r="B91" s="15">
        <f>B90/B89</f>
        <v/>
      </c>
    </row>
    <row r="92"/>
    <row r="93"/>
    <row r="94">
      <c r="A94" s="6" t="inlineStr">
        <is>
          <t>Call-outs and repairs: November against November last year</t>
        </is>
      </c>
    </row>
    <row r="95">
      <c r="A95" s="11" t="inlineStr">
        <is>
          <t>November 2025 ÷ November 2024 − 1 (year on year)</t>
        </is>
      </c>
    </row>
    <row r="96">
      <c r="A96" s="7" t="inlineStr"/>
      <c r="B96" s="8" t="inlineStr">
        <is>
          <t>Nov</t>
        </is>
      </c>
    </row>
    <row r="97">
      <c r="A97" t="inlineStr">
        <is>
          <t>Revenue, Nov 2025</t>
        </is>
      </c>
      <c r="B97" s="12" t="n">
        <v>25686</v>
      </c>
    </row>
    <row r="98">
      <c r="A98" t="inlineStr">
        <is>
          <t>Revenue, Nov 2024</t>
        </is>
      </c>
      <c r="B98" s="12" t="n">
        <v>23404</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Nov 2025)</t>
        </is>
      </c>
      <c r="B105" s="12" t="n">
        <v>105463</v>
      </c>
    </row>
    <row r="106">
      <c r="A106" t="inlineStr">
        <is>
          <t>Gross margin, year to date</t>
        </is>
      </c>
      <c r="B106" s="12" t="n">
        <v>46213</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Nov 2025)</t>
        </is>
      </c>
      <c r="B113" s="12" t="n">
        <v>105463</v>
      </c>
    </row>
    <row r="114">
      <c r="A114" t="inlineStr">
        <is>
          <t>Gross margin, year to date</t>
        </is>
      </c>
      <c r="B114" s="12" t="n">
        <v>46213</v>
      </c>
    </row>
    <row r="115">
      <c r="A115" s="14" t="inlineStr">
        <is>
          <t>Gross margin %, year to date</t>
        </is>
      </c>
      <c r="B115" s="15">
        <f>B114/B113</f>
        <v/>
      </c>
    </row>
    <row r="116"/>
    <row r="117"/>
    <row r="118">
      <c r="A118" s="6" t="inlineStr">
        <is>
          <t>From gross margin to profit, November 2025</t>
        </is>
      </c>
    </row>
    <row r="119">
      <c r="A119" s="11" t="inlineStr">
        <is>
          <t>Gross margin on the work − time not charged − overheads = profit before tax</t>
        </is>
      </c>
    </row>
    <row r="120">
      <c r="A120" s="7" t="inlineStr"/>
      <c r="B120" s="8" t="inlineStr">
        <is>
          <t>Nov 2025</t>
        </is>
      </c>
    </row>
    <row r="121">
      <c r="A121" t="inlineStr">
        <is>
          <t>Gross margin on client work</t>
        </is>
      </c>
      <c r="B121" s="12" t="n">
        <v>52800</v>
      </c>
    </row>
    <row r="122">
      <c r="A122" t="inlineStr">
        <is>
          <t>Consultant wages and on-costs</t>
        </is>
      </c>
      <c r="B122" s="12" t="n">
        <v>38750</v>
      </c>
    </row>
    <row r="123">
      <c r="A123" t="inlineStr">
        <is>
          <t>Consultant time charged to client work (at cost)</t>
        </is>
      </c>
      <c r="B123" s="12" t="n">
        <v>27540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51270</v>
      </c>
    </row>
    <row r="127">
      <c r="A127" t="inlineStr">
        <is>
          <t>Profit before tax (the P&amp;L)</t>
        </is>
      </c>
      <c r="B127" s="12">
        <f>B125-B126</f>
        <v/>
      </c>
    </row>
    <row r="128">
      <c r="A128" t="inlineStr">
        <is>
          <t>Revenue</t>
        </is>
      </c>
      <c r="B128" s="12" t="n">
        <v>83940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November 2025 P&amp;L (locked). Wages always include all on-costs: super, payroll tax, workers' compensation insurance and leave.</t>
        </is>
      </c>
    </row>
    <row r="133"/>
    <row r="134"/>
    <row r="135">
      <c r="A135" s="6" t="inlineStr">
        <is>
          <t>All lines: November against November last year</t>
        </is>
      </c>
    </row>
    <row r="136">
      <c r="A136" s="11" t="inlineStr">
        <is>
          <t>November 2025 ÷ November 2024 − 1 (year on year)</t>
        </is>
      </c>
    </row>
    <row r="137">
      <c r="A137" s="7" t="inlineStr"/>
      <c r="B137" s="8" t="inlineStr">
        <is>
          <t>Nov</t>
        </is>
      </c>
    </row>
    <row r="138">
      <c r="A138" t="inlineStr">
        <is>
          <t>Revenue, Nov 2025</t>
        </is>
      </c>
      <c r="B138" s="12" t="n">
        <v>83940</v>
      </c>
    </row>
    <row r="139">
      <c r="A139" t="inlineStr">
        <is>
          <t>Revenue, Nov 2024</t>
        </is>
      </c>
      <c r="B139" s="12" t="n">
        <v>108140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Nov 2025)</t>
        </is>
      </c>
      <c r="B146" s="12" t="n">
        <v>362530</v>
      </c>
    </row>
    <row r="147">
      <c r="A147" t="inlineStr">
        <is>
          <t>Gross margin, year to date</t>
        </is>
      </c>
      <c r="B147" s="12" t="n">
        <v>231390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Nov 2025)</t>
        </is>
      </c>
      <c r="B154" s="12" t="n">
        <v>362530</v>
      </c>
    </row>
    <row r="155">
      <c r="A155" t="inlineStr">
        <is>
          <t>Gross margin, year to date</t>
        </is>
      </c>
      <c r="B155" s="12" t="n">
        <v>231390</v>
      </c>
    </row>
    <row r="156">
      <c r="A156" s="14" t="inlineStr">
        <is>
          <t>Gross margin %, year to date</t>
        </is>
      </c>
      <c r="B156" s="15">
        <f>B155/B154</f>
        <v/>
      </c>
    </row>
    <row r="157"/>
    <row r="158"/>
    <row r="159">
      <c r="A159" s="6" t="inlineStr">
        <is>
          <t>Projects: November against November last year</t>
        </is>
      </c>
    </row>
    <row r="160">
      <c r="A160" s="11" t="inlineStr">
        <is>
          <t>November 2025 ÷ November 2024 − 1 (year on year)</t>
        </is>
      </c>
    </row>
    <row r="161">
      <c r="A161" s="7" t="inlineStr"/>
      <c r="B161" s="8" t="inlineStr">
        <is>
          <t>Nov</t>
        </is>
      </c>
    </row>
    <row r="162">
      <c r="A162" t="inlineStr">
        <is>
          <t>Revenue, Nov 2025</t>
        </is>
      </c>
      <c r="B162" s="12" t="n">
        <v>46840</v>
      </c>
    </row>
    <row r="163">
      <c r="A163" t="inlineStr">
        <is>
          <t>Revenue, Nov 2024</t>
        </is>
      </c>
      <c r="B163" s="12" t="n">
        <v>88540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Nov 2025)</t>
        </is>
      </c>
      <c r="B170" s="12" t="n">
        <v>234330</v>
      </c>
    </row>
    <row r="171">
      <c r="A171" t="inlineStr">
        <is>
          <t>Gross margin, year to date</t>
        </is>
      </c>
      <c r="B171" s="12" t="n">
        <v>143810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Nov 2025)</t>
        </is>
      </c>
      <c r="B178" s="12" t="n">
        <v>234330</v>
      </c>
    </row>
    <row r="179">
      <c r="A179" t="inlineStr">
        <is>
          <t>Gross margin, year to date</t>
        </is>
      </c>
      <c r="B179" s="12" t="n">
        <v>143810</v>
      </c>
    </row>
    <row r="180">
      <c r="A180" s="14" t="inlineStr">
        <is>
          <t>Gross margin %, year to date</t>
        </is>
      </c>
      <c r="B180" s="15">
        <f>B179/B178</f>
        <v/>
      </c>
    </row>
    <row r="181"/>
    <row r="182"/>
    <row r="183">
      <c r="A183" s="6" t="inlineStr">
        <is>
          <t>Retainers: November against November last year</t>
        </is>
      </c>
    </row>
    <row r="184">
      <c r="A184" s="11" t="inlineStr">
        <is>
          <t>November 2025 ÷ November 2024 − 1 (year on year)</t>
        </is>
      </c>
    </row>
    <row r="185">
      <c r="A185" s="7" t="inlineStr"/>
      <c r="B185" s="8" t="inlineStr">
        <is>
          <t>Nov</t>
        </is>
      </c>
    </row>
    <row r="186">
      <c r="A186" t="inlineStr">
        <is>
          <t>Revenue, Nov 2025</t>
        </is>
      </c>
      <c r="B186" s="12" t="n">
        <v>28300</v>
      </c>
    </row>
    <row r="187">
      <c r="A187" t="inlineStr">
        <is>
          <t>Revenue, Nov 2024</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Nov 2025)</t>
        </is>
      </c>
      <c r="B194" s="12" t="n">
        <v>93500</v>
      </c>
    </row>
    <row r="195">
      <c r="A195" t="inlineStr">
        <is>
          <t>Gross margin, year to date</t>
        </is>
      </c>
      <c r="B195" s="12" t="n">
        <v>61280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Nov 2025)</t>
        </is>
      </c>
      <c r="B202" s="12" t="n">
        <v>93500</v>
      </c>
    </row>
    <row r="203">
      <c r="A203" t="inlineStr">
        <is>
          <t>Gross margin, year to date</t>
        </is>
      </c>
      <c r="B203" s="12" t="n">
        <v>61280</v>
      </c>
    </row>
    <row r="204">
      <c r="A204" s="14" t="inlineStr">
        <is>
          <t>Gross margin %, year to date</t>
        </is>
      </c>
      <c r="B204" s="15">
        <f>B203/B202</f>
        <v/>
      </c>
    </row>
    <row r="205"/>
    <row r="206"/>
    <row r="207">
      <c r="A207" s="6" t="inlineStr">
        <is>
          <t>Training: November against November last year</t>
        </is>
      </c>
    </row>
    <row r="208">
      <c r="A208" s="11" t="inlineStr">
        <is>
          <t>November 2025 ÷ November 2024 − 1 (year on year)</t>
        </is>
      </c>
    </row>
    <row r="209">
      <c r="A209" s="7" t="inlineStr"/>
      <c r="B209" s="8" t="inlineStr">
        <is>
          <t>Nov</t>
        </is>
      </c>
    </row>
    <row r="210">
      <c r="A210" t="inlineStr">
        <is>
          <t>Revenue, Nov 2025</t>
        </is>
      </c>
      <c r="B210" s="12" t="n">
        <v>8800</v>
      </c>
    </row>
    <row r="211">
      <c r="A211" t="inlineStr">
        <is>
          <t>Revenue, Nov 2024</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Nov 2025)</t>
        </is>
      </c>
      <c r="B218" s="12" t="n">
        <v>34700</v>
      </c>
    </row>
    <row r="219">
      <c r="A219" t="inlineStr">
        <is>
          <t>Gross margin, year to date</t>
        </is>
      </c>
      <c r="B219" s="12" t="n">
        <v>26300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Nov 2025)</t>
        </is>
      </c>
      <c r="B226" s="12" t="n">
        <v>34700</v>
      </c>
    </row>
    <row r="227">
      <c r="A227" t="inlineStr">
        <is>
          <t>Gross margin, year to date</t>
        </is>
      </c>
      <c r="B227" s="12" t="n">
        <v>26300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Maintenance contracts</t>
        </is>
      </c>
      <c r="B20" s="16" t="inlineStr">
        <is>
          <t>Oct 24</t>
        </is>
      </c>
      <c r="C20" s="16" t="inlineStr">
        <is>
          <t>Locked</t>
        </is>
      </c>
      <c r="D20" s="12" t="n">
        <v>24670</v>
      </c>
      <c r="E20" s="12" t="n">
        <v>10420</v>
      </c>
      <c r="F20" s="12">
        <f>D20-E20</f>
        <v/>
      </c>
      <c r="G20" s="13">
        <f>IF(D20=0,"",F20/D20)</f>
        <v/>
      </c>
    </row>
    <row r="21">
      <c r="A21" s="16" t="inlineStr">
        <is>
          <t>Maintenance contracts</t>
        </is>
      </c>
      <c r="B21" s="16" t="inlineStr">
        <is>
          <t>Nov 24</t>
        </is>
      </c>
      <c r="C21" s="16" t="inlineStr">
        <is>
          <t>Locked</t>
        </is>
      </c>
      <c r="D21" s="12" t="n">
        <v>24670</v>
      </c>
      <c r="E21" s="12" t="n">
        <v>10420</v>
      </c>
      <c r="F21" s="12">
        <f>D21-E21</f>
        <v/>
      </c>
      <c r="G21" s="13">
        <f>IF(D21=0,"",F21/D21)</f>
        <v/>
      </c>
    </row>
    <row r="22">
      <c r="A22" s="16" t="inlineStr">
        <is>
          <t>Maintenance contracts</t>
        </is>
      </c>
      <c r="B22" s="16" t="inlineStr">
        <is>
          <t>Dec 24</t>
        </is>
      </c>
      <c r="C22" s="16" t="inlineStr">
        <is>
          <t>Locked</t>
        </is>
      </c>
      <c r="D22" s="12" t="n">
        <v>24670</v>
      </c>
      <c r="E22" s="12" t="n">
        <v>10420</v>
      </c>
      <c r="F22" s="12">
        <f>D22-E22</f>
        <v/>
      </c>
      <c r="G22" s="13">
        <f>IF(D22=0,"",F22/D22)</f>
        <v/>
      </c>
    </row>
    <row r="23">
      <c r="A23" s="16" t="inlineStr">
        <is>
          <t>Maintenance contracts</t>
        </is>
      </c>
      <c r="B23" s="16" t="inlineStr">
        <is>
          <t>Jan 25</t>
        </is>
      </c>
      <c r="C23" s="16" t="inlineStr">
        <is>
          <t>Locked</t>
        </is>
      </c>
      <c r="D23" s="12" t="n">
        <v>24670</v>
      </c>
      <c r="E23" s="12" t="n">
        <v>10420</v>
      </c>
      <c r="F23" s="12">
        <f>D23-E23</f>
        <v/>
      </c>
      <c r="G23" s="13">
        <f>IF(D23=0,"",F23/D23)</f>
        <v/>
      </c>
    </row>
    <row r="24">
      <c r="A24" s="16" t="inlineStr">
        <is>
          <t>Maintenance contracts</t>
        </is>
      </c>
      <c r="B24" s="16" t="inlineStr">
        <is>
          <t>Feb 25</t>
        </is>
      </c>
      <c r="C24" s="16" t="inlineStr">
        <is>
          <t>Locked</t>
        </is>
      </c>
      <c r="D24" s="12" t="n">
        <v>27930</v>
      </c>
      <c r="E24" s="12" t="n">
        <v>11782</v>
      </c>
      <c r="F24" s="12">
        <f>D24-E24</f>
        <v/>
      </c>
      <c r="G24" s="13">
        <f>IF(D24=0,"",F24/D24)</f>
        <v/>
      </c>
    </row>
    <row r="25">
      <c r="A25" s="16" t="inlineStr">
        <is>
          <t>Maintenance contracts</t>
        </is>
      </c>
      <c r="B25" s="16" t="inlineStr">
        <is>
          <t>Mar 25</t>
        </is>
      </c>
      <c r="C25" s="16" t="inlineStr">
        <is>
          <t>Locked</t>
        </is>
      </c>
      <c r="D25" s="12" t="n">
        <v>27930</v>
      </c>
      <c r="E25" s="12" t="n">
        <v>11782</v>
      </c>
      <c r="F25" s="12">
        <f>D25-E25</f>
        <v/>
      </c>
      <c r="G25" s="13">
        <f>IF(D25=0,"",F25/D25)</f>
        <v/>
      </c>
    </row>
    <row r="26">
      <c r="A26" s="16" t="inlineStr">
        <is>
          <t>Maintenance contracts</t>
        </is>
      </c>
      <c r="B26" s="16" t="inlineStr">
        <is>
          <t>Apr 25</t>
        </is>
      </c>
      <c r="C26" s="16" t="inlineStr">
        <is>
          <t>Locked</t>
        </is>
      </c>
      <c r="D26" s="12" t="n">
        <v>27930</v>
      </c>
      <c r="E26" s="12" t="n">
        <v>11782</v>
      </c>
      <c r="F26" s="12">
        <f>D26-E26</f>
        <v/>
      </c>
      <c r="G26" s="13">
        <f>IF(D26=0,"",F26/D26)</f>
        <v/>
      </c>
    </row>
    <row r="27">
      <c r="A27" s="16" t="inlineStr">
        <is>
          <t>Maintenance contracts</t>
        </is>
      </c>
      <c r="B27" s="16" t="inlineStr">
        <is>
          <t>May 25</t>
        </is>
      </c>
      <c r="C27" s="16" t="inlineStr">
        <is>
          <t>Locked</t>
        </is>
      </c>
      <c r="D27" s="12" t="n">
        <v>27930</v>
      </c>
      <c r="E27" s="12" t="n">
        <v>11782</v>
      </c>
      <c r="F27" s="12">
        <f>D27-E27</f>
        <v/>
      </c>
      <c r="G27" s="13">
        <f>IF(D27=0,"",F27/D27)</f>
        <v/>
      </c>
    </row>
    <row r="28">
      <c r="A28" s="16" t="inlineStr">
        <is>
          <t>Maintenance contracts</t>
        </is>
      </c>
      <c r="B28" s="16" t="inlineStr">
        <is>
          <t>Jun 25</t>
        </is>
      </c>
      <c r="C28" s="16" t="inlineStr">
        <is>
          <t>Locked</t>
        </is>
      </c>
      <c r="D28" s="12" t="n">
        <v>31870</v>
      </c>
      <c r="E28" s="12" t="n">
        <v>13446</v>
      </c>
      <c r="F28" s="12">
        <f>D28-E28</f>
        <v/>
      </c>
      <c r="G28" s="13">
        <f>IF(D28=0,"",F28/D28)</f>
        <v/>
      </c>
    </row>
    <row r="29">
      <c r="A29" s="16" t="inlineStr">
        <is>
          <t>Maintenance contracts</t>
        </is>
      </c>
      <c r="B29" s="16" t="inlineStr">
        <is>
          <t>Jul 25</t>
        </is>
      </c>
      <c r="C29" s="16" t="inlineStr">
        <is>
          <t>Locked</t>
        </is>
      </c>
      <c r="D29" s="12" t="n">
        <v>33200</v>
      </c>
      <c r="E29" s="12" t="n">
        <v>13446</v>
      </c>
      <c r="F29" s="12">
        <f>D29-E29</f>
        <v/>
      </c>
      <c r="G29" s="13">
        <f>IF(D29=0,"",F29/D29)</f>
        <v/>
      </c>
    </row>
    <row r="30">
      <c r="A30" s="16" t="inlineStr">
        <is>
          <t>Maintenance contracts</t>
        </is>
      </c>
      <c r="B30" s="16" t="inlineStr">
        <is>
          <t>Aug 25</t>
        </is>
      </c>
      <c r="C30" s="16" t="inlineStr">
        <is>
          <t>Locked</t>
        </is>
      </c>
      <c r="D30" s="12" t="n">
        <v>33200</v>
      </c>
      <c r="E30" s="12" t="n">
        <v>13446</v>
      </c>
      <c r="F30" s="12">
        <f>D30-E30</f>
        <v/>
      </c>
      <c r="G30" s="13">
        <f>IF(D30=0,"",F30/D30)</f>
        <v/>
      </c>
    </row>
    <row r="31">
      <c r="A31" s="16" t="inlineStr">
        <is>
          <t>Maintenance contracts</t>
        </is>
      </c>
      <c r="B31" s="16" t="inlineStr">
        <is>
          <t>Sep 25</t>
        </is>
      </c>
      <c r="C31" s="16" t="inlineStr">
        <is>
          <t>Locked</t>
        </is>
      </c>
      <c r="D31" s="12" t="n">
        <v>33200</v>
      </c>
      <c r="E31" s="12" t="n">
        <v>13446</v>
      </c>
      <c r="F31" s="12">
        <f>D31-E31</f>
        <v/>
      </c>
      <c r="G31" s="13">
        <f>IF(D31=0,"",F31/D31)</f>
        <v/>
      </c>
    </row>
    <row r="32">
      <c r="A32" s="16" t="inlineStr">
        <is>
          <t>Maintenance contracts</t>
        </is>
      </c>
      <c r="B32" s="16" t="inlineStr">
        <is>
          <t>Oct 25</t>
        </is>
      </c>
      <c r="C32" s="16" t="inlineStr">
        <is>
          <t>Locked</t>
        </is>
      </c>
      <c r="D32" s="12" t="n">
        <v>35800</v>
      </c>
      <c r="E32" s="12" t="n">
        <v>14516</v>
      </c>
      <c r="F32" s="12">
        <f>D32-E32</f>
        <v/>
      </c>
      <c r="G32" s="13">
        <f>IF(D32=0,"",F32/D32)</f>
        <v/>
      </c>
    </row>
    <row r="33">
      <c r="A33" s="16" t="inlineStr">
        <is>
          <t>Maintenance contracts</t>
        </is>
      </c>
      <c r="B33" s="16" t="inlineStr">
        <is>
          <t>Nov 25</t>
        </is>
      </c>
      <c r="C33" s="16" t="inlineStr">
        <is>
          <t>Locked</t>
        </is>
      </c>
      <c r="D33" s="12" t="n">
        <v>35800</v>
      </c>
      <c r="E33" s="12" t="n">
        <v>14516</v>
      </c>
      <c r="F33" s="12">
        <f>D33-E33</f>
        <v/>
      </c>
      <c r="G33" s="13">
        <f>IF(D33=0,"",F33/D33)</f>
        <v/>
      </c>
    </row>
    <row r="34">
      <c r="A34" s="16" t="inlineStr">
        <is>
          <t>Installations</t>
        </is>
      </c>
      <c r="B34" s="16" t="inlineStr">
        <is>
          <t>Oct 24</t>
        </is>
      </c>
      <c r="C34" s="16" t="inlineStr">
        <is>
          <t>Locked</t>
        </is>
      </c>
      <c r="D34" s="12" t="n">
        <v>126300</v>
      </c>
      <c r="E34" s="12" t="n">
        <v>92430</v>
      </c>
      <c r="F34" s="12">
        <f>D34-E34</f>
        <v/>
      </c>
      <c r="G34" s="13">
        <f>IF(D34=0,"",F34/D34)</f>
        <v/>
      </c>
    </row>
    <row r="35">
      <c r="A35" s="16" t="inlineStr">
        <is>
          <t>Installations</t>
        </is>
      </c>
      <c r="B35" s="16" t="inlineStr">
        <is>
          <t>Nov 24</t>
        </is>
      </c>
      <c r="C35" s="16" t="inlineStr">
        <is>
          <t>Locked</t>
        </is>
      </c>
      <c r="D35" s="12" t="n">
        <v>131400</v>
      </c>
      <c r="E35" s="12" t="n">
        <v>89070</v>
      </c>
      <c r="F35" s="12">
        <f>D35-E35</f>
        <v/>
      </c>
      <c r="G35" s="13">
        <f>IF(D35=0,"",F35/D35)</f>
        <v/>
      </c>
    </row>
    <row r="36">
      <c r="A36" s="16" t="inlineStr">
        <is>
          <t>Installations</t>
        </is>
      </c>
      <c r="B36" s="16" t="inlineStr">
        <is>
          <t>Dec 24</t>
        </is>
      </c>
      <c r="C36" s="16" t="inlineStr">
        <is>
          <t>Locked</t>
        </is>
      </c>
      <c r="D36" s="12" t="n">
        <v>92600</v>
      </c>
      <c r="E36" s="12" t="n">
        <v>59908</v>
      </c>
      <c r="F36" s="12">
        <f>D36-E36</f>
        <v/>
      </c>
      <c r="G36" s="13">
        <f>IF(D36=0,"",F36/D36)</f>
        <v/>
      </c>
    </row>
    <row r="37">
      <c r="A37" s="16" t="inlineStr">
        <is>
          <t>Installations</t>
        </is>
      </c>
      <c r="B37" s="16" t="inlineStr">
        <is>
          <t>Jan 25</t>
        </is>
      </c>
      <c r="C37" s="16" t="inlineStr">
        <is>
          <t>Locked</t>
        </is>
      </c>
      <c r="D37" s="12" t="n">
        <v>89400</v>
      </c>
      <c r="E37" s="12" t="n">
        <v>54678</v>
      </c>
      <c r="F37" s="12">
        <f>D37-E37</f>
        <v/>
      </c>
      <c r="G37" s="13">
        <f>IF(D37=0,"",F37/D37)</f>
        <v/>
      </c>
    </row>
    <row r="38">
      <c r="A38" s="16" t="inlineStr">
        <is>
          <t>Installations</t>
        </is>
      </c>
      <c r="B38" s="16" t="inlineStr">
        <is>
          <t>Feb 25</t>
        </is>
      </c>
      <c r="C38" s="16" t="inlineStr">
        <is>
          <t>Locked</t>
        </is>
      </c>
      <c r="D38" s="12" t="n">
        <v>106000</v>
      </c>
      <c r="E38" s="12" t="n">
        <v>74966</v>
      </c>
      <c r="F38" s="12">
        <f>D38-E38</f>
        <v/>
      </c>
      <c r="G38" s="13">
        <f>IF(D38=0,"",F38/D38)</f>
        <v/>
      </c>
    </row>
    <row r="39">
      <c r="A39" s="16" t="inlineStr">
        <is>
          <t>Installations</t>
        </is>
      </c>
      <c r="B39" s="16" t="inlineStr">
        <is>
          <t>Mar 25</t>
        </is>
      </c>
      <c r="C39" s="16" t="inlineStr">
        <is>
          <t>Locked</t>
        </is>
      </c>
      <c r="D39" s="12" t="n">
        <v>86100</v>
      </c>
      <c r="E39" s="12" t="n">
        <v>61664</v>
      </c>
      <c r="F39" s="12">
        <f>D39-E39</f>
        <v/>
      </c>
      <c r="G39" s="13">
        <f>IF(D39=0,"",F39/D39)</f>
        <v/>
      </c>
    </row>
    <row r="40">
      <c r="A40" s="16" t="inlineStr">
        <is>
          <t>Installations</t>
        </is>
      </c>
      <c r="B40" s="16" t="inlineStr">
        <is>
          <t>Apr 25</t>
        </is>
      </c>
      <c r="C40" s="16" t="inlineStr">
        <is>
          <t>Locked</t>
        </is>
      </c>
      <c r="D40" s="12" t="n">
        <v>74900</v>
      </c>
      <c r="E40" s="12" t="n">
        <v>52264</v>
      </c>
      <c r="F40" s="12">
        <f>D40-E40</f>
        <v/>
      </c>
      <c r="G40" s="13">
        <f>IF(D40=0,"",F40/D40)</f>
        <v/>
      </c>
    </row>
    <row r="41">
      <c r="A41" s="16" t="inlineStr">
        <is>
          <t>Installations</t>
        </is>
      </c>
      <c r="B41" s="16" t="inlineStr">
        <is>
          <t>May 25</t>
        </is>
      </c>
      <c r="C41" s="16" t="inlineStr">
        <is>
          <t>Locked</t>
        </is>
      </c>
      <c r="D41" s="12" t="n">
        <v>80300</v>
      </c>
      <c r="E41" s="12" t="n">
        <v>59534</v>
      </c>
      <c r="F41" s="12">
        <f>D41-E41</f>
        <v/>
      </c>
      <c r="G41" s="13">
        <f>IF(D41=0,"",F41/D41)</f>
        <v/>
      </c>
    </row>
    <row r="42">
      <c r="A42" s="16" t="inlineStr">
        <is>
          <t>Installations</t>
        </is>
      </c>
      <c r="B42" s="16" t="inlineStr">
        <is>
          <t>Jun 25</t>
        </is>
      </c>
      <c r="C42" s="16" t="inlineStr">
        <is>
          <t>Locked</t>
        </is>
      </c>
      <c r="D42" s="12" t="n">
        <v>112700</v>
      </c>
      <c r="E42" s="12" t="n">
        <v>72976</v>
      </c>
      <c r="F42" s="12">
        <f>D42-E42</f>
        <v/>
      </c>
      <c r="G42" s="13">
        <f>IF(D42=0,"",F42/D42)</f>
        <v/>
      </c>
    </row>
    <row r="43">
      <c r="A43" s="16" t="inlineStr">
        <is>
          <t>Installations</t>
        </is>
      </c>
      <c r="B43" s="16" t="inlineStr">
        <is>
          <t>Jul 25</t>
        </is>
      </c>
      <c r="C43" s="16" t="inlineStr">
        <is>
          <t>Locked</t>
        </is>
      </c>
      <c r="D43" s="12" t="n">
        <v>135800</v>
      </c>
      <c r="E43" s="12" t="n">
        <v>96920</v>
      </c>
      <c r="F43" s="12">
        <f>D43-E43</f>
        <v/>
      </c>
      <c r="G43" s="13">
        <f>IF(D43=0,"",F43/D43)</f>
        <v/>
      </c>
    </row>
    <row r="44">
      <c r="A44" s="16" t="inlineStr">
        <is>
          <t>Installations</t>
        </is>
      </c>
      <c r="B44" s="16" t="inlineStr">
        <is>
          <t>Aug 25</t>
        </is>
      </c>
      <c r="C44" s="16" t="inlineStr">
        <is>
          <t>Locked</t>
        </is>
      </c>
      <c r="D44" s="12" t="n">
        <v>86200</v>
      </c>
      <c r="E44" s="12" t="n">
        <v>53590</v>
      </c>
      <c r="F44" s="12">
        <f>D44-E44</f>
        <v/>
      </c>
      <c r="G44" s="13">
        <f>IF(D44=0,"",F44/D44)</f>
        <v/>
      </c>
    </row>
    <row r="45">
      <c r="A45" s="16" t="inlineStr">
        <is>
          <t>Installations</t>
        </is>
      </c>
      <c r="B45" s="16" t="inlineStr">
        <is>
          <t>Sep 25</t>
        </is>
      </c>
      <c r="C45" s="16" t="inlineStr">
        <is>
          <t>Locked</t>
        </is>
      </c>
      <c r="D45" s="12" t="n">
        <v>75100</v>
      </c>
      <c r="E45" s="12" t="n">
        <v>55440</v>
      </c>
      <c r="F45" s="12">
        <f>D45-E45</f>
        <v/>
      </c>
      <c r="G45" s="13">
        <f>IF(D45=0,"",F45/D45)</f>
        <v/>
      </c>
    </row>
    <row r="46">
      <c r="A46" s="16" t="inlineStr">
        <is>
          <t>Installations</t>
        </is>
      </c>
      <c r="B46" s="16" t="inlineStr">
        <is>
          <t>Oct 25</t>
        </is>
      </c>
      <c r="C46" s="16" t="inlineStr">
        <is>
          <t>Locked</t>
        </is>
      </c>
      <c r="D46" s="12" t="n">
        <v>70800</v>
      </c>
      <c r="E46" s="12" t="n">
        <v>52288</v>
      </c>
      <c r="F46" s="12">
        <f>D46-E46</f>
        <v/>
      </c>
      <c r="G46" s="13">
        <f>IF(D46=0,"",F46/D46)</f>
        <v/>
      </c>
    </row>
    <row r="47">
      <c r="A47" s="16" t="inlineStr">
        <is>
          <t>Installations</t>
        </is>
      </c>
      <c r="B47" s="16" t="inlineStr">
        <is>
          <t>Nov 25</t>
        </is>
      </c>
      <c r="C47" s="16" t="inlineStr">
        <is>
          <t>Locked</t>
        </is>
      </c>
      <c r="D47" s="12" t="n">
        <v>113300</v>
      </c>
      <c r="E47" s="12" t="n">
        <v>87174</v>
      </c>
      <c r="F47" s="12">
        <f>D47-E47</f>
        <v/>
      </c>
      <c r="G47" s="13">
        <f>IF(D47=0,"",F47/D47)</f>
        <v/>
      </c>
    </row>
    <row r="48">
      <c r="A48" s="16" t="inlineStr">
        <is>
          <t>Call-outs and repairs</t>
        </is>
      </c>
      <c r="B48" s="16" t="inlineStr">
        <is>
          <t>Oct 24</t>
        </is>
      </c>
      <c r="C48" s="16" t="inlineStr">
        <is>
          <t>Locked</t>
        </is>
      </c>
      <c r="D48" s="12" t="n">
        <v>20039</v>
      </c>
      <c r="E48" s="12" t="n">
        <v>11484</v>
      </c>
      <c r="F48" s="12">
        <f>D48-E48</f>
        <v/>
      </c>
      <c r="G48" s="13">
        <f>IF(D48=0,"",F48/D48)</f>
        <v/>
      </c>
    </row>
    <row r="49">
      <c r="A49" s="16" t="inlineStr">
        <is>
          <t>Call-outs and repairs</t>
        </is>
      </c>
      <c r="B49" s="16" t="inlineStr">
        <is>
          <t>Nov 24</t>
        </is>
      </c>
      <c r="C49" s="16" t="inlineStr">
        <is>
          <t>Locked</t>
        </is>
      </c>
      <c r="D49" s="12" t="n">
        <v>23404</v>
      </c>
      <c r="E49" s="12" t="n">
        <v>13526</v>
      </c>
      <c r="F49" s="12">
        <f>D49-E49</f>
        <v/>
      </c>
      <c r="G49" s="13">
        <f>IF(D49=0,"",F49/D49)</f>
        <v/>
      </c>
    </row>
    <row r="50">
      <c r="A50" s="16" t="inlineStr">
        <is>
          <t>Call-outs and repairs</t>
        </is>
      </c>
      <c r="B50" s="16" t="inlineStr">
        <is>
          <t>Dec 24</t>
        </is>
      </c>
      <c r="C50" s="16" t="inlineStr">
        <is>
          <t>Locked</t>
        </is>
      </c>
      <c r="D50" s="12" t="n">
        <v>25886</v>
      </c>
      <c r="E50" s="12" t="n">
        <v>14988</v>
      </c>
      <c r="F50" s="12">
        <f>D50-E50</f>
        <v/>
      </c>
      <c r="G50" s="13">
        <f>IF(D50=0,"",F50/D50)</f>
        <v/>
      </c>
    </row>
    <row r="51">
      <c r="A51" s="16" t="inlineStr">
        <is>
          <t>Call-outs and repairs</t>
        </is>
      </c>
      <c r="B51" s="16" t="inlineStr">
        <is>
          <t>Jan 25</t>
        </is>
      </c>
      <c r="C51" s="16" t="inlineStr">
        <is>
          <t>Locked</t>
        </is>
      </c>
      <c r="D51" s="12" t="n">
        <v>26839</v>
      </c>
      <c r="E51" s="12" t="n">
        <v>15644</v>
      </c>
      <c r="F51" s="12">
        <f>D51-E51</f>
        <v/>
      </c>
      <c r="G51" s="13">
        <f>IF(D51=0,"",F51/D51)</f>
        <v/>
      </c>
    </row>
    <row r="52">
      <c r="A52" s="16" t="inlineStr">
        <is>
          <t>Call-outs and repairs</t>
        </is>
      </c>
      <c r="B52" s="16" t="inlineStr">
        <is>
          <t>Feb 25</t>
        </is>
      </c>
      <c r="C52" s="16" t="inlineStr">
        <is>
          <t>Locked</t>
        </is>
      </c>
      <c r="D52" s="12" t="n">
        <v>27013</v>
      </c>
      <c r="E52" s="12" t="n">
        <v>15600</v>
      </c>
      <c r="F52" s="12">
        <f>D52-E52</f>
        <v/>
      </c>
      <c r="G52" s="13">
        <f>IF(D52=0,"",F52/D52)</f>
        <v/>
      </c>
    </row>
    <row r="53">
      <c r="A53" s="16" t="inlineStr">
        <is>
          <t>Call-outs and repairs</t>
        </is>
      </c>
      <c r="B53" s="16" t="inlineStr">
        <is>
          <t>Mar 25</t>
        </is>
      </c>
      <c r="C53" s="16" t="inlineStr">
        <is>
          <t>Locked</t>
        </is>
      </c>
      <c r="D53" s="12" t="n">
        <v>21052</v>
      </c>
      <c r="E53" s="12" t="n">
        <v>12306</v>
      </c>
      <c r="F53" s="12">
        <f>D53-E53</f>
        <v/>
      </c>
      <c r="G53" s="13">
        <f>IF(D53=0,"",F53/D53)</f>
        <v/>
      </c>
    </row>
    <row r="54">
      <c r="A54" s="16" t="inlineStr">
        <is>
          <t>Call-outs and repairs</t>
        </is>
      </c>
      <c r="B54" s="16" t="inlineStr">
        <is>
          <t>Apr 25</t>
        </is>
      </c>
      <c r="C54" s="16" t="inlineStr">
        <is>
          <t>Locked</t>
        </is>
      </c>
      <c r="D54" s="12" t="n">
        <v>21875</v>
      </c>
      <c r="E54" s="12" t="n">
        <v>12762</v>
      </c>
      <c r="F54" s="12">
        <f>D54-E54</f>
        <v/>
      </c>
      <c r="G54" s="13">
        <f>IF(D54=0,"",F54/D54)</f>
        <v/>
      </c>
    </row>
    <row r="55">
      <c r="A55" s="16" t="inlineStr">
        <is>
          <t>Call-outs and repairs</t>
        </is>
      </c>
      <c r="B55" s="16" t="inlineStr">
        <is>
          <t>May 25</t>
        </is>
      </c>
      <c r="C55" s="16" t="inlineStr">
        <is>
          <t>Locked</t>
        </is>
      </c>
      <c r="D55" s="12" t="n">
        <v>21586</v>
      </c>
      <c r="E55" s="12" t="n">
        <v>12384</v>
      </c>
      <c r="F55" s="12">
        <f>D55-E55</f>
        <v/>
      </c>
      <c r="G55" s="13">
        <f>IF(D55=0,"",F55/D55)</f>
        <v/>
      </c>
    </row>
    <row r="56">
      <c r="A56" s="16" t="inlineStr">
        <is>
          <t>Call-outs and repairs</t>
        </is>
      </c>
      <c r="B56" s="16" t="inlineStr">
        <is>
          <t>Jun 25</t>
        </is>
      </c>
      <c r="C56" s="16" t="inlineStr">
        <is>
          <t>Locked</t>
        </is>
      </c>
      <c r="D56" s="12" t="n">
        <v>19543</v>
      </c>
      <c r="E56" s="12" t="n">
        <v>11162</v>
      </c>
      <c r="F56" s="12">
        <f>D56-E56</f>
        <v/>
      </c>
      <c r="G56" s="13">
        <f>IF(D56=0,"",F56/D56)</f>
        <v/>
      </c>
    </row>
    <row r="57">
      <c r="A57" s="16" t="inlineStr">
        <is>
          <t>Call-outs and repairs</t>
        </is>
      </c>
      <c r="B57" s="16" t="inlineStr">
        <is>
          <t>Jul 25</t>
        </is>
      </c>
      <c r="C57" s="16" t="inlineStr">
        <is>
          <t>Locked</t>
        </is>
      </c>
      <c r="D57" s="12" t="n">
        <v>17760</v>
      </c>
      <c r="E57" s="12" t="n">
        <v>9960</v>
      </c>
      <c r="F57" s="12">
        <f>D57-E57</f>
        <v/>
      </c>
      <c r="G57" s="13">
        <f>IF(D57=0,"",F57/D57)</f>
        <v/>
      </c>
    </row>
    <row r="58">
      <c r="A58" s="16" t="inlineStr">
        <is>
          <t>Call-outs and repairs</t>
        </is>
      </c>
      <c r="B58" s="16" t="inlineStr">
        <is>
          <t>Aug 25</t>
        </is>
      </c>
      <c r="C58" s="16" t="inlineStr">
        <is>
          <t>Locked</t>
        </is>
      </c>
      <c r="D58" s="12" t="n">
        <v>19764</v>
      </c>
      <c r="E58" s="12" t="n">
        <v>11222</v>
      </c>
      <c r="F58" s="12">
        <f>D58-E58</f>
        <v/>
      </c>
      <c r="G58" s="13">
        <f>IF(D58=0,"",F58/D58)</f>
        <v/>
      </c>
    </row>
    <row r="59">
      <c r="A59" s="16" t="inlineStr">
        <is>
          <t>Call-outs and repairs</t>
        </is>
      </c>
      <c r="B59" s="16" t="inlineStr">
        <is>
          <t>Sep 25</t>
        </is>
      </c>
      <c r="C59" s="16" t="inlineStr">
        <is>
          <t>Locked</t>
        </is>
      </c>
      <c r="D59" s="12" t="n">
        <v>19955</v>
      </c>
      <c r="E59" s="12" t="n">
        <v>11168</v>
      </c>
      <c r="F59" s="12">
        <f>D59-E59</f>
        <v/>
      </c>
      <c r="G59" s="13">
        <f>IF(D59=0,"",F59/D59)</f>
        <v/>
      </c>
    </row>
    <row r="60">
      <c r="A60" s="16" t="inlineStr">
        <is>
          <t>Call-outs and repairs</t>
        </is>
      </c>
      <c r="B60" s="16" t="inlineStr">
        <is>
          <t>Oct 25</t>
        </is>
      </c>
      <c r="C60" s="16" t="inlineStr">
        <is>
          <t>Locked</t>
        </is>
      </c>
      <c r="D60" s="12" t="n">
        <v>22298</v>
      </c>
      <c r="E60" s="12" t="n">
        <v>12648</v>
      </c>
      <c r="F60" s="12">
        <f>D60-E60</f>
        <v/>
      </c>
      <c r="G60" s="13">
        <f>IF(D60=0,"",F60/D60)</f>
        <v/>
      </c>
    </row>
    <row r="61">
      <c r="A61" s="16" t="inlineStr">
        <is>
          <t>Call-outs and repairs</t>
        </is>
      </c>
      <c r="B61" s="16" t="inlineStr">
        <is>
          <t>Nov 25</t>
        </is>
      </c>
      <c r="C61" s="16" t="inlineStr">
        <is>
          <t>Locked</t>
        </is>
      </c>
      <c r="D61" s="12" t="n">
        <v>25686</v>
      </c>
      <c r="E61" s="12" t="n">
        <v>14252</v>
      </c>
      <c r="F61" s="12">
        <f>D61-E61</f>
        <v/>
      </c>
      <c r="G61" s="13">
        <f>IF(D61=0,"",F61/D61)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19" min="0" max="16383" man="1"/>
    <brk id="4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171200</v>
      </c>
      <c r="C6" s="12" t="n"/>
      <c r="D6" s="13">
        <f>IF(C6=0,"",B6/C6-1)</f>
        <v/>
      </c>
      <c r="E6" s="12" t="n">
        <v>101830</v>
      </c>
      <c r="F6" s="13">
        <f>IF(B6=0,"",E6/B6)</f>
        <v/>
      </c>
    </row>
    <row r="7">
      <c r="A7" s="16" t="inlineStr">
        <is>
          <t>Installations</t>
        </is>
      </c>
      <c r="B7" s="12" t="n">
        <v>481200</v>
      </c>
      <c r="C7" s="12" t="n"/>
      <c r="D7" s="13">
        <f>IF(C7=0,"",B7/C7-1)</f>
        <v/>
      </c>
      <c r="E7" s="12" t="n">
        <v>135788</v>
      </c>
      <c r="F7" s="13">
        <f>IF(B7=0,"",E7/B7)</f>
        <v/>
      </c>
    </row>
    <row r="8">
      <c r="A8" s="16" t="inlineStr">
        <is>
          <t>Call-outs and repairs</t>
        </is>
      </c>
      <c r="B8" s="12" t="n">
        <v>105463</v>
      </c>
      <c r="C8" s="12" t="n"/>
      <c r="D8" s="13">
        <f>IF(C8=0,"",B8/C8-1)</f>
        <v/>
      </c>
      <c r="E8" s="12" t="n">
        <v>46213</v>
      </c>
      <c r="F8" s="13">
        <f>IF(B8=0,"",E8/B8)</f>
        <v/>
      </c>
    </row>
    <row r="9">
      <c r="A9" s="16" t="inlineStr">
        <is>
          <t>Total</t>
        </is>
      </c>
      <c r="B9" s="12" t="n">
        <v>757863</v>
      </c>
      <c r="C9" s="12" t="n"/>
      <c r="D9" s="13">
        <f>IF(C9=0,"",B9/C9-1)</f>
        <v/>
      </c>
      <c r="E9" s="12" t="n">
        <v>283831</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Projects</t>
        </is>
      </c>
      <c r="B20" s="16" t="inlineStr">
        <is>
          <t>Oct 24</t>
        </is>
      </c>
      <c r="C20" s="16" t="inlineStr">
        <is>
          <t>Locked</t>
        </is>
      </c>
      <c r="D20" s="12" t="n">
        <v>70720</v>
      </c>
      <c r="E20" s="12" t="n">
        <v>27820</v>
      </c>
      <c r="F20" s="12">
        <f>D20-E20</f>
        <v/>
      </c>
      <c r="G20" s="13">
        <f>IF(D20=0,"",F20/D20)</f>
        <v/>
      </c>
    </row>
    <row r="21">
      <c r="A21" s="16" t="inlineStr">
        <is>
          <t>Projects</t>
        </is>
      </c>
      <c r="B21" s="16" t="inlineStr">
        <is>
          <t>Nov 24</t>
        </is>
      </c>
      <c r="C21" s="16" t="inlineStr">
        <is>
          <t>Locked</t>
        </is>
      </c>
      <c r="D21" s="12" t="n">
        <v>88540</v>
      </c>
      <c r="E21" s="12" t="n">
        <v>34400</v>
      </c>
      <c r="F21" s="12">
        <f>D21-E21</f>
        <v/>
      </c>
      <c r="G21" s="13">
        <f>IF(D21=0,"",F21/D21)</f>
        <v/>
      </c>
    </row>
    <row r="22">
      <c r="A22" s="16" t="inlineStr">
        <is>
          <t>Projects</t>
        </is>
      </c>
      <c r="B22" s="16" t="inlineStr">
        <is>
          <t>Dec 24</t>
        </is>
      </c>
      <c r="C22" s="16" t="inlineStr">
        <is>
          <t>Locked</t>
        </is>
      </c>
      <c r="D22" s="12" t="n">
        <v>94695</v>
      </c>
      <c r="E22" s="12" t="n">
        <v>36880</v>
      </c>
      <c r="F22" s="12">
        <f>D22-E22</f>
        <v/>
      </c>
      <c r="G22" s="13">
        <f>IF(D22=0,"",F22/D22)</f>
        <v/>
      </c>
    </row>
    <row r="23">
      <c r="A23" s="16" t="inlineStr">
        <is>
          <t>Projects</t>
        </is>
      </c>
      <c r="B23" s="16" t="inlineStr">
        <is>
          <t>Jan 25</t>
        </is>
      </c>
      <c r="C23" s="16" t="inlineStr">
        <is>
          <t>Locked</t>
        </is>
      </c>
      <c r="D23" s="12" t="n">
        <v>66850</v>
      </c>
      <c r="E23" s="12" t="n">
        <v>26240</v>
      </c>
      <c r="F23" s="12">
        <f>D23-E23</f>
        <v/>
      </c>
      <c r="G23" s="13">
        <f>IF(D23=0,"",F23/D23)</f>
        <v/>
      </c>
    </row>
    <row r="24">
      <c r="A24" s="16" t="inlineStr">
        <is>
          <t>Projects</t>
        </is>
      </c>
      <c r="B24" s="16" t="inlineStr">
        <is>
          <t>Feb 25</t>
        </is>
      </c>
      <c r="C24" s="16" t="inlineStr">
        <is>
          <t>Locked</t>
        </is>
      </c>
      <c r="D24" s="12" t="n">
        <v>84410</v>
      </c>
      <c r="E24" s="12" t="n">
        <v>34360</v>
      </c>
      <c r="F24" s="12">
        <f>D24-E24</f>
        <v/>
      </c>
      <c r="G24" s="13">
        <f>IF(D24=0,"",F24/D24)</f>
        <v/>
      </c>
    </row>
    <row r="25">
      <c r="A25" s="16" t="inlineStr">
        <is>
          <t>Projects</t>
        </is>
      </c>
      <c r="B25" s="16" t="inlineStr">
        <is>
          <t>Mar 25</t>
        </is>
      </c>
      <c r="C25" s="16" t="inlineStr">
        <is>
          <t>Locked</t>
        </is>
      </c>
      <c r="D25" s="12" t="n">
        <v>48975</v>
      </c>
      <c r="E25" s="12" t="n">
        <v>21860</v>
      </c>
      <c r="F25" s="12">
        <f>D25-E25</f>
        <v/>
      </c>
      <c r="G25" s="13">
        <f>IF(D25=0,"",F25/D25)</f>
        <v/>
      </c>
    </row>
    <row r="26">
      <c r="A26" s="16" t="inlineStr">
        <is>
          <t>Projects</t>
        </is>
      </c>
      <c r="B26" s="16" t="inlineStr">
        <is>
          <t>Apr 25</t>
        </is>
      </c>
      <c r="C26" s="16" t="inlineStr">
        <is>
          <t>Locked</t>
        </is>
      </c>
      <c r="D26" s="12" t="n">
        <v>37570</v>
      </c>
      <c r="E26" s="12" t="n">
        <v>17660</v>
      </c>
      <c r="F26" s="12">
        <f>D26-E26</f>
        <v/>
      </c>
      <c r="G26" s="13">
        <f>IF(D26=0,"",F26/D26)</f>
        <v/>
      </c>
    </row>
    <row r="27">
      <c r="A27" s="16" t="inlineStr">
        <is>
          <t>Projects</t>
        </is>
      </c>
      <c r="B27" s="16" t="inlineStr">
        <is>
          <t>May 25</t>
        </is>
      </c>
      <c r="C27" s="16" t="inlineStr">
        <is>
          <t>Locked</t>
        </is>
      </c>
      <c r="D27" s="12" t="n">
        <v>59755</v>
      </c>
      <c r="E27" s="12" t="n">
        <v>23980</v>
      </c>
      <c r="F27" s="12">
        <f>D27-E27</f>
        <v/>
      </c>
      <c r="G27" s="13">
        <f>IF(D27=0,"",F27/D27)</f>
        <v/>
      </c>
    </row>
    <row r="28">
      <c r="A28" s="16" t="inlineStr">
        <is>
          <t>Projects</t>
        </is>
      </c>
      <c r="B28" s="16" t="inlineStr">
        <is>
          <t>Jun 25</t>
        </is>
      </c>
      <c r="C28" s="16" t="inlineStr">
        <is>
          <t>Locked</t>
        </is>
      </c>
      <c r="D28" s="12" t="n">
        <v>64520</v>
      </c>
      <c r="E28" s="12" t="n">
        <v>26860</v>
      </c>
      <c r="F28" s="12">
        <f>D28-E28</f>
        <v/>
      </c>
      <c r="G28" s="13">
        <f>IF(D28=0,"",F28/D28)</f>
        <v/>
      </c>
    </row>
    <row r="29">
      <c r="A29" s="16" t="inlineStr">
        <is>
          <t>Projects</t>
        </is>
      </c>
      <c r="B29" s="16" t="inlineStr">
        <is>
          <t>Jul 25</t>
        </is>
      </c>
      <c r="C29" s="16" t="inlineStr">
        <is>
          <t>Locked</t>
        </is>
      </c>
      <c r="D29" s="12" t="n">
        <v>64820</v>
      </c>
      <c r="E29" s="12" t="n">
        <v>25920</v>
      </c>
      <c r="F29" s="12">
        <f>D29-E29</f>
        <v/>
      </c>
      <c r="G29" s="13">
        <f>IF(D29=0,"",F29/D29)</f>
        <v/>
      </c>
    </row>
    <row r="30">
      <c r="A30" s="16" t="inlineStr">
        <is>
          <t>Projects</t>
        </is>
      </c>
      <c r="B30" s="16" t="inlineStr">
        <is>
          <t>Aug 25</t>
        </is>
      </c>
      <c r="C30" s="16" t="inlineStr">
        <is>
          <t>Locked</t>
        </is>
      </c>
      <c r="D30" s="12" t="n">
        <v>38775</v>
      </c>
      <c r="E30" s="12" t="n">
        <v>13860</v>
      </c>
      <c r="F30" s="12">
        <f>D30-E30</f>
        <v/>
      </c>
      <c r="G30" s="13">
        <f>IF(D30=0,"",F30/D30)</f>
        <v/>
      </c>
    </row>
    <row r="31">
      <c r="A31" s="16" t="inlineStr">
        <is>
          <t>Projects</t>
        </is>
      </c>
      <c r="B31" s="16" t="inlineStr">
        <is>
          <t>Sep 25</t>
        </is>
      </c>
      <c r="C31" s="16" t="inlineStr">
        <is>
          <t>Locked</t>
        </is>
      </c>
      <c r="D31" s="12" t="n">
        <v>38035</v>
      </c>
      <c r="E31" s="12" t="n">
        <v>13560</v>
      </c>
      <c r="F31" s="12">
        <f>D31-E31</f>
        <v/>
      </c>
      <c r="G31" s="13">
        <f>IF(D31=0,"",F31/D31)</f>
        <v/>
      </c>
    </row>
    <row r="32">
      <c r="A32" s="16" t="inlineStr">
        <is>
          <t>Projects</t>
        </is>
      </c>
      <c r="B32" s="16" t="inlineStr">
        <is>
          <t>Oct 25</t>
        </is>
      </c>
      <c r="C32" s="16" t="inlineStr">
        <is>
          <t>Locked</t>
        </is>
      </c>
      <c r="D32" s="12" t="n">
        <v>45860</v>
      </c>
      <c r="E32" s="12" t="n">
        <v>18220</v>
      </c>
      <c r="F32" s="12">
        <f>D32-E32</f>
        <v/>
      </c>
      <c r="G32" s="13">
        <f>IF(D32=0,"",F32/D32)</f>
        <v/>
      </c>
    </row>
    <row r="33">
      <c r="A33" s="16" t="inlineStr">
        <is>
          <t>Projects</t>
        </is>
      </c>
      <c r="B33" s="16" t="inlineStr">
        <is>
          <t>Nov 25</t>
        </is>
      </c>
      <c r="C33" s="16" t="inlineStr">
        <is>
          <t>Locked</t>
        </is>
      </c>
      <c r="D33" s="12" t="n">
        <v>46840</v>
      </c>
      <c r="E33" s="12" t="n">
        <v>18960</v>
      </c>
      <c r="F33" s="12">
        <f>D33-E33</f>
        <v/>
      </c>
      <c r="G33" s="13">
        <f>IF(D33=0,"",F33/D33)</f>
        <v/>
      </c>
    </row>
    <row r="34">
      <c r="A34" s="16" t="inlineStr">
        <is>
          <t>Retainers</t>
        </is>
      </c>
      <c r="B34" s="16" t="inlineStr">
        <is>
          <t>Oct 24</t>
        </is>
      </c>
      <c r="C34" s="16" t="inlineStr">
        <is>
          <t>Locked</t>
        </is>
      </c>
      <c r="D34" s="12" t="n">
        <v>15000</v>
      </c>
      <c r="E34" s="12" t="n">
        <v>4800</v>
      </c>
      <c r="F34" s="12">
        <f>D34-E34</f>
        <v/>
      </c>
      <c r="G34" s="13">
        <f>IF(D34=0,"",F34/D34)</f>
        <v/>
      </c>
    </row>
    <row r="35">
      <c r="A35" s="16" t="inlineStr">
        <is>
          <t>Retainers</t>
        </is>
      </c>
      <c r="B35" s="16" t="inlineStr">
        <is>
          <t>Nov 24</t>
        </is>
      </c>
      <c r="C35" s="16" t="inlineStr">
        <is>
          <t>Locked</t>
        </is>
      </c>
      <c r="D35" s="12" t="n">
        <v>15000</v>
      </c>
      <c r="E35" s="12" t="n">
        <v>4800</v>
      </c>
      <c r="F35" s="12">
        <f>D35-E35</f>
        <v/>
      </c>
      <c r="G35" s="13">
        <f>IF(D35=0,"",F35/D35)</f>
        <v/>
      </c>
    </row>
    <row r="36">
      <c r="A36" s="16" t="inlineStr">
        <is>
          <t>Retainers</t>
        </is>
      </c>
      <c r="B36" s="16" t="inlineStr">
        <is>
          <t>Dec 24</t>
        </is>
      </c>
      <c r="C36" s="16" t="inlineStr">
        <is>
          <t>Locked</t>
        </is>
      </c>
      <c r="D36" s="12" t="n">
        <v>15000</v>
      </c>
      <c r="E36" s="12" t="n">
        <v>5100</v>
      </c>
      <c r="F36" s="12">
        <f>D36-E36</f>
        <v/>
      </c>
      <c r="G36" s="13">
        <f>IF(D36=0,"",F36/D36)</f>
        <v/>
      </c>
    </row>
    <row r="37">
      <c r="A37" s="16" t="inlineStr">
        <is>
          <t>Retainers</t>
        </is>
      </c>
      <c r="B37" s="16" t="inlineStr">
        <is>
          <t>Jan 25</t>
        </is>
      </c>
      <c r="C37" s="16" t="inlineStr">
        <is>
          <t>Locked</t>
        </is>
      </c>
      <c r="D37" s="12" t="n">
        <v>15000</v>
      </c>
      <c r="E37" s="12" t="n">
        <v>4920</v>
      </c>
      <c r="F37" s="12">
        <f>D37-E37</f>
        <v/>
      </c>
      <c r="G37" s="13">
        <f>IF(D37=0,"",F37/D37)</f>
        <v/>
      </c>
    </row>
    <row r="38">
      <c r="A38" s="16" t="inlineStr">
        <is>
          <t>Retainers</t>
        </is>
      </c>
      <c r="B38" s="16" t="inlineStr">
        <is>
          <t>Feb 25</t>
        </is>
      </c>
      <c r="C38" s="16" t="inlineStr">
        <is>
          <t>Locked</t>
        </is>
      </c>
      <c r="D38" s="12" t="n">
        <v>15000</v>
      </c>
      <c r="E38" s="12" t="n">
        <v>5400</v>
      </c>
      <c r="F38" s="12">
        <f>D38-E38</f>
        <v/>
      </c>
      <c r="G38" s="13">
        <f>IF(D38=0,"",F38/D38)</f>
        <v/>
      </c>
    </row>
    <row r="39">
      <c r="A39" s="16" t="inlineStr">
        <is>
          <t>Retainers</t>
        </is>
      </c>
      <c r="B39" s="16" t="inlineStr">
        <is>
          <t>Mar 25</t>
        </is>
      </c>
      <c r="C39" s="16" t="inlineStr">
        <is>
          <t>Locked</t>
        </is>
      </c>
      <c r="D39" s="12" t="n">
        <v>21800</v>
      </c>
      <c r="E39" s="12" t="n">
        <v>7980</v>
      </c>
      <c r="F39" s="12">
        <f>D39-E39</f>
        <v/>
      </c>
      <c r="G39" s="13">
        <f>IF(D39=0,"",F39/D39)</f>
        <v/>
      </c>
    </row>
    <row r="40">
      <c r="A40" s="16" t="inlineStr">
        <is>
          <t>Retainers</t>
        </is>
      </c>
      <c r="B40" s="16" t="inlineStr">
        <is>
          <t>Apr 25</t>
        </is>
      </c>
      <c r="C40" s="16" t="inlineStr">
        <is>
          <t>Locked</t>
        </is>
      </c>
      <c r="D40" s="12" t="n">
        <v>21800</v>
      </c>
      <c r="E40" s="12" t="n">
        <v>7020</v>
      </c>
      <c r="F40" s="12">
        <f>D40-E40</f>
        <v/>
      </c>
      <c r="G40" s="13">
        <f>IF(D40=0,"",F40/D40)</f>
        <v/>
      </c>
    </row>
    <row r="41">
      <c r="A41" s="16" t="inlineStr">
        <is>
          <t>Retainers</t>
        </is>
      </c>
      <c r="B41" s="16" t="inlineStr">
        <is>
          <t>May 25</t>
        </is>
      </c>
      <c r="C41" s="16" t="inlineStr">
        <is>
          <t>Locked</t>
        </is>
      </c>
      <c r="D41" s="12" t="n">
        <v>21800</v>
      </c>
      <c r="E41" s="12" t="n">
        <v>8460</v>
      </c>
      <c r="F41" s="12">
        <f>D41-E41</f>
        <v/>
      </c>
      <c r="G41" s="13">
        <f>IF(D41=0,"",F41/D41)</f>
        <v/>
      </c>
    </row>
    <row r="42">
      <c r="A42" s="16" t="inlineStr">
        <is>
          <t>Retainers</t>
        </is>
      </c>
      <c r="B42" s="16" t="inlineStr">
        <is>
          <t>Jun 25</t>
        </is>
      </c>
      <c r="C42" s="16" t="inlineStr">
        <is>
          <t>Locked</t>
        </is>
      </c>
      <c r="D42" s="12" t="n">
        <v>21800</v>
      </c>
      <c r="E42" s="12" t="n">
        <v>7800</v>
      </c>
      <c r="F42" s="12">
        <f>D42-E42</f>
        <v/>
      </c>
      <c r="G42" s="13">
        <f>IF(D42=0,"",F42/D42)</f>
        <v/>
      </c>
    </row>
    <row r="43">
      <c r="A43" s="16" t="inlineStr">
        <is>
          <t>Retainers</t>
        </is>
      </c>
      <c r="B43" s="16" t="inlineStr">
        <is>
          <t>Jul 25</t>
        </is>
      </c>
      <c r="C43" s="16" t="inlineStr">
        <is>
          <t>Locked</t>
        </is>
      </c>
      <c r="D43" s="12" t="n">
        <v>16300</v>
      </c>
      <c r="E43" s="12" t="n">
        <v>5940</v>
      </c>
      <c r="F43" s="12">
        <f>D43-E43</f>
        <v/>
      </c>
      <c r="G43" s="13">
        <f>IF(D43=0,"",F43/D43)</f>
        <v/>
      </c>
    </row>
    <row r="44">
      <c r="A44" s="16" t="inlineStr">
        <is>
          <t>Retainers</t>
        </is>
      </c>
      <c r="B44" s="16" t="inlineStr">
        <is>
          <t>Aug 25</t>
        </is>
      </c>
      <c r="C44" s="16" t="inlineStr">
        <is>
          <t>Locked</t>
        </is>
      </c>
      <c r="D44" s="12" t="n">
        <v>16300</v>
      </c>
      <c r="E44" s="12" t="n">
        <v>5400</v>
      </c>
      <c r="F44" s="12">
        <f>D44-E44</f>
        <v/>
      </c>
      <c r="G44" s="13">
        <f>IF(D44=0,"",F44/D44)</f>
        <v/>
      </c>
    </row>
    <row r="45">
      <c r="A45" s="16" t="inlineStr">
        <is>
          <t>Retainers</t>
        </is>
      </c>
      <c r="B45" s="16" t="inlineStr">
        <is>
          <t>Sep 25</t>
        </is>
      </c>
      <c r="C45" s="16" t="inlineStr">
        <is>
          <t>Locked</t>
        </is>
      </c>
      <c r="D45" s="12" t="n">
        <v>16300</v>
      </c>
      <c r="E45" s="12" t="n">
        <v>5760</v>
      </c>
      <c r="F45" s="12">
        <f>D45-E45</f>
        <v/>
      </c>
      <c r="G45" s="13">
        <f>IF(D45=0,"",F45/D45)</f>
        <v/>
      </c>
    </row>
    <row r="46">
      <c r="A46" s="16" t="inlineStr">
        <is>
          <t>Retainers</t>
        </is>
      </c>
      <c r="B46" s="16" t="inlineStr">
        <is>
          <t>Oct 25</t>
        </is>
      </c>
      <c r="C46" s="16" t="inlineStr">
        <is>
          <t>Locked</t>
        </is>
      </c>
      <c r="D46" s="12" t="n">
        <v>16300</v>
      </c>
      <c r="E46" s="12" t="n">
        <v>5640</v>
      </c>
      <c r="F46" s="12">
        <f>D46-E46</f>
        <v/>
      </c>
      <c r="G46" s="13">
        <f>IF(D46=0,"",F46/D46)</f>
        <v/>
      </c>
    </row>
    <row r="47">
      <c r="A47" s="16" t="inlineStr">
        <is>
          <t>Retainers</t>
        </is>
      </c>
      <c r="B47" s="16" t="inlineStr">
        <is>
          <t>Nov 25</t>
        </is>
      </c>
      <c r="C47" s="16" t="inlineStr">
        <is>
          <t>Locked</t>
        </is>
      </c>
      <c r="D47" s="12" t="n">
        <v>28300</v>
      </c>
      <c r="E47" s="12" t="n">
        <v>9480</v>
      </c>
      <c r="F47" s="12">
        <f>D47-E47</f>
        <v/>
      </c>
      <c r="G47" s="13">
        <f>IF(D47=0,"",F47/D47)</f>
        <v/>
      </c>
    </row>
    <row r="48">
      <c r="A48" s="16" t="inlineStr">
        <is>
          <t>Training</t>
        </is>
      </c>
      <c r="B48" s="16" t="inlineStr">
        <is>
          <t>Oct 24</t>
        </is>
      </c>
      <c r="C48" s="16" t="inlineStr">
        <is>
          <t>Locked</t>
        </is>
      </c>
      <c r="D48" s="12" t="n">
        <v>8800</v>
      </c>
      <c r="E48" s="12" t="n">
        <v>2700</v>
      </c>
      <c r="F48" s="12">
        <f>D48-E48</f>
        <v/>
      </c>
      <c r="G48" s="13">
        <f>IF(D48=0,"",F48/D48)</f>
        <v/>
      </c>
    </row>
    <row r="49">
      <c r="A49" s="16" t="inlineStr">
        <is>
          <t>Training</t>
        </is>
      </c>
      <c r="B49" s="16" t="inlineStr">
        <is>
          <t>Nov 24</t>
        </is>
      </c>
      <c r="C49" s="16" t="inlineStr">
        <is>
          <t>Locked</t>
        </is>
      </c>
      <c r="D49" s="12" t="n">
        <v>4600</v>
      </c>
      <c r="E49" s="12" t="n">
        <v>840</v>
      </c>
      <c r="F49" s="12">
        <f>D49-E49</f>
        <v/>
      </c>
      <c r="G49" s="13">
        <f>IF(D49=0,"",F49/D49)</f>
        <v/>
      </c>
    </row>
    <row r="50">
      <c r="A50" s="16" t="inlineStr">
        <is>
          <t>Training</t>
        </is>
      </c>
      <c r="B50" s="16" t="inlineStr">
        <is>
          <t>Dec 24</t>
        </is>
      </c>
      <c r="C50" s="16" t="inlineStr">
        <is>
          <t>Locked</t>
        </is>
      </c>
      <c r="D50" s="12" t="n">
        <v>5200</v>
      </c>
      <c r="E50" s="12" t="n">
        <v>960</v>
      </c>
      <c r="F50" s="12">
        <f>D50-E50</f>
        <v/>
      </c>
      <c r="G50" s="13">
        <f>IF(D50=0,"",F50/D50)</f>
        <v/>
      </c>
    </row>
    <row r="51">
      <c r="A51" s="16" t="inlineStr">
        <is>
          <t>Training</t>
        </is>
      </c>
      <c r="B51" s="16" t="inlineStr">
        <is>
          <t>Jan 25</t>
        </is>
      </c>
      <c r="C51" s="16" t="inlineStr">
        <is>
          <t>Locked</t>
        </is>
      </c>
      <c r="D51" s="12" t="n">
        <v>6400</v>
      </c>
      <c r="E51" s="12" t="n">
        <v>2100</v>
      </c>
      <c r="F51" s="12">
        <f>D51-E51</f>
        <v/>
      </c>
      <c r="G51" s="13">
        <f>IF(D51=0,"",F51/D51)</f>
        <v/>
      </c>
    </row>
    <row r="52">
      <c r="A52" s="16" t="inlineStr">
        <is>
          <t>Training</t>
        </is>
      </c>
      <c r="B52" s="16" t="inlineStr">
        <is>
          <t>Feb 25</t>
        </is>
      </c>
      <c r="C52" s="16" t="inlineStr">
        <is>
          <t>Locked</t>
        </is>
      </c>
      <c r="D52" s="12" t="n">
        <v>11600</v>
      </c>
      <c r="E52" s="12" t="n">
        <v>3060</v>
      </c>
      <c r="F52" s="12">
        <f>D52-E52</f>
        <v/>
      </c>
      <c r="G52" s="13">
        <f>IF(D52=0,"",F52/D52)</f>
        <v/>
      </c>
    </row>
    <row r="53">
      <c r="A53" s="16" t="inlineStr">
        <is>
          <t>Training</t>
        </is>
      </c>
      <c r="B53" s="16" t="inlineStr">
        <is>
          <t>Mar 25</t>
        </is>
      </c>
      <c r="C53" s="16" t="inlineStr">
        <is>
          <t>Locked</t>
        </is>
      </c>
      <c r="D53" s="12" t="n">
        <v>6400</v>
      </c>
      <c r="E53" s="12" t="n">
        <v>2100</v>
      </c>
      <c r="F53" s="12">
        <f>D53-E53</f>
        <v/>
      </c>
      <c r="G53" s="13">
        <f>IF(D53=0,"",F53/D53)</f>
        <v/>
      </c>
    </row>
    <row r="54">
      <c r="A54" s="16" t="inlineStr">
        <is>
          <t>Training</t>
        </is>
      </c>
      <c r="B54" s="16" t="inlineStr">
        <is>
          <t>Apr 25</t>
        </is>
      </c>
      <c r="C54" s="16" t="inlineStr">
        <is>
          <t>Locked</t>
        </is>
      </c>
      <c r="D54" s="12" t="n">
        <v>4600</v>
      </c>
      <c r="E54" s="12" t="n">
        <v>840</v>
      </c>
      <c r="F54" s="12">
        <f>D54-E54</f>
        <v/>
      </c>
      <c r="G54" s="13">
        <f>IF(D54=0,"",F54/D54)</f>
        <v/>
      </c>
    </row>
    <row r="55">
      <c r="A55" s="16" t="inlineStr">
        <is>
          <t>Training</t>
        </is>
      </c>
      <c r="B55" s="16" t="inlineStr">
        <is>
          <t>May 25</t>
        </is>
      </c>
      <c r="C55" s="16" t="inlineStr">
        <is>
          <t>Locked</t>
        </is>
      </c>
      <c r="D55" s="12" t="n">
        <v>14000</v>
      </c>
      <c r="E55" s="12" t="n">
        <v>3660</v>
      </c>
      <c r="F55" s="12">
        <f>D55-E55</f>
        <v/>
      </c>
      <c r="G55" s="13">
        <f>IF(D55=0,"",F55/D55)</f>
        <v/>
      </c>
    </row>
    <row r="56">
      <c r="A56" s="16" t="inlineStr">
        <is>
          <t>Training</t>
        </is>
      </c>
      <c r="B56" s="16" t="inlineStr">
        <is>
          <t>Jun 25</t>
        </is>
      </c>
      <c r="C56" s="16" t="inlineStr">
        <is>
          <t>Locked</t>
        </is>
      </c>
      <c r="D56" s="12" t="n">
        <v>3900</v>
      </c>
      <c r="E56" s="12" t="n">
        <v>720</v>
      </c>
      <c r="F56" s="12">
        <f>D56-E56</f>
        <v/>
      </c>
      <c r="G56" s="13">
        <f>IF(D56=0,"",F56/D56)</f>
        <v/>
      </c>
    </row>
    <row r="57">
      <c r="A57" s="16" t="inlineStr">
        <is>
          <t>Training</t>
        </is>
      </c>
      <c r="B57" s="16" t="inlineStr">
        <is>
          <t>Jul 25</t>
        </is>
      </c>
      <c r="C57" s="16" t="inlineStr">
        <is>
          <t>Locked</t>
        </is>
      </c>
      <c r="D57" s="12" t="n">
        <v>5200</v>
      </c>
      <c r="E57" s="12" t="n">
        <v>960</v>
      </c>
      <c r="F57" s="12">
        <f>D57-E57</f>
        <v/>
      </c>
      <c r="G57" s="13">
        <f>IF(D57=0,"",F57/D57)</f>
        <v/>
      </c>
    </row>
    <row r="58">
      <c r="A58" s="16" t="inlineStr">
        <is>
          <t>Training</t>
        </is>
      </c>
      <c r="B58" s="16" t="inlineStr">
        <is>
          <t>Aug 25</t>
        </is>
      </c>
      <c r="C58" s="16" t="inlineStr">
        <is>
          <t>Locked</t>
        </is>
      </c>
      <c r="D58" s="12" t="n">
        <v>6400</v>
      </c>
      <c r="E58" s="12" t="n">
        <v>2100</v>
      </c>
      <c r="F58" s="12">
        <f>D58-E58</f>
        <v/>
      </c>
      <c r="G58" s="13">
        <f>IF(D58=0,"",F58/D58)</f>
        <v/>
      </c>
    </row>
    <row r="59">
      <c r="A59" s="16" t="inlineStr">
        <is>
          <t>Training</t>
        </is>
      </c>
      <c r="B59" s="16" t="inlineStr">
        <is>
          <t>Sep 25</t>
        </is>
      </c>
      <c r="C59" s="16" t="inlineStr">
        <is>
          <t>Locked</t>
        </is>
      </c>
      <c r="D59" s="12" t="n">
        <v>5200</v>
      </c>
      <c r="E59" s="12" t="n">
        <v>960</v>
      </c>
      <c r="F59" s="12">
        <f>D59-E59</f>
        <v/>
      </c>
      <c r="G59" s="13">
        <f>IF(D59=0,"",F59/D59)</f>
        <v/>
      </c>
    </row>
    <row r="60">
      <c r="A60" s="16" t="inlineStr">
        <is>
          <t>Training</t>
        </is>
      </c>
      <c r="B60" s="16" t="inlineStr">
        <is>
          <t>Oct 25</t>
        </is>
      </c>
      <c r="C60" s="16" t="inlineStr">
        <is>
          <t>Locked</t>
        </is>
      </c>
      <c r="D60" s="12" t="n">
        <v>9100</v>
      </c>
      <c r="E60" s="12" t="n">
        <v>1680</v>
      </c>
      <c r="F60" s="12">
        <f>D60-E60</f>
        <v/>
      </c>
      <c r="G60" s="13">
        <f>IF(D60=0,"",F60/D60)</f>
        <v/>
      </c>
    </row>
    <row r="61">
      <c r="A61" s="16" t="inlineStr">
        <is>
          <t>Training</t>
        </is>
      </c>
      <c r="B61" s="16" t="inlineStr">
        <is>
          <t>Nov 25</t>
        </is>
      </c>
      <c r="C61" s="16" t="inlineStr">
        <is>
          <t>Locked</t>
        </is>
      </c>
      <c r="D61" s="12" t="n">
        <v>8800</v>
      </c>
      <c r="E61" s="12" t="n">
        <v>2700</v>
      </c>
      <c r="F61" s="12">
        <f>D61-E61</f>
        <v/>
      </c>
      <c r="G61" s="13">
        <f>IF(D61=0,"",F61/D61)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2" manualBreakCount="2">
    <brk id="19" min="0" max="16383" man="1"/>
    <brk id="4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November 2025 · Data status: Oct 2025 locked · Nov 2025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234330</v>
      </c>
      <c r="C6" s="12" t="n"/>
      <c r="D6" s="13">
        <f>IF(C6=0,"",B6/C6-1)</f>
        <v/>
      </c>
      <c r="E6" s="12" t="n">
        <v>143810</v>
      </c>
      <c r="F6" s="13">
        <f>IF(B6=0,"",E6/B6)</f>
        <v/>
      </c>
    </row>
    <row r="7">
      <c r="A7" s="16" t="inlineStr">
        <is>
          <t>Retainers</t>
        </is>
      </c>
      <c r="B7" s="12" t="n">
        <v>93500</v>
      </c>
      <c r="C7" s="12" t="n"/>
      <c r="D7" s="13">
        <f>IF(C7=0,"",B7/C7-1)</f>
        <v/>
      </c>
      <c r="E7" s="12" t="n">
        <v>61280</v>
      </c>
      <c r="F7" s="13">
        <f>IF(B7=0,"",E7/B7)</f>
        <v/>
      </c>
    </row>
    <row r="8">
      <c r="A8" s="16" t="inlineStr">
        <is>
          <t>Training</t>
        </is>
      </c>
      <c r="B8" s="12" t="n">
        <v>34700</v>
      </c>
      <c r="C8" s="12" t="n"/>
      <c r="D8" s="13">
        <f>IF(C8=0,"",B8/C8-1)</f>
        <v/>
      </c>
      <c r="E8" s="12" t="n">
        <v>26300</v>
      </c>
      <c r="F8" s="13">
        <f>IF(B8=0,"",E8/B8)</f>
        <v/>
      </c>
    </row>
    <row r="9">
      <c r="A9" s="16" t="inlineStr">
        <is>
          <t>Total</t>
        </is>
      </c>
      <c r="B9" s="12" t="n">
        <v>362530</v>
      </c>
      <c r="C9" s="12" t="n"/>
      <c r="D9" s="13">
        <f>IF(C9=0,"",B9/C9-1)</f>
        <v/>
      </c>
      <c r="E9" s="12" t="n">
        <v>231390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2026-10-07T07:37:15Z</dcterms:created>
  <dcterms:modified xmlns:dcterms="http://purl.org/dc/terms/" xmlns:xsi="http://www.w3.org/2001/XMLSchema-instance" xsi:type="dcterms:W3CDTF">2026-10-07T07:37:15Z</dcterms:modified>
</cp:coreProperties>
</file>