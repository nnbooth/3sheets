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November">'Report'!$B$9</definedName>
    <definedName name="Answered_while_staffed_November">'Report'!$B$10</definedName>
    <definedName name="Calls_outside_staffed_hours_November">'Report'!$B$11</definedName>
    <definedName name="Median_wait_when_answered_November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19" headerRowCount="1">
  <autoFilter ref="A5:F1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 ht="32" customHeight="1">
      <c r="A5" s="3" t="inlineStr">
        <is>
          <t>In short: 746 calls in November: 83.2% answered while staffed (target 90.0%); 52.1%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November</t>
        </is>
      </c>
      <c r="B9" s="7">
        <f>Workings!B8</f>
        <v/>
      </c>
      <c r="C9" s="8" t="inlineStr">
        <is>
          <t>October 770</t>
        </is>
      </c>
    </row>
    <row r="10">
      <c r="A10" t="inlineStr">
        <is>
          <t>Answered while staffed, November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November</t>
        </is>
      </c>
      <c r="B11" s="9">
        <f>Workings!B32</f>
        <v/>
      </c>
      <c r="C11" s="8" t="inlineStr">
        <is>
          <t>389 calls to voicemail</t>
        </is>
      </c>
    </row>
    <row r="12">
      <c r="A12" t="inlineStr">
        <is>
          <t>Median wait when answered, November</t>
        </is>
      </c>
      <c r="B12" s="7">
        <f>Workings!B39</f>
        <v/>
      </c>
      <c r="C12" s="8" t="inlineStr">
        <is>
          <t>297 answered calls</t>
        </is>
      </c>
    </row>
    <row r="13"/>
    <row r="14">
      <c r="A14" s="10" t="inlineStr">
        <is>
          <t>When the calls come in, November 2025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746 calls for help came in during November. While the line was staffed, 83.2% were answered (target 90.0%); 52.1% of all calls came outside staffed hours and went to voicemail. The busiest time was 5 to 8pm (148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148 calls came between 5 and 8pm, when no-one is on the line. 60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13" t="inlineStr">
        <is>
          <t>Calls for help, November and October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Calls</t>
        </is>
      </c>
      <c r="B8" s="14" t="n">
        <v>746</v>
      </c>
      <c r="C8" s="14" t="n">
        <v>770</v>
      </c>
    </row>
    <row r="9">
      <c r="A9" t="inlineStr">
        <is>
          <t>Calls while staffed</t>
        </is>
      </c>
      <c r="B9" s="14" t="n">
        <v>357</v>
      </c>
      <c r="C9" s="14" t="n">
        <v>363</v>
      </c>
    </row>
    <row r="10">
      <c r="A10" t="inlineStr">
        <is>
          <t>Answered</t>
        </is>
      </c>
      <c r="B10" s="14" t="n">
        <v>297</v>
      </c>
      <c r="C10" s="14" t="n">
        <v>304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November and October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Nov 25</t>
        </is>
      </c>
      <c r="C17" s="6" t="inlineStr">
        <is>
          <t>Oct 25</t>
        </is>
      </c>
    </row>
    <row r="18">
      <c r="A18" t="inlineStr">
        <is>
          <t>Calls</t>
        </is>
      </c>
      <c r="B18" s="14" t="n">
        <v>746</v>
      </c>
      <c r="C18" s="14" t="n">
        <v>770</v>
      </c>
    </row>
    <row r="19">
      <c r="A19" t="inlineStr">
        <is>
          <t>Calls while staffed</t>
        </is>
      </c>
      <c r="B19" s="14" t="n">
        <v>357</v>
      </c>
      <c r="C19" s="14" t="n">
        <v>363</v>
      </c>
    </row>
    <row r="20">
      <c r="A20" t="inlineStr">
        <is>
          <t>Answered</t>
        </is>
      </c>
      <c r="B20" s="14" t="n">
        <v>297</v>
      </c>
      <c r="C20" s="14" t="n">
        <v>304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November and October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Nov 25</t>
        </is>
      </c>
      <c r="C27" s="6" t="inlineStr">
        <is>
          <t>Oct 25</t>
        </is>
      </c>
    </row>
    <row r="28">
      <c r="A28" t="inlineStr">
        <is>
          <t>Calls</t>
        </is>
      </c>
      <c r="B28" s="14" t="n">
        <v>746</v>
      </c>
      <c r="C28" s="14" t="n">
        <v>770</v>
      </c>
    </row>
    <row r="29">
      <c r="A29" t="inlineStr">
        <is>
          <t>Calls while staffed</t>
        </is>
      </c>
      <c r="B29" s="14" t="n">
        <v>357</v>
      </c>
      <c r="C29" s="14" t="n">
        <v>363</v>
      </c>
    </row>
    <row r="30">
      <c r="A30" t="inlineStr">
        <is>
          <t>Answered</t>
        </is>
      </c>
      <c r="B30" s="14" t="n">
        <v>297</v>
      </c>
      <c r="C30" s="14" t="n">
        <v>304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November and October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Nov 25</t>
        </is>
      </c>
      <c r="C37" s="6" t="inlineStr">
        <is>
          <t>Oct 25</t>
        </is>
      </c>
    </row>
    <row r="38">
      <c r="A38" t="inlineStr">
        <is>
          <t>Answered calls (while staffed)</t>
        </is>
      </c>
      <c r="B38" s="14" t="n">
        <v>297</v>
      </c>
      <c r="C38" s="14" t="n">
        <v>304</v>
      </c>
    </row>
    <row r="39">
      <c r="A39" s="16" t="inlineStr">
        <is>
          <t>Median wait (seconds, rounded half up)</t>
        </is>
      </c>
      <c r="B39" s="18" t="n">
        <v>76</v>
      </c>
      <c r="C39" s="18" t="n">
        <v>88</v>
      </c>
    </row>
    <row r="40">
      <c r="A40" s="2" t="inlineStr">
        <is>
          <t xml:space="preserve">November: 297 waits in order; the median is the 149th, 76 seconds. Unanswered calls and calls outside staffed hours have no wait to count. </t>
        </is>
      </c>
    </row>
    <row r="41"/>
    <row r="42"/>
    <row r="43">
      <c r="A43" s="13" t="inlineStr">
        <is>
          <t>Calls before 8:30am, November 2025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Nov 2025</t>
        </is>
      </c>
    </row>
    <row r="46">
      <c r="A46" t="inlineStr">
        <is>
          <t>Calls</t>
        </is>
      </c>
      <c r="B46" s="14" t="n">
        <v>115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November 2025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Nov 2025</t>
        </is>
      </c>
    </row>
    <row r="55">
      <c r="A55" t="inlineStr">
        <is>
          <t>Calls</t>
        </is>
      </c>
      <c r="B55" s="14" t="n">
        <v>78</v>
      </c>
    </row>
    <row r="56">
      <c r="A56" t="inlineStr">
        <is>
          <t>Answered</t>
        </is>
      </c>
      <c r="B56" s="14" t="n">
        <v>54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November 2025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Nov 2025</t>
        </is>
      </c>
    </row>
    <row r="64">
      <c r="A64" t="inlineStr">
        <is>
          <t>Calls</t>
        </is>
      </c>
      <c r="B64" s="14" t="n">
        <v>118</v>
      </c>
    </row>
    <row r="65">
      <c r="A65" t="inlineStr">
        <is>
          <t>Answered</t>
        </is>
      </c>
      <c r="B65" s="14" t="n">
        <v>91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November 2025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Nov 2025</t>
        </is>
      </c>
    </row>
    <row r="73">
      <c r="A73" t="inlineStr">
        <is>
          <t>Calls</t>
        </is>
      </c>
      <c r="B73" s="14" t="n">
        <v>98</v>
      </c>
    </row>
    <row r="74">
      <c r="A74" t="inlineStr">
        <is>
          <t>Answered</t>
        </is>
      </c>
      <c r="B74" s="14" t="n">
        <v>72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November 2025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Nov 2025</t>
        </is>
      </c>
    </row>
    <row r="82">
      <c r="A82" t="inlineStr">
        <is>
          <t>Calls</t>
        </is>
      </c>
      <c r="B82" s="14" t="n">
        <v>121</v>
      </c>
    </row>
    <row r="83">
      <c r="A83" t="inlineStr">
        <is>
          <t>Answered</t>
        </is>
      </c>
      <c r="B83" s="14" t="n">
        <v>80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November 2025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Nov 2025</t>
        </is>
      </c>
    </row>
    <row r="91">
      <c r="A91" t="inlineStr">
        <is>
          <t>Calls</t>
        </is>
      </c>
      <c r="B91" s="14" t="n">
        <v>148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November 2025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Nov 2025</t>
        </is>
      </c>
    </row>
    <row r="100">
      <c r="A100" t="inlineStr">
        <is>
          <t>Calls</t>
        </is>
      </c>
      <c r="B100" s="14" t="n">
        <v>68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