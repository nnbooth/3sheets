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November">'Report'!$B$8</definedName>
    <definedName name="Volunteers_who_did_a_shift_November">'Report'!$B$9</definedName>
    <definedName name="Hours_per_volunteer_November">'Report'!$B$10</definedName>
    <definedName name="November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19" headerRowCount="1">
  <autoFilter ref="A5:E19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November</t>
        </is>
      </c>
      <c r="B8" s="6">
        <f>Workings!B10</f>
        <v/>
      </c>
      <c r="C8" s="7" t="inlineStr">
        <is>
          <t>October 817.0 h</t>
        </is>
      </c>
    </row>
    <row r="9">
      <c r="A9" t="inlineStr">
        <is>
          <t>Volunteers who did a shift, November</t>
        </is>
      </c>
      <c r="B9" s="6">
        <f>Workings!B18</f>
        <v/>
      </c>
      <c r="C9" s="7" t="inlineStr">
        <is>
          <t>October 54</t>
        </is>
      </c>
    </row>
    <row r="10">
      <c r="A10" t="inlineStr">
        <is>
          <t>Hours per volunteer, November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November last year</t>
        </is>
      </c>
      <c r="B11" s="6">
        <f>Workings!B34</f>
        <v/>
      </c>
      <c r="C11" s="7" t="inlineStr">
        <is>
          <t>27 volunteers</t>
        </is>
      </c>
    </row>
    <row r="12"/>
    <row r="13">
      <c r="A13" s="8" t="inlineStr">
        <is>
          <t>Volunteer hours by program, November 2025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Mental health first aid</t>
        </is>
      </c>
      <c r="B15" s="6">
        <f>Workings!B41</f>
        <v/>
      </c>
    </row>
    <row r="16">
      <c r="A16" t="inlineStr">
        <is>
          <t>Community meals</t>
        </is>
      </c>
      <c r="B16" s="6">
        <f>Workings!B49</f>
        <v/>
      </c>
    </row>
    <row r="17">
      <c r="A17" t="inlineStr">
        <is>
          <t>Youth outreach</t>
        </is>
      </c>
      <c r="B17" s="6">
        <f>Workings!B57</f>
        <v/>
      </c>
    </row>
    <row r="18">
      <c r="A18" t="inlineStr">
        <is>
          <t>Housing support</t>
        </is>
      </c>
      <c r="B18" s="6">
        <f>Workings!B65</f>
        <v/>
      </c>
    </row>
    <row r="19">
      <c r="A19" t="inlineStr">
        <is>
          <t>Digital literacy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56 volunteers gave 780.5 h in November, against 817.0 h in October. Mental health first aid drew the most (202.5 h, 25.9%).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(43.5 h). Hours are up 109.0% on November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>
      <c r="A5" s="11" t="inlineStr">
        <is>
          <t>Volunteer hours, November and October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Nov 25</t>
        </is>
      </c>
      <c r="C7" s="5" t="inlineStr">
        <is>
          <t>Oct 25</t>
        </is>
      </c>
    </row>
    <row r="8">
      <c r="A8" t="inlineStr">
        <is>
          <t>Volunteer hours</t>
        </is>
      </c>
      <c r="B8" s="12" t="n">
        <v>780.5</v>
      </c>
      <c r="C8" s="12" t="n">
        <v>817</v>
      </c>
    </row>
    <row r="9">
      <c r="A9" t="inlineStr">
        <is>
          <t>Volunteers who did a shift</t>
        </is>
      </c>
      <c r="B9" s="13" t="n">
        <v>56</v>
      </c>
      <c r="C9" s="13" t="n">
        <v>54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November and October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Nov 25</t>
        </is>
      </c>
      <c r="C15" s="5" t="inlineStr">
        <is>
          <t>Oct 25</t>
        </is>
      </c>
    </row>
    <row r="16">
      <c r="A16" t="inlineStr">
        <is>
          <t>Volunteer hours</t>
        </is>
      </c>
      <c r="B16" s="12" t="n">
        <v>780.5</v>
      </c>
      <c r="C16" s="12" t="n">
        <v>817</v>
      </c>
    </row>
    <row r="17">
      <c r="A17" t="inlineStr">
        <is>
          <t>Volunteers who did a shift</t>
        </is>
      </c>
      <c r="B17" s="13" t="n">
        <v>56</v>
      </c>
      <c r="C17" s="13" t="n">
        <v>54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November and October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Nov 25</t>
        </is>
      </c>
      <c r="C23" s="5" t="inlineStr">
        <is>
          <t>Oct 25</t>
        </is>
      </c>
    </row>
    <row r="24">
      <c r="A24" t="inlineStr">
        <is>
          <t>Volunteer hours</t>
        </is>
      </c>
      <c r="B24" s="12" t="n">
        <v>780.5</v>
      </c>
      <c r="C24" s="12" t="n">
        <v>817</v>
      </c>
    </row>
    <row r="25">
      <c r="A25" t="inlineStr">
        <is>
          <t>Volunteers who did a shift</t>
        </is>
      </c>
      <c r="B25" s="13" t="n">
        <v>56</v>
      </c>
      <c r="C25" s="13" t="n">
        <v>54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Nov 24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Nov 24</t>
        </is>
      </c>
    </row>
    <row r="32">
      <c r="A32" t="inlineStr">
        <is>
          <t>Volunteer hours</t>
        </is>
      </c>
      <c r="B32" s="12" t="n">
        <v>373.5</v>
      </c>
    </row>
    <row r="33">
      <c r="A33" t="inlineStr">
        <is>
          <t>Volunteers who did a shift</t>
        </is>
      </c>
      <c r="B33" s="13" t="n">
        <v>27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Mental health first aid: volunteer hours, November 2025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Nov 2025</t>
        </is>
      </c>
    </row>
    <row r="40">
      <c r="A40" t="inlineStr">
        <is>
          <t>Volunteer hours</t>
        </is>
      </c>
      <c r="B40" s="12" t="n">
        <v>202.5</v>
      </c>
    </row>
    <row r="41">
      <c r="A41" t="inlineStr">
        <is>
          <t>All volunteer hours</t>
        </is>
      </c>
      <c r="B41" s="12" t="n">
        <v>780.5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Community meals: volunteer hours, November 2025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Nov 2025</t>
        </is>
      </c>
    </row>
    <row r="48">
      <c r="A48" t="inlineStr">
        <is>
          <t>Volunteer hours</t>
        </is>
      </c>
      <c r="B48" s="12" t="n">
        <v>155</v>
      </c>
    </row>
    <row r="49">
      <c r="A49" t="inlineStr">
        <is>
          <t>All volunteer hours</t>
        </is>
      </c>
      <c r="B49" s="12" t="n">
        <v>780.5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Youth outreach: volunteer hours, November 2025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Nov 2025</t>
        </is>
      </c>
    </row>
    <row r="56">
      <c r="A56" t="inlineStr">
        <is>
          <t>Volunteer hours</t>
        </is>
      </c>
      <c r="B56" s="12" t="n">
        <v>136.5</v>
      </c>
    </row>
    <row r="57">
      <c r="A57" t="inlineStr">
        <is>
          <t>All volunteer hours</t>
        </is>
      </c>
      <c r="B57" s="12" t="n">
        <v>780.5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Housing support: volunteer hours, November 2025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Nov 2025</t>
        </is>
      </c>
    </row>
    <row r="64">
      <c r="A64" t="inlineStr">
        <is>
          <t>Volunteer hours</t>
        </is>
      </c>
      <c r="B64" s="12" t="n">
        <v>136</v>
      </c>
    </row>
    <row r="65">
      <c r="A65" t="inlineStr">
        <is>
          <t>All volunteer hours</t>
        </is>
      </c>
      <c r="B65" s="12" t="n">
        <v>780.5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Digital literacy: volunteer hours, November 2025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Nov 2025</t>
        </is>
      </c>
    </row>
    <row r="72">
      <c r="A72" t="inlineStr">
        <is>
          <t>Volunteer hours</t>
        </is>
      </c>
      <c r="B72" s="12" t="n">
        <v>107</v>
      </c>
    </row>
    <row r="73">
      <c r="A73" t="inlineStr">
        <is>
          <t>All volunteer hours</t>
        </is>
      </c>
      <c r="B73" s="12" t="n">
        <v>780.5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November 2025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Nov 2025</t>
        </is>
      </c>
    </row>
    <row r="80">
      <c r="A80" t="inlineStr">
        <is>
          <t>Volunteer hours</t>
        </is>
      </c>
      <c r="B80" s="12" t="n">
        <v>43.5</v>
      </c>
    </row>
    <row r="81">
      <c r="A81" t="inlineStr">
        <is>
          <t>All volunteer hours</t>
        </is>
      </c>
      <c r="B81" s="12" t="n">
        <v>780.5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381</v>
      </c>
      <c r="D6" s="13" t="n">
        <v>25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373.5</v>
      </c>
      <c r="D7" s="13" t="n">
        <v>27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383.5</v>
      </c>
      <c r="D8" s="13" t="n">
        <v>26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387.5</v>
      </c>
      <c r="D9" s="13" t="n">
        <v>25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376.5</v>
      </c>
      <c r="D10" s="13" t="n">
        <v>30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444</v>
      </c>
      <c r="D11" s="13" t="n">
        <v>30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422.5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562</v>
      </c>
      <c r="D13" s="13" t="n">
        <v>34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568</v>
      </c>
      <c r="D14" s="13" t="n">
        <v>40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609.5</v>
      </c>
      <c r="D15" s="13" t="n">
        <v>41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627</v>
      </c>
      <c r="D16" s="13" t="n">
        <v>42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708.5</v>
      </c>
      <c r="D17" s="13" t="n">
        <v>47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817</v>
      </c>
      <c r="D18" s="13" t="n">
        <v>54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780.5</v>
      </c>
      <c r="D19" s="13" t="n">
        <v>56</v>
      </c>
      <c r="E19" s="12">
        <f>IF(D19=0,"",C19/D19)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2026-10-08T13:42:21Z</dcterms:created>
  <dcterms:modified xmlns:dcterms="http://purl.org/dc/terms/" xmlns:xsi="http://www.w3.org/2001/XMLSchema-instance" xsi:type="dcterms:W3CDTF">2026-10-08T13:42:21Z</dcterms:modified>
</cp:coreProperties>
</file>