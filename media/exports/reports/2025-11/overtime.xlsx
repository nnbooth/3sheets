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November">'Report'!$B$8</definedName>
    <definedName name="Overtime_hours_November">'Report'!$B$9</definedName>
    <definedName name="November_last_year">'Report'!$B$10</definedName>
    <definedName name="_xlnm.Print_Area" localSheetId="0">'Report'!$A$1:$D$49</definedName>
    <definedName name="_xlnm.Print_Area" localSheetId="1">'Workings'!$A$1:$C$93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19" headerRowCount="1">
  <autoFilter ref="A5:E1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November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November</t>
        </is>
      </c>
      <c r="B9" s="6">
        <f>Workings!B18</f>
        <v/>
      </c>
      <c r="C9" s="7" t="inlineStr">
        <is>
          <t>October 46.0 h</t>
        </is>
      </c>
    </row>
    <row r="10">
      <c r="A10" t="inlineStr">
        <is>
          <t>November last year</t>
        </is>
      </c>
      <c r="B10" s="6">
        <f>Workings!B26</f>
        <v/>
      </c>
      <c r="C10" s="7" t="inlineStr">
        <is>
          <t>14.0 h of overtime</t>
        </is>
      </c>
    </row>
    <row r="11"/>
    <row r="12">
      <c r="A12" s="8" t="inlineStr">
        <is>
          <t>Why the overtime, November 2025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Short-staffed</t>
        </is>
      </c>
      <c r="B15" s="9">
        <f>Workings!B42</f>
        <v/>
      </c>
    </row>
    <row r="16">
      <c r="A16" t="inlineStr">
        <is>
          <t>Installation ran over</t>
        </is>
      </c>
      <c r="B16" s="9">
        <f>Workings!B50</f>
        <v/>
      </c>
    </row>
    <row r="17"/>
    <row r="18"/>
    <row r="19"/>
    <row r="20"/>
    <row r="21"/>
    <row r="22"/>
    <row r="23"/>
    <row r="24"/>
    <row r="25"/>
    <row r="26">
      <c r="A26" s="8" t="inlineStr">
        <is>
          <t>Overtime by technician, November 2025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T7</t>
        </is>
      </c>
      <c r="B28" s="9">
        <f>Workings!B57</f>
        <v/>
      </c>
    </row>
    <row r="29">
      <c r="A29" t="inlineStr">
        <is>
          <t>Technician T4</t>
        </is>
      </c>
      <c r="B29" s="9">
        <f>Workings!B63</f>
        <v/>
      </c>
    </row>
    <row r="30">
      <c r="A30" t="inlineStr">
        <is>
          <t>Technician T5</t>
        </is>
      </c>
      <c r="B30" s="9">
        <f>Workings!B69</f>
        <v/>
      </c>
    </row>
    <row r="31">
      <c r="A31" t="inlineStr">
        <is>
          <t>Technician T3</t>
        </is>
      </c>
      <c r="B31" s="9">
        <f>Workings!B75</f>
        <v/>
      </c>
    </row>
    <row r="32">
      <c r="A32" t="inlineStr">
        <is>
          <t>Technician T2</t>
        </is>
      </c>
      <c r="B32" s="9">
        <f>Workings!B81</f>
        <v/>
      </c>
    </row>
    <row r="33">
      <c r="A33" t="inlineStr">
        <is>
          <t>Technician T1</t>
        </is>
      </c>
      <c r="B33" s="9">
        <f>Workings!B87</f>
        <v/>
      </c>
    </row>
    <row r="34">
      <c r="A34" t="inlineStr">
        <is>
          <t>Technician T6</t>
        </is>
      </c>
      <c r="B34" s="9">
        <f>Workings!B93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39.5 h of overtime in November, 3.9% of ordinary hours (target under 5.0%), against 4.0% in October. Over the last year it has gone from 1.3% to 3.9%.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After-hours call-out is the main reason: 28.5 h, 72.2% of the overtime. Technician T7 carried the most (9.5 h).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12" t="inlineStr">
        <is>
          <t>Overtime, November and October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Nov 25</t>
        </is>
      </c>
      <c r="C7" s="5" t="inlineStr">
        <is>
          <t>Oct 25</t>
        </is>
      </c>
    </row>
    <row r="8">
      <c r="A8" t="inlineStr">
        <is>
          <t>Overtime hours</t>
        </is>
      </c>
      <c r="B8" s="13" t="n">
        <v>39.5</v>
      </c>
      <c r="C8" s="13" t="n">
        <v>46</v>
      </c>
    </row>
    <row r="9">
      <c r="A9" t="inlineStr">
        <is>
          <t>Ordinary hours</t>
        </is>
      </c>
      <c r="B9" s="13" t="n">
        <v>1003.200000000002</v>
      </c>
      <c r="C9" s="13" t="n">
        <v>1147.600000000001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November and October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Nov 25</t>
        </is>
      </c>
      <c r="C15" s="5" t="inlineStr">
        <is>
          <t>Oct 25</t>
        </is>
      </c>
    </row>
    <row r="16">
      <c r="A16" t="inlineStr">
        <is>
          <t>Overtime hours</t>
        </is>
      </c>
      <c r="B16" s="13" t="n">
        <v>39.5</v>
      </c>
      <c r="C16" s="13" t="n">
        <v>46</v>
      </c>
    </row>
    <row r="17">
      <c r="A17" t="inlineStr">
        <is>
          <t>Ordinary hours</t>
        </is>
      </c>
      <c r="B17" s="13" t="n">
        <v>1003.200000000002</v>
      </c>
      <c r="C17" s="13" t="n">
        <v>1147.600000000001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Nov 24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Nov 24</t>
        </is>
      </c>
    </row>
    <row r="24">
      <c r="A24" t="inlineStr">
        <is>
          <t>Overtime hours</t>
        </is>
      </c>
      <c r="B24" s="13" t="n">
        <v>14</v>
      </c>
    </row>
    <row r="25">
      <c r="A25" t="inlineStr">
        <is>
          <t>Ordinary hours</t>
        </is>
      </c>
      <c r="B25" s="13" t="n">
        <v>1094.400000000001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November 2025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Nov 2025</t>
        </is>
      </c>
    </row>
    <row r="33">
      <c r="A33" t="inlineStr">
        <is>
          <t>Overtime hours</t>
        </is>
      </c>
      <c r="B33" s="13" t="n">
        <v>28.5</v>
      </c>
    </row>
    <row r="34">
      <c r="A34" t="inlineStr">
        <is>
          <t>All overtime hours</t>
        </is>
      </c>
      <c r="B34" s="13" t="n">
        <v>39.5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Short-staffed: overtime, November 2025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Nov 2025</t>
        </is>
      </c>
    </row>
    <row r="41">
      <c r="A41" t="inlineStr">
        <is>
          <t>Overtime hours</t>
        </is>
      </c>
      <c r="B41" s="13" t="n">
        <v>6</v>
      </c>
    </row>
    <row r="42">
      <c r="A42" t="inlineStr">
        <is>
          <t>All overtime hours</t>
        </is>
      </c>
      <c r="B42" s="13" t="n">
        <v>39.5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Installation ran over: overtime, November 2025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Nov 2025</t>
        </is>
      </c>
    </row>
    <row r="49">
      <c r="A49" t="inlineStr">
        <is>
          <t>Overtime hours</t>
        </is>
      </c>
      <c r="B49" s="13" t="n">
        <v>5</v>
      </c>
    </row>
    <row r="50">
      <c r="A50" t="inlineStr">
        <is>
          <t>All overtime hours</t>
        </is>
      </c>
      <c r="B50" s="13" t="n">
        <v>39.5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Technician T7: overtime, November 2025</t>
        </is>
      </c>
    </row>
    <row r="55">
      <c r="A55" s="10" t="inlineStr">
        <is>
          <t>Overtime hours on this technician's shifts</t>
        </is>
      </c>
    </row>
    <row r="56">
      <c r="A56" s="4" t="inlineStr"/>
      <c r="B56" s="5" t="inlineStr">
        <is>
          <t>Nov 2025</t>
        </is>
      </c>
    </row>
    <row r="57">
      <c r="A57" s="14" t="inlineStr">
        <is>
          <t>Overtime hours</t>
        </is>
      </c>
      <c r="B57" s="16" t="n">
        <v>9.5</v>
      </c>
    </row>
    <row r="58"/>
    <row r="59"/>
    <row r="60">
      <c r="A60" s="12" t="inlineStr">
        <is>
          <t>Technician T4: overtime, November 2025</t>
        </is>
      </c>
    </row>
    <row r="61">
      <c r="A61" s="10" t="inlineStr">
        <is>
          <t>Overtime hours on this technician's shifts</t>
        </is>
      </c>
    </row>
    <row r="62">
      <c r="A62" s="4" t="inlineStr"/>
      <c r="B62" s="5" t="inlineStr">
        <is>
          <t>Nov 2025</t>
        </is>
      </c>
    </row>
    <row r="63">
      <c r="A63" s="14" t="inlineStr">
        <is>
          <t>Overtime hours</t>
        </is>
      </c>
      <c r="B63" s="16" t="n">
        <v>7.5</v>
      </c>
    </row>
    <row r="64"/>
    <row r="65"/>
    <row r="66">
      <c r="A66" s="12" t="inlineStr">
        <is>
          <t>Technician T5: overtime, November 2025</t>
        </is>
      </c>
    </row>
    <row r="67">
      <c r="A67" s="10" t="inlineStr">
        <is>
          <t>Overtime hours on this technician's shifts</t>
        </is>
      </c>
    </row>
    <row r="68">
      <c r="A68" s="4" t="inlineStr"/>
      <c r="B68" s="5" t="inlineStr">
        <is>
          <t>Nov 2025</t>
        </is>
      </c>
    </row>
    <row r="69">
      <c r="A69" s="14" t="inlineStr">
        <is>
          <t>Overtime hours</t>
        </is>
      </c>
      <c r="B69" s="16" t="n">
        <v>7.5</v>
      </c>
    </row>
    <row r="70"/>
    <row r="71"/>
    <row r="72">
      <c r="A72" s="12" t="inlineStr">
        <is>
          <t>Technician T3: overtime, November 2025</t>
        </is>
      </c>
    </row>
    <row r="73">
      <c r="A73" s="10" t="inlineStr">
        <is>
          <t>Overtime hours on this technician's shifts</t>
        </is>
      </c>
    </row>
    <row r="74">
      <c r="A74" s="4" t="inlineStr"/>
      <c r="B74" s="5" t="inlineStr">
        <is>
          <t>Nov 2025</t>
        </is>
      </c>
    </row>
    <row r="75">
      <c r="A75" s="14" t="inlineStr">
        <is>
          <t>Overtime hours</t>
        </is>
      </c>
      <c r="B75" s="16" t="n">
        <v>6.5</v>
      </c>
    </row>
    <row r="76"/>
    <row r="77"/>
    <row r="78">
      <c r="A78" s="12" t="inlineStr">
        <is>
          <t>Technician T2: overtime, November 2025</t>
        </is>
      </c>
    </row>
    <row r="79">
      <c r="A79" s="10" t="inlineStr">
        <is>
          <t>Overtime hours on this technician's shifts</t>
        </is>
      </c>
    </row>
    <row r="80">
      <c r="A80" s="4" t="inlineStr"/>
      <c r="B80" s="5" t="inlineStr">
        <is>
          <t>Nov 2025</t>
        </is>
      </c>
    </row>
    <row r="81">
      <c r="A81" s="14" t="inlineStr">
        <is>
          <t>Overtime hours</t>
        </is>
      </c>
      <c r="B81" s="16" t="n">
        <v>4</v>
      </c>
    </row>
    <row r="82"/>
    <row r="83"/>
    <row r="84">
      <c r="A84" s="12" t="inlineStr">
        <is>
          <t>Technician T1: overtime, November 2025</t>
        </is>
      </c>
    </row>
    <row r="85">
      <c r="A85" s="10" t="inlineStr">
        <is>
          <t>Overtime hours on this technician's shifts</t>
        </is>
      </c>
    </row>
    <row r="86">
      <c r="A86" s="4" t="inlineStr"/>
      <c r="B86" s="5" t="inlineStr">
        <is>
          <t>Nov 2025</t>
        </is>
      </c>
    </row>
    <row r="87">
      <c r="A87" s="14" t="inlineStr">
        <is>
          <t>Overtime hours</t>
        </is>
      </c>
      <c r="B87" s="16" t="n">
        <v>4</v>
      </c>
    </row>
    <row r="88"/>
    <row r="89"/>
    <row r="90">
      <c r="A90" s="12" t="inlineStr">
        <is>
          <t>Technician T6: overtime, November 2025</t>
        </is>
      </c>
    </row>
    <row r="91">
      <c r="A91" s="10" t="inlineStr">
        <is>
          <t>Overtime hours on this technician's shifts</t>
        </is>
      </c>
    </row>
    <row r="92">
      <c r="A92" s="4" t="inlineStr"/>
      <c r="B92" s="5" t="inlineStr">
        <is>
          <t>Nov 2025</t>
        </is>
      </c>
    </row>
    <row r="93">
      <c r="A93" s="14" t="inlineStr">
        <is>
          <t>Overtime hours</t>
        </is>
      </c>
      <c r="B93" s="16" t="n">
        <v>0.5</v>
      </c>
    </row>
    <row r="94"/>
    <row r="95"/>
    <row r="9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9" min="0" max="16383" man="1"/>
    <brk id="59" min="0" max="16383" man="1"/>
    <brk id="8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1132.400000000001</v>
      </c>
      <c r="D6" s="13" t="n">
        <v>17.5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1094.400000000001</v>
      </c>
      <c r="D7" s="13" t="n">
        <v>14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1010.800000000002</v>
      </c>
      <c r="D8" s="13" t="n">
        <v>19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1086.800000000001</v>
      </c>
      <c r="D9" s="13" t="n">
        <v>24.5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995.6000000000021</v>
      </c>
      <c r="D10" s="13" t="n">
        <v>28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1079.200000000001</v>
      </c>
      <c r="D11" s="13" t="n">
        <v>26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950.0000000000019</v>
      </c>
      <c r="D12" s="13" t="n">
        <v>34.5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1086.800000000001</v>
      </c>
      <c r="D13" s="13" t="n">
        <v>28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1079.200000000001</v>
      </c>
      <c r="D14" s="13" t="n">
        <v>30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1140.000000000001</v>
      </c>
      <c r="D15" s="13" t="n">
        <v>27.5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1048.800000000002</v>
      </c>
      <c r="D16" s="13" t="n">
        <v>48.5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1117.200000000001</v>
      </c>
      <c r="D17" s="13" t="n">
        <v>34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1147.600000000001</v>
      </c>
      <c r="D18" s="13" t="n">
        <v>46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1003.200000000002</v>
      </c>
      <c r="D19" s="13" t="n">
        <v>39.5</v>
      </c>
      <c r="E19" s="18">
        <f>IF(C19=0,"",D19/C19)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2026-10-08T08:30:49Z</dcterms:created>
  <dcterms:modified xmlns:dcterms="http://purl.org/dc/terms/" xmlns:xsi="http://www.w3.org/2001/XMLSchema-instance" xsi:type="dcterms:W3CDTF">2026-10-08T08:30:49Z</dcterms:modified>
</cp:coreProperties>
</file>