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November_all_fundraising">'Report'!$B$9</definedName>
    <definedName name="Year_to_date_Jul_to_Nov_2025">'Report'!$B$10</definedName>
    <definedName name="November_Grants">'Report'!$B$34</definedName>
    <definedName name="Year_to_date_Jul_to_Nov_2025_2">'Report'!$B$35</definedName>
    <definedName name="November_Donations">'Report'!$B$45</definedName>
    <definedName name="Year_to_date_Jul_to_Nov_2025_3">'Report'!$B$46</definedName>
    <definedName name="November_Fundraising_events">'Report'!$B$56</definedName>
    <definedName name="Year_to_date_Jul_to_Nov_2025_4">'Report'!$B$57</definedName>
    <definedName name="_xlnm.Print_Area" localSheetId="0">'Report'!$A$1:$D$66</definedName>
    <definedName name="_xlnm.Print_Area" localSheetId="1">'Workings'!$A$1:$C$82</definedName>
    <definedName name="_xlnm.Print_Titles" localSheetId="2">'Data'!$5:$5</definedName>
    <definedName name="_xlnm.Print_Area" localSheetId="2">'Data'!$A$1:$I$19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November 2025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'Report'!$A$14:$A$15</f>
            </numRef>
          </cat>
          <val>
            <numRef>
              <f>'Report'!$B$14:$B$15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'Data'!$A$6:$A$19</f>
            </numRef>
          </cat>
          <val>
            <numRef>
              <f>'Data'!$C$6:$C$19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19" headerRowCount="1">
  <autoFilter ref="A5:I19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9:35am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November · all fundraising</t>
        </is>
      </c>
      <c r="B9" s="7">
        <f>Workings!B10</f>
        <v/>
      </c>
      <c r="C9" s="8" t="inlineStr">
        <is>
          <t>October 11¢</t>
        </is>
      </c>
    </row>
    <row r="10">
      <c r="A10" t="inlineStr">
        <is>
          <t>Year to date (Jul to Nov 2025)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November 2025 (cents)</t>
        </is>
      </c>
    </row>
    <row r="13">
      <c r="A13" s="5" t="inlineStr"/>
      <c r="B13" s="6" t="inlineStr">
        <is>
          <t>Cost to raise a dollar</t>
        </is>
      </c>
    </row>
    <row r="14">
      <c r="A14" t="inlineStr">
        <is>
          <t>Grants</t>
        </is>
      </c>
      <c r="B14" s="7" t="n">
        <v>10</v>
      </c>
    </row>
    <row r="15">
      <c r="A15" t="inlineStr">
        <is>
          <t>Donations</t>
        </is>
      </c>
      <c r="B15" s="7" t="n">
        <v>17</v>
      </c>
    </row>
    <row r="16"/>
    <row r="17"/>
    <row r="18"/>
    <row r="19"/>
    <row r="20"/>
    <row r="21"/>
    <row r="22"/>
    <row r="23"/>
    <row r="24"/>
    <row r="25"/>
    <row r="26">
      <c r="A26" s="10" t="inlineStr">
        <is>
          <t>What it shows</t>
        </is>
      </c>
    </row>
    <row r="27" ht="30" customHeight="1">
      <c r="A27" s="3" t="inlineStr">
        <is>
          <t>November cost 11¢ to raise each dollar, against 11¢ in October. This financial year to date it has cost 14¢ a dollar.</t>
        </is>
      </c>
    </row>
    <row r="28"/>
    <row r="29">
      <c r="A29" s="10" t="inlineStr">
        <is>
          <t>What you'd do about it</t>
        </is>
      </c>
    </row>
    <row r="30" ht="30" customHeight="1">
      <c r="A30" s="3" t="inlineStr">
        <is>
          <t>The year-to-date figure is steadier than single months: events make some months jump. Pick a source above to see which one moves it.</t>
        </is>
      </c>
    </row>
    <row r="31"/>
    <row r="32">
      <c r="A32" s="4" t="inlineStr">
        <is>
          <t>Source: Grants</t>
        </is>
      </c>
    </row>
    <row r="33">
      <c r="A33" s="5" t="inlineStr">
        <is>
          <t>Headline number</t>
        </is>
      </c>
      <c r="B33" s="6" t="inlineStr">
        <is>
          <t>Value</t>
        </is>
      </c>
      <c r="C33" s="6" t="inlineStr">
        <is>
          <t>Compared with</t>
        </is>
      </c>
    </row>
    <row r="34">
      <c r="A34" t="inlineStr">
        <is>
          <t>November · Grants</t>
        </is>
      </c>
      <c r="B34" s="7">
        <f>Workings!B39</f>
        <v/>
      </c>
      <c r="C34" s="8" t="inlineStr">
        <is>
          <t>October 10¢</t>
        </is>
      </c>
    </row>
    <row r="35">
      <c r="A35" t="inlineStr">
        <is>
          <t>Year to date (Jul to Nov 2025)</t>
        </is>
      </c>
      <c r="B35" s="7">
        <f>Workings!B47</f>
        <v/>
      </c>
      <c r="C35" s="8" t="inlineStr">
        <is>
          <t>same period last year: not in the data</t>
        </is>
      </c>
    </row>
    <row r="36"/>
    <row r="37">
      <c r="A37" s="10" t="inlineStr">
        <is>
          <t>What it shows</t>
        </is>
      </c>
    </row>
    <row r="38" ht="30" customHeight="1">
      <c r="A38" s="3" t="inlineStr">
        <is>
          <t>Grants cost 11¢ to raise each dollar this financial year to date ($35,500 of grant writing and reporting for $322,093).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Usually the cheapest money to raise, as long as the time that goes into applications and acquittals is protected.</t>
        </is>
      </c>
    </row>
    <row r="42"/>
    <row r="43">
      <c r="A43" s="4" t="inlineStr">
        <is>
          <t>Source: Donations</t>
        </is>
      </c>
    </row>
    <row r="44">
      <c r="A44" s="5" t="inlineStr">
        <is>
          <t>Headline number</t>
        </is>
      </c>
      <c r="B44" s="6" t="inlineStr">
        <is>
          <t>Value</t>
        </is>
      </c>
      <c r="C44" s="6" t="inlineStr">
        <is>
          <t>Compared with</t>
        </is>
      </c>
    </row>
    <row r="45">
      <c r="A45" t="inlineStr">
        <is>
          <t>November · Donations</t>
        </is>
      </c>
      <c r="B45" s="7">
        <f>Workings!B56</f>
        <v/>
      </c>
      <c r="C45" s="8" t="inlineStr">
        <is>
          <t>October 14¢</t>
        </is>
      </c>
    </row>
    <row r="46">
      <c r="A46" t="inlineStr">
        <is>
          <t>Year to date (Jul to Nov 2025)</t>
        </is>
      </c>
      <c r="B46" s="7">
        <f>Workings!B64</f>
        <v/>
      </c>
      <c r="C46" s="8" t="inlineStr">
        <is>
          <t>same period last year: not in the data</t>
        </is>
      </c>
    </row>
    <row r="47"/>
    <row r="48">
      <c r="A48" s="10" t="inlineStr">
        <is>
          <t>What it shows</t>
        </is>
      </c>
    </row>
    <row r="49" ht="30" customHeight="1">
      <c r="A49" s="3" t="inlineStr">
        <is>
          <t>Donations cost 15¢ to raise each dollar this financial year to date ($11,900 of donor campaigns for $80,500).</t>
        </is>
      </c>
    </row>
    <row r="50"/>
    <row r="51">
      <c r="A51" s="10" t="inlineStr">
        <is>
          <t>What you'd do about it</t>
        </is>
      </c>
    </row>
    <row r="52" ht="30" customHeight="1">
      <c r="A52" s="3" t="inlineStr">
        <is>
          <t>Steady and cheap, and untied: the money that builds reserves.</t>
        </is>
      </c>
    </row>
    <row r="53"/>
    <row r="54">
      <c r="A54" s="4" t="inlineStr">
        <is>
          <t>Source: Fundraising events</t>
        </is>
      </c>
    </row>
    <row r="55">
      <c r="A55" s="5" t="inlineStr">
        <is>
          <t>Headline number</t>
        </is>
      </c>
      <c r="B55" s="6" t="inlineStr">
        <is>
          <t>Value</t>
        </is>
      </c>
      <c r="C55" s="6" t="inlineStr">
        <is>
          <t>Compared with</t>
        </is>
      </c>
    </row>
    <row r="56">
      <c r="A56" t="inlineStr">
        <is>
          <t>November · Fundraising events</t>
        </is>
      </c>
      <c r="B56" s="11">
        <f>Workings!B72</f>
        <v/>
      </c>
      <c r="C56" s="8" t="inlineStr">
        <is>
          <t>October none raised</t>
        </is>
      </c>
    </row>
    <row r="57">
      <c r="A57" t="inlineStr">
        <is>
          <t>Year to date (Jul to Nov 2025)</t>
        </is>
      </c>
      <c r="B57" s="7">
        <f>Workings!B81</f>
        <v/>
      </c>
      <c r="C57" s="8" t="inlineStr">
        <is>
          <t>same period last year: not in the data</t>
        </is>
      </c>
    </row>
    <row r="58"/>
    <row r="59">
      <c r="A59" s="10" t="inlineStr">
        <is>
          <t>What it shows</t>
        </is>
      </c>
    </row>
    <row r="60" ht="30" customHeight="1">
      <c r="A60" s="3" t="inlineStr">
        <is>
          <t>Fundraising events cost 41¢ to raise each dollar this financial year to date ($15,200 of event costs for $36,800).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Usually the dearest money to raise: events are worth counting for what else they bring too (new donors, profile).</t>
        </is>
      </c>
    </row>
    <row r="64"/>
    <row r="65">
      <c r="A65" s="4" t="inlineStr">
        <is>
          <t>Every source at once</t>
        </is>
      </c>
    </row>
    <row r="66">
      <c r="A66" s="12" t="inlineStr">
        <is>
          <t>Cost to raise a dollar, by month (cents): every month is on the Data sheet.</t>
        </is>
      </c>
    </row>
    <row r="67"/>
    <row r="68"/>
  </sheetData>
  <mergeCells count="9">
    <mergeCell ref="A5:D5"/>
    <mergeCell ref="A27:D27"/>
    <mergeCell ref="A38:D38"/>
    <mergeCell ref="A30:D30"/>
    <mergeCell ref="A52:D52"/>
    <mergeCell ref="A41:D41"/>
    <mergeCell ref="A49:D49"/>
    <mergeCell ref="A60:D60"/>
    <mergeCell ref="A63:D6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5" min="0" max="16383" man="1"/>
    <brk id="4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9:35am</t>
        </is>
      </c>
    </row>
    <row r="4"/>
    <row r="5">
      <c r="A5" s="4" t="inlineStr">
        <is>
          <t>Cost to raise a dollar, all fundraising, November and October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Nov 25</t>
        </is>
      </c>
      <c r="C7" s="6" t="inlineStr">
        <is>
          <t>Oct 25</t>
        </is>
      </c>
    </row>
    <row r="8">
      <c r="A8" t="inlineStr">
        <is>
          <t>Cost of raising it</t>
        </is>
      </c>
      <c r="B8" s="13" t="n">
        <v>10200</v>
      </c>
      <c r="C8" s="13" t="n">
        <v>9300</v>
      </c>
    </row>
    <row r="9">
      <c r="A9" t="inlineStr">
        <is>
          <t>Money raised</t>
        </is>
      </c>
      <c r="B9" s="13" t="n">
        <v>88864</v>
      </c>
      <c r="C9" s="13" t="n">
        <v>85385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62600</v>
      </c>
    </row>
    <row r="17">
      <c r="A17" t="inlineStr">
        <is>
          <t>Raised, year to date</t>
        </is>
      </c>
      <c r="B17" s="13" t="n">
        <v>439393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November 2025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Nov 2025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70164</v>
      </c>
    </row>
    <row r="27">
      <c r="A27" t="inlineStr">
        <is>
          <t>Donations: cost (donor campaigns)</t>
        </is>
      </c>
      <c r="B27" s="13" t="n">
        <v>3100</v>
      </c>
    </row>
    <row r="28">
      <c r="A28" t="inlineStr">
        <is>
          <t>Donations: raised</t>
        </is>
      </c>
      <c r="B28" s="13" t="n">
        <v>18700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November. </t>
        </is>
      </c>
    </row>
    <row r="32"/>
    <row r="33"/>
    <row r="34">
      <c r="A34" s="4" t="inlineStr">
        <is>
          <t>Cost to raise a dollar, grants, November and October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Nov 25</t>
        </is>
      </c>
      <c r="C36" s="6" t="inlineStr">
        <is>
          <t>Oct 25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70164</v>
      </c>
      <c r="C38" s="13" t="n">
        <v>69185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35500</v>
      </c>
    </row>
    <row r="46">
      <c r="A46" t="inlineStr">
        <is>
          <t>Raised, year to date</t>
        </is>
      </c>
      <c r="B46" s="13" t="n">
        <v>322093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November and October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Nov 25</t>
        </is>
      </c>
      <c r="C53" s="6" t="inlineStr">
        <is>
          <t>Oct 25</t>
        </is>
      </c>
    </row>
    <row r="54">
      <c r="A54" t="inlineStr">
        <is>
          <t>Cost of raising it</t>
        </is>
      </c>
      <c r="B54" s="13" t="n">
        <v>3100</v>
      </c>
      <c r="C54" s="13" t="n">
        <v>2200</v>
      </c>
    </row>
    <row r="55">
      <c r="A55" t="inlineStr">
        <is>
          <t>Money raised</t>
        </is>
      </c>
      <c r="B55" s="13" t="n">
        <v>18700</v>
      </c>
      <c r="C55" s="13" t="n">
        <v>16200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11900</v>
      </c>
    </row>
    <row r="63">
      <c r="A63" t="inlineStr">
        <is>
          <t>Raised, year to date</t>
        </is>
      </c>
      <c r="B63" s="13" t="n">
        <v>80500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November and October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Nov 25</t>
        </is>
      </c>
      <c r="C70" s="6" t="inlineStr">
        <is>
          <t>Oct 25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15200</v>
      </c>
    </row>
    <row r="80">
      <c r="A80" t="inlineStr">
        <is>
          <t>Raised, year to date</t>
        </is>
      </c>
      <c r="B80" s="13" t="n">
        <v>36800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9:35am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2026-10-07T23:36:02Z</dcterms:created>
  <dcterms:modified xmlns:dcterms="http://purl.org/dc/terms/" xmlns:xsi="http://www.w3.org/2001/XMLSchema-instance" xsi:type="dcterms:W3CDTF">2026-10-07T23:36:02Z</dcterms:modified>
</cp:coreProperties>
</file>