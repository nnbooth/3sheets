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5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165" fontId="11" fillId="0" borderId="1" pivotButton="0" quotePrefix="0" xfId="0"/>
    <xf numFmtId="0" fontId="9" fillId="3" borderId="2" pivotButton="0" quotePrefix="0" xfId="0"/>
    <xf numFmtId="165" fontId="9" fillId="3" borderId="2" pivotButton="0" quotePrefix="0" xfId="0"/>
    <xf numFmtId="165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5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6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Gross margin on each client engagement, September 2026 work only</t>
        </is>
      </c>
    </row>
    <row r="12">
      <c r="A12" s="2" t="inlineStr">
        <is>
          <t>September's revenue less contractors and consultant time at $60/hour. Before overheads: not profit. Not the whole engagement to date. One 40.0% target for every engagement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Excel for managers</t>
        </is>
      </c>
      <c r="B19" s="5">
        <f>Workings!B103</f>
        <v/>
      </c>
      <c r="C19" s="6">
        <f>Workings!B102</f>
        <v/>
      </c>
    </row>
    <row r="20">
      <c r="A20" t="inlineStr">
        <is>
          <t>Dental group reporting</t>
        </is>
      </c>
      <c r="B20" s="5">
        <f>Workings!B115</f>
        <v/>
      </c>
      <c r="C20" s="6">
        <f>Workings!B114</f>
        <v/>
      </c>
    </row>
    <row r="21">
      <c r="A21" t="inlineStr">
        <is>
          <t>Manufacturer process mapping</t>
        </is>
      </c>
      <c r="B21" s="5">
        <f>Workings!B127</f>
        <v/>
      </c>
      <c r="C21" s="6">
        <f>Workings!B126</f>
        <v/>
      </c>
    </row>
    <row r="22">
      <c r="A22" t="inlineStr">
        <is>
          <t>Logistics systems rollout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on-costs)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-8500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-6178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8500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56576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218574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hour, wages and all on-costs)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 (incl. on-costs)</t>
        </is>
      </c>
      <c r="I6" s="4" t="inlineStr">
        <is>
          <t>Gross margin</t>
        </is>
      </c>
      <c r="J6" s="4" t="inlineStr">
        <is>
          <t>Gross 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30</v>
      </c>
      <c r="E10" s="20" t="n">
        <v>8800</v>
      </c>
      <c r="F10" s="20" t="n">
        <v>8800</v>
      </c>
      <c r="G10" s="20" t="n">
        <v>1500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36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4800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34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742</v>
      </c>
      <c r="C8" s="19" t="n">
        <v>648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742</v>
      </c>
      <c r="C20" s="19" t="n">
        <v>648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Gross margin ÷ revenue for this engagement (before overheads)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($/hour, wages and all on-costs)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Gross margin</t>
        </is>
      </c>
      <c r="B42" s="20">
        <f>B37+B38+B41</f>
        <v/>
      </c>
    </row>
    <row r="43">
      <c r="A43" s="26" t="inlineStr">
        <is>
          <t>Gross margin %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Gross margin ÷ revenue for this engagement (before overheads)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($/hour, wages and all on-costs)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Gross margin</t>
        </is>
      </c>
      <c r="B54" s="20">
        <f>B49+B50+B53</f>
        <v/>
      </c>
    </row>
    <row r="55">
      <c r="A55" s="26" t="inlineStr">
        <is>
          <t>Gross margin %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Gross margin ÷ revenue for this engagement (before overheads)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($/hour, wages and all on-costs)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Gross margin</t>
        </is>
      </c>
      <c r="B66" s="20">
        <f>B61+B62+B65</f>
        <v/>
      </c>
    </row>
    <row r="67">
      <c r="A67" s="26" t="inlineStr">
        <is>
          <t>Gross margin %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Gross margin ÷ revenue for this engagement (before overheads)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($/hour, wages and all on-costs)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Gross margin</t>
        </is>
      </c>
      <c r="B78" s="20">
        <f>B73+B74+B77</f>
        <v/>
      </c>
    </row>
    <row r="79">
      <c r="A79" s="26" t="inlineStr">
        <is>
          <t>Gross margin %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Gross margin ÷ revenue for this engagement (before overheads)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($/hour, wages and all on-costs)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Gross margin</t>
        </is>
      </c>
      <c r="B90" s="20">
        <f>B85+B86+B89</f>
        <v/>
      </c>
    </row>
    <row r="91">
      <c r="A91" s="26" t="inlineStr">
        <is>
          <t>Gross margin %</t>
        </is>
      </c>
      <c r="B91" s="27">
        <f>B90/B85</f>
        <v/>
      </c>
    </row>
    <row r="92"/>
    <row r="93"/>
    <row r="94">
      <c r="A94" s="25" t="inlineStr">
        <is>
          <t>Excel for managers</t>
        </is>
      </c>
    </row>
    <row r="95">
      <c r="A95" s="8" t="inlineStr">
        <is>
          <t>Gross margin ÷ revenue for this engagement (before overheads)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8800</v>
      </c>
    </row>
    <row r="98">
      <c r="A98" t="inlineStr">
        <is>
          <t>Contractors</t>
        </is>
      </c>
      <c r="B98" s="20" t="n">
        <v>-1500</v>
      </c>
    </row>
    <row r="99">
      <c r="A99" t="inlineStr">
        <is>
          <t>Consultant hours</t>
        </is>
      </c>
      <c r="B99" s="19" t="n">
        <v>30</v>
      </c>
    </row>
    <row r="100">
      <c r="A100" t="inlineStr">
        <is>
          <t>Consultant cost rate ($/hour, wages and all on-costs)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Gross margin</t>
        </is>
      </c>
      <c r="B102" s="20">
        <f>B97+B98+B101</f>
        <v/>
      </c>
    </row>
    <row r="103">
      <c r="A103" s="26" t="inlineStr">
        <is>
          <t>Gross margin %</t>
        </is>
      </c>
      <c r="B103" s="27">
        <f>B102/B97</f>
        <v/>
      </c>
    </row>
    <row r="104"/>
    <row r="105"/>
    <row r="106">
      <c r="A106" s="25" t="inlineStr">
        <is>
          <t>Dental group reporting</t>
        </is>
      </c>
    </row>
    <row r="107">
      <c r="A107" s="8" t="inlineStr">
        <is>
          <t>Gross margin ÷ revenue for this engagement (before overheads)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6800</v>
      </c>
    </row>
    <row r="110">
      <c r="A110" t="inlineStr">
        <is>
          <t>Contractors</t>
        </is>
      </c>
      <c r="B110" s="20" t="n">
        <v>0</v>
      </c>
    </row>
    <row r="111">
      <c r="A111" t="inlineStr">
        <is>
          <t>Consultant hours</t>
        </is>
      </c>
      <c r="B111" s="19" t="n">
        <v>44</v>
      </c>
    </row>
    <row r="112">
      <c r="A112" t="inlineStr">
        <is>
          <t>Consultant cost rate ($/hour, wages and all on-costs)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Gross margin</t>
        </is>
      </c>
      <c r="B114" s="20">
        <f>B109+B110+B113</f>
        <v/>
      </c>
    </row>
    <row r="115">
      <c r="A115" s="26" t="inlineStr">
        <is>
          <t>Gross margin %</t>
        </is>
      </c>
      <c r="B115" s="27">
        <f>B114/B109</f>
        <v/>
      </c>
    </row>
    <row r="116"/>
    <row r="117"/>
    <row r="118">
      <c r="A118" s="25" t="inlineStr">
        <is>
          <t>Manufacturer process mapping</t>
        </is>
      </c>
    </row>
    <row r="119">
      <c r="A119" s="8" t="inlineStr">
        <is>
          <t>Gross margin ÷ revenue for this engagement (before overheads)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20400</v>
      </c>
    </row>
    <row r="122">
      <c r="A122" t="inlineStr">
        <is>
          <t>Contractors</t>
        </is>
      </c>
      <c r="B122" s="20" t="n">
        <v>-2200</v>
      </c>
    </row>
    <row r="123">
      <c r="A123" t="inlineStr">
        <is>
          <t>Consultant hours</t>
        </is>
      </c>
      <c r="B123" s="19" t="n">
        <v>120</v>
      </c>
    </row>
    <row r="124">
      <c r="A124" t="inlineStr">
        <is>
          <t>Consultant cost rate ($/hour, wages and all on-costs)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Gross margin</t>
        </is>
      </c>
      <c r="B126" s="20">
        <f>B121+B122+B125</f>
        <v/>
      </c>
    </row>
    <row r="127">
      <c r="A127" s="26" t="inlineStr">
        <is>
          <t>Gross margin %</t>
        </is>
      </c>
      <c r="B127" s="27">
        <f>B126/B121</f>
        <v/>
      </c>
    </row>
    <row r="128"/>
    <row r="129"/>
    <row r="130">
      <c r="A130" s="25" t="inlineStr">
        <is>
          <t>Logistics systems rollout</t>
        </is>
      </c>
    </row>
    <row r="131">
      <c r="A131" s="8" t="inlineStr">
        <is>
          <t>Gross margin ÷ revenue for this engagement (before overheads)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36750</v>
      </c>
    </row>
    <row r="134">
      <c r="A134" t="inlineStr">
        <is>
          <t>Contractors</t>
        </is>
      </c>
      <c r="B134" s="20" t="n">
        <v>-4800</v>
      </c>
    </row>
    <row r="135">
      <c r="A135" t="inlineStr">
        <is>
          <t>Consultant hours</t>
        </is>
      </c>
      <c r="B135" s="19" t="n">
        <v>210</v>
      </c>
    </row>
    <row r="136">
      <c r="A136" t="inlineStr">
        <is>
          <t>Consultant cost rate ($/hour, wages and all on-costs)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Gross margin</t>
        </is>
      </c>
      <c r="B138" s="20">
        <f>B133+B134+B137</f>
        <v/>
      </c>
    </row>
    <row r="139">
      <c r="A139" s="26" t="inlineStr">
        <is>
          <t>Gross margin %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Gross margin ÷ revenue for this engagement (before overheads)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36</v>
      </c>
    </row>
    <row r="148">
      <c r="A148" t="inlineStr">
        <is>
          <t>Consultant cost rate ($/hour, wages and all on-costs)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Gross margin</t>
        </is>
      </c>
      <c r="B150" s="20">
        <f>B145+B146+B149</f>
        <v/>
      </c>
    </row>
    <row r="151">
      <c r="A151" s="26" t="inlineStr">
        <is>
          <t>Gross margin %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on-costs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2026-10-07T07:36:11Z</dcterms:created>
  <dcterms:modified xmlns:dcterms="http://purl.org/dc/terms/" xmlns:xsi="http://www.w3.org/2001/XMLSchema-instance" xsi:type="dcterms:W3CDTF">2026-10-07T07:36:11Z</dcterms:modified>
</cp:coreProperties>
</file>