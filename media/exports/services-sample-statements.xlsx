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and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Engagements" sheetId="5" state="visible" r:id="rId5"/>
    <sheet xmlns:r="http://schemas.openxmlformats.org/officeDocument/2006/relationships" name="Assumptions" sheetId="6" state="visible" r:id="rId6"/>
  </sheets>
  <definedNames>
    <definedName name="_xlnm._FilterDatabase" localSheetId="4" hidden="1">'Engagements'!$A$4:$K$23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;(#,##0);&quot;-&quot;"/>
  </numFmts>
  <fonts count="11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color rgb="005F6F63"/>
    </font>
    <font>
      <b val="1"/>
      <color rgb="002F7A5D"/>
      <sz val="12"/>
    </font>
    <font>
      <color rgb="005F6F63"/>
      <sz val="9"/>
    </font>
    <font>
      <b val="1"/>
      <color rgb="0025342A"/>
      <sz val="12"/>
    </font>
    <font>
      <b val="1"/>
      <color rgb="0025342A"/>
    </font>
    <font>
      <i val="1"/>
      <color rgb="005F6F63"/>
    </font>
    <font>
      <b val="1"/>
      <color rgb="00FFFFFF"/>
    </font>
    <font>
      <b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right"/>
    </xf>
    <xf numFmtId="0" fontId="10" fillId="0" borderId="0" pivotButton="0" quotePrefix="0" xfId="0"/>
    <xf numFmtId="0" fontId="3" fillId="0" borderId="0" applyAlignment="1" pivotButton="0" quotePrefix="0" xfId="0">
      <alignment indent="1"/>
    </xf>
    <xf numFmtId="165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0" fontId="10" fillId="3" borderId="2" pivotButton="0" quotePrefix="0" xfId="0"/>
    <xf numFmtId="165" fontId="10" fillId="3" borderId="2" applyAlignment="1" pivotButton="0" quotePrefix="0" xfId="0">
      <alignment horizontal="right"/>
    </xf>
    <xf numFmtId="0" fontId="9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right" wrapText="1"/>
    </xf>
    <xf numFmtId="165" fontId="0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The fourth sheet: September 2026 vs August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3" t="inlineStr">
        <is>
          <t>Consultant utilisation, September</t>
        </is>
      </c>
      <c r="B4" s="4" t="inlineStr">
        <is>
          <t>74%</t>
        </is>
      </c>
      <c r="C4" s="5" t="inlineStr">
        <is>
          <t>▲ from 71% in Aug</t>
        </is>
      </c>
    </row>
    <row r="5">
      <c r="A5" s="3" t="inlineStr">
        <is>
          <t>Revenue per billable hour</t>
        </is>
      </c>
      <c r="B5" s="6" t="inlineStr">
        <is>
          <t>$178</t>
        </is>
      </c>
      <c r="C5" s="5" t="inlineStr">
        <is>
          <t>▲ from $177 in Aug</t>
        </is>
      </c>
    </row>
    <row r="6">
      <c r="A6" s="3" t="inlineStr">
        <is>
          <t>Unbilled work + unpaid invoices</t>
        </is>
      </c>
      <c r="B6" s="6" t="inlineStr">
        <is>
          <t>$216,090</t>
        </is>
      </c>
      <c r="C6" s="5" t="inlineStr">
        <is>
          <t>▲ from $149,190 in Aug</t>
        </is>
      </c>
    </row>
    <row r="8">
      <c r="A8" s="7" t="inlineStr">
        <is>
          <t>Margin by engagement, September (%)</t>
        </is>
      </c>
    </row>
    <row r="9">
      <c r="A9" t="inlineStr">
        <is>
          <t>E-311</t>
        </is>
      </c>
      <c r="B9" s="8" t="n">
        <v>52.7</v>
      </c>
    </row>
    <row r="10">
      <c r="A10" t="inlineStr">
        <is>
          <t>E-314</t>
        </is>
      </c>
      <c r="B10" s="8" t="n">
        <v>68.40000000000001</v>
      </c>
    </row>
    <row r="11">
      <c r="A11" t="inlineStr">
        <is>
          <t>E-318</t>
        </is>
      </c>
      <c r="B11" s="8" t="n">
        <v>63.6</v>
      </c>
    </row>
    <row r="12">
      <c r="A12" t="inlineStr">
        <is>
          <t>E-320</t>
        </is>
      </c>
      <c r="B12" s="8" t="n">
        <v>53.9</v>
      </c>
    </row>
    <row r="13">
      <c r="A13" t="inlineStr">
        <is>
          <t>R-102</t>
        </is>
      </c>
      <c r="B13" s="8" t="n">
        <v>63.4</v>
      </c>
    </row>
    <row r="14">
      <c r="A14" t="inlineStr">
        <is>
          <t>R-105</t>
        </is>
      </c>
      <c r="B14" s="8" t="n">
        <v>61.2</v>
      </c>
    </row>
    <row r="15">
      <c r="A15" t="inlineStr">
        <is>
          <t>R-108</t>
        </is>
      </c>
      <c r="B15" s="8" t="n">
        <v>65</v>
      </c>
    </row>
    <row r="16">
      <c r="A16" t="inlineStr">
        <is>
          <t>R-110</t>
        </is>
      </c>
      <c r="B16" s="8" t="n">
        <v>48.6</v>
      </c>
    </row>
    <row r="17">
      <c r="A17" t="inlineStr">
        <is>
          <t>T-207</t>
        </is>
      </c>
      <c r="B17" s="8" t="n">
        <v>62.5</v>
      </c>
    </row>
    <row r="18">
      <c r="A18" t="inlineStr">
        <is>
          <t>T-209</t>
        </is>
      </c>
      <c r="B18" s="8" t="n">
        <v>81.7</v>
      </c>
    </row>
    <row r="19">
      <c r="A19" s="9" t="inlineStr">
        <is>
          <t>Target</t>
        </is>
      </c>
      <c r="B19" t="n">
        <v>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Revenue</t>
        </is>
      </c>
    </row>
    <row r="6">
      <c r="A6" s="13" t="inlineStr">
        <is>
          <t>Projects (hours worked)</t>
        </is>
      </c>
      <c r="B6" s="14" t="n">
        <v>85950</v>
      </c>
      <c r="C6" s="14" t="n">
        <v>75740</v>
      </c>
      <c r="D6" s="15">
        <f>B6-C6</f>
        <v/>
      </c>
    </row>
    <row r="7">
      <c r="A7" s="13" t="inlineStr">
        <is>
          <t>Retainers</t>
        </is>
      </c>
      <c r="B7" s="14" t="n">
        <v>32500</v>
      </c>
      <c r="C7" s="14" t="n">
        <v>32500</v>
      </c>
      <c r="D7" s="15">
        <f>B7-C7</f>
        <v/>
      </c>
    </row>
    <row r="8">
      <c r="A8" s="13" t="inlineStr">
        <is>
          <t>Training</t>
        </is>
      </c>
      <c r="B8" s="14" t="n">
        <v>13400</v>
      </c>
      <c r="C8" s="14" t="n">
        <v>6400</v>
      </c>
      <c r="D8" s="15">
        <f>B8-C8</f>
        <v/>
      </c>
    </row>
    <row r="9">
      <c r="A9" s="16" t="inlineStr">
        <is>
          <t>Total revenue</t>
        </is>
      </c>
      <c r="B9" s="17" t="n">
        <v>131850</v>
      </c>
      <c r="C9" s="17" t="n">
        <v>114640</v>
      </c>
      <c r="D9" s="17">
        <f>B9-C9</f>
        <v/>
      </c>
    </row>
    <row r="10">
      <c r="A10" s="12" t="inlineStr">
        <is>
          <t>Cost of sales</t>
        </is>
      </c>
    </row>
    <row r="11">
      <c r="A11" s="13" t="inlineStr">
        <is>
          <t>Consultant salaries (incl. super)</t>
        </is>
      </c>
      <c r="B11" s="14" t="n">
        <v>-46500</v>
      </c>
      <c r="C11" s="14" t="n">
        <v>-46500</v>
      </c>
      <c r="D11" s="15">
        <f>B11-C11</f>
        <v/>
      </c>
    </row>
    <row r="12">
      <c r="A12" s="13" t="inlineStr">
        <is>
          <t>Contractors</t>
        </is>
      </c>
      <c r="B12" s="14" t="n">
        <v>-8500</v>
      </c>
      <c r="C12" s="14" t="n">
        <v>-6900</v>
      </c>
      <c r="D12" s="15">
        <f>B12-C12</f>
        <v/>
      </c>
    </row>
    <row r="13">
      <c r="A13" s="16" t="inlineStr">
        <is>
          <t>Total cost of sales</t>
        </is>
      </c>
      <c r="B13" s="17" t="n">
        <v>-55000</v>
      </c>
      <c r="C13" s="17" t="n">
        <v>-53400</v>
      </c>
      <c r="D13" s="17">
        <f>B13-C13</f>
        <v/>
      </c>
    </row>
    <row r="14">
      <c r="A14" s="16" t="inlineStr">
        <is>
          <t>Gross profit</t>
        </is>
      </c>
      <c r="B14" s="17" t="n">
        <v>76850</v>
      </c>
      <c r="C14" s="17" t="n">
        <v>61240</v>
      </c>
      <c r="D14" s="17">
        <f>B14-C14</f>
        <v/>
      </c>
    </row>
    <row r="15">
      <c r="A15" s="12" t="inlineStr">
        <is>
          <t>Operating expenses</t>
        </is>
      </c>
    </row>
    <row r="16">
      <c r="A16" s="13" t="inlineStr">
        <is>
          <t>Management and admin wages</t>
        </is>
      </c>
      <c r="B16" s="14" t="n">
        <v>-24000</v>
      </c>
      <c r="C16" s="14" t="n">
        <v>-24000</v>
      </c>
      <c r="D16" s="15">
        <f>B16-C16</f>
        <v/>
      </c>
    </row>
    <row r="17">
      <c r="A17" s="13" t="inlineStr">
        <is>
          <t>Marketing and business development</t>
        </is>
      </c>
      <c r="B17" s="14" t="n">
        <v>-5800</v>
      </c>
      <c r="C17" s="14" t="n">
        <v>-6500</v>
      </c>
      <c r="D17" s="15">
        <f>B17-C17</f>
        <v/>
      </c>
    </row>
    <row r="18">
      <c r="A18" s="13" t="inlineStr">
        <is>
          <t>Rent and occupancy</t>
        </is>
      </c>
      <c r="B18" s="14" t="n">
        <v>-8000</v>
      </c>
      <c r="C18" s="14" t="n">
        <v>-8000</v>
      </c>
      <c r="D18" s="15">
        <f>B18-C18</f>
        <v/>
      </c>
    </row>
    <row r="19">
      <c r="A19" s="13" t="inlineStr">
        <is>
          <t>IT and software</t>
        </is>
      </c>
      <c r="B19" s="14" t="n">
        <v>-4500</v>
      </c>
      <c r="C19" s="14" t="n">
        <v>-4500</v>
      </c>
      <c r="D19" s="15">
        <f>B19-C19</f>
        <v/>
      </c>
    </row>
    <row r="20">
      <c r="A20" s="13" t="inlineStr">
        <is>
          <t>Professional indemnity insurance</t>
        </is>
      </c>
      <c r="B20" s="14" t="n">
        <v>-2500</v>
      </c>
      <c r="C20" s="14" t="n">
        <v>-2500</v>
      </c>
      <c r="D20" s="15">
        <f>B20-C20</f>
        <v/>
      </c>
    </row>
    <row r="21">
      <c r="A21" s="13" t="inlineStr">
        <is>
          <t>Travel</t>
        </is>
      </c>
      <c r="B21" s="14" t="n">
        <v>-1800</v>
      </c>
      <c r="C21" s="14" t="n">
        <v>-2600</v>
      </c>
      <c r="D21" s="15">
        <f>B21-C21</f>
        <v/>
      </c>
    </row>
    <row r="22">
      <c r="A22" s="13" t="inlineStr">
        <is>
          <t>Other overheads</t>
        </is>
      </c>
      <c r="B22" s="14" t="n">
        <v>-3300</v>
      </c>
      <c r="C22" s="14" t="n">
        <v>-3300</v>
      </c>
      <c r="D22" s="15">
        <f>B22-C22</f>
        <v/>
      </c>
    </row>
    <row r="23">
      <c r="A23" s="16" t="inlineStr">
        <is>
          <t>Total operating expenses</t>
        </is>
      </c>
      <c r="B23" s="17" t="n">
        <v>-49900</v>
      </c>
      <c r="C23" s="17" t="n">
        <v>-51400</v>
      </c>
      <c r="D23" s="17">
        <f>B23-C23</f>
        <v/>
      </c>
    </row>
    <row r="24">
      <c r="A24" s="16" t="inlineStr">
        <is>
          <t>EBITDA</t>
        </is>
      </c>
      <c r="B24" s="17" t="n">
        <v>26950</v>
      </c>
      <c r="C24" s="17" t="n">
        <v>9840</v>
      </c>
      <c r="D24" s="17">
        <f>B24-C24</f>
        <v/>
      </c>
    </row>
    <row r="25">
      <c r="A25" s="16" t="inlineStr">
        <is>
          <t>Depreciation</t>
        </is>
      </c>
      <c r="B25" s="17" t="n">
        <v>-2000</v>
      </c>
      <c r="C25" s="17" t="n">
        <v>-2000</v>
      </c>
      <c r="D25" s="17">
        <f>B25-C25</f>
        <v/>
      </c>
    </row>
    <row r="26">
      <c r="A26" s="16" t="inlineStr">
        <is>
          <t>Interest</t>
        </is>
      </c>
      <c r="B26" s="17" t="n">
        <v>-240</v>
      </c>
      <c r="C26" s="17" t="n">
        <v>-250</v>
      </c>
      <c r="D26" s="17">
        <f>B26-C26</f>
        <v/>
      </c>
    </row>
    <row r="27">
      <c r="A27" s="16" t="inlineStr">
        <is>
          <t>Profit before tax</t>
        </is>
      </c>
      <c r="B27" s="17" t="n">
        <v>24710</v>
      </c>
      <c r="C27" s="17" t="n">
        <v>7590</v>
      </c>
      <c r="D27" s="17">
        <f>B27-C27</f>
        <v/>
      </c>
    </row>
    <row r="28">
      <c r="A28" s="16" t="inlineStr">
        <is>
          <t>Income tax provision (25%)</t>
        </is>
      </c>
      <c r="B28" s="17" t="n">
        <v>-6178</v>
      </c>
      <c r="C28" s="17" t="n">
        <v>-1898</v>
      </c>
      <c r="D28" s="17">
        <f>B28-C28</f>
        <v/>
      </c>
    </row>
    <row r="29">
      <c r="A29" s="18" t="inlineStr">
        <is>
          <t>Net profit after tax</t>
        </is>
      </c>
      <c r="B29" s="19" t="n">
        <v>18532</v>
      </c>
      <c r="C29" s="19" t="n">
        <v>5692</v>
      </c>
      <c r="D29" s="19">
        <f>B29-C29</f>
        <v/>
      </c>
    </row>
  </sheetData>
  <pageMargins left="0.75" right="0.75" top="1" bottom="1" header="0.5" footer="0.5"/>
  <pageSetup orientation="portrait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14" t="n">
        <v>149260</v>
      </c>
      <c r="C6" s="14" t="n">
        <v>192150</v>
      </c>
      <c r="D6" s="15">
        <f>B6-C6</f>
        <v/>
      </c>
    </row>
    <row r="7">
      <c r="A7" s="13" t="inlineStr">
        <is>
          <t>Trade debtors (unpaid invoices)</t>
        </is>
      </c>
      <c r="B7" s="14" t="n">
        <v>116800</v>
      </c>
      <c r="C7" s="14" t="n">
        <v>71290</v>
      </c>
      <c r="D7" s="15">
        <f>B7-C7</f>
        <v/>
      </c>
    </row>
    <row r="8">
      <c r="A8" s="13" t="inlineStr">
        <is>
          <t>Work in progress (unbilled project time)</t>
        </is>
      </c>
      <c r="B8" s="14" t="n">
        <v>99290</v>
      </c>
      <c r="C8" s="14" t="n">
        <v>77900</v>
      </c>
      <c r="D8" s="15">
        <f>B8-C8</f>
        <v/>
      </c>
    </row>
    <row r="9">
      <c r="A9" s="13" t="inlineStr">
        <is>
          <t>Prepayments</t>
        </is>
      </c>
      <c r="B9" s="14" t="n">
        <v>15000</v>
      </c>
      <c r="C9" s="14" t="n">
        <v>15000</v>
      </c>
      <c r="D9" s="15">
        <f>B9-C9</f>
        <v/>
      </c>
    </row>
    <row r="10">
      <c r="A10" s="16" t="inlineStr">
        <is>
          <t>Total current assets</t>
        </is>
      </c>
      <c r="B10" s="17" t="n">
        <v>380350</v>
      </c>
      <c r="C10" s="17" t="n">
        <v>356340</v>
      </c>
      <c r="D10" s="17">
        <f>B10-C10</f>
        <v/>
      </c>
    </row>
    <row r="11">
      <c r="A11" s="16" t="inlineStr">
        <is>
          <t>Office equipment</t>
        </is>
      </c>
      <c r="B11" s="17" t="n">
        <v>60200</v>
      </c>
      <c r="C11" s="17" t="n">
        <v>59000</v>
      </c>
      <c r="D11" s="17">
        <f>B11-C11</f>
        <v/>
      </c>
    </row>
    <row r="12">
      <c r="A12" s="16" t="inlineStr">
        <is>
          <t>Total assets</t>
        </is>
      </c>
      <c r="B12" s="17" t="n">
        <v>440550</v>
      </c>
      <c r="C12" s="17" t="n">
        <v>415340</v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Trade creditors (bills due next month)</t>
        </is>
      </c>
      <c r="B14" s="14" t="n">
        <v>8500</v>
      </c>
      <c r="C14" s="14" t="n">
        <v>6900</v>
      </c>
      <c r="D14" s="15">
        <f>B14-C14</f>
        <v/>
      </c>
    </row>
    <row r="15">
      <c r="A15" s="13" t="inlineStr">
        <is>
          <t>Employee leave provisions</t>
        </is>
      </c>
      <c r="B15" s="14" t="n">
        <v>122300</v>
      </c>
      <c r="C15" s="14" t="n">
        <v>121700</v>
      </c>
      <c r="D15" s="15">
        <f>B15-C15</f>
        <v/>
      </c>
    </row>
    <row r="16">
      <c r="A16" s="13" t="inlineStr">
        <is>
          <t>Income tax payable</t>
        </is>
      </c>
      <c r="B16" s="14" t="n">
        <v>56576</v>
      </c>
      <c r="C16" s="14" t="n">
        <v>50398</v>
      </c>
      <c r="D16" s="15">
        <f>B16-C16</f>
        <v/>
      </c>
    </row>
    <row r="17">
      <c r="A17" s="16" t="inlineStr">
        <is>
          <t>Total current liabilities</t>
        </is>
      </c>
      <c r="B17" s="17" t="n">
        <v>187376</v>
      </c>
      <c r="C17" s="17" t="n">
        <v>178998</v>
      </c>
      <c r="D17" s="17">
        <f>B17-C17</f>
        <v/>
      </c>
    </row>
    <row r="18">
      <c r="A18" s="16" t="inlineStr">
        <is>
          <t>Equipment finance</t>
        </is>
      </c>
      <c r="B18" s="17" t="n">
        <v>14600</v>
      </c>
      <c r="C18" s="17" t="n">
        <v>16300</v>
      </c>
      <c r="D18" s="17">
        <f>B18-C18</f>
        <v/>
      </c>
    </row>
    <row r="19">
      <c r="A19" s="16" t="inlineStr">
        <is>
          <t>Total liabilities</t>
        </is>
      </c>
      <c r="B19" s="17" t="n">
        <v>201976</v>
      </c>
      <c r="C19" s="17" t="n">
        <v>195298</v>
      </c>
      <c r="D19" s="17">
        <f>B19-C19</f>
        <v/>
      </c>
    </row>
    <row r="20">
      <c r="A20" s="18" t="inlineStr">
        <is>
          <t>Net assets</t>
        </is>
      </c>
      <c r="B20" s="19" t="n">
        <v>238574</v>
      </c>
      <c r="C20" s="19" t="n">
        <v>220042</v>
      </c>
      <c r="D20" s="19">
        <f>B20-C20</f>
        <v/>
      </c>
    </row>
    <row r="21">
      <c r="A21" s="12" t="inlineStr">
        <is>
          <t>Equity</t>
        </is>
      </c>
    </row>
    <row r="22">
      <c r="A22" s="13" t="inlineStr">
        <is>
          <t>Share capital</t>
        </is>
      </c>
      <c r="B22" s="14" t="n">
        <v>20000</v>
      </c>
      <c r="C22" s="14" t="n">
        <v>20000</v>
      </c>
      <c r="D22" s="15">
        <f>B22-C22</f>
        <v/>
      </c>
    </row>
    <row r="23">
      <c r="A23" s="13" t="inlineStr">
        <is>
          <t>Retained earnings</t>
        </is>
      </c>
      <c r="B23" s="14" t="n">
        <v>218574</v>
      </c>
      <c r="C23" s="14" t="n">
        <v>200042</v>
      </c>
      <c r="D23" s="15">
        <f>B23-C23</f>
        <v/>
      </c>
    </row>
    <row r="24">
      <c r="A24" s="18" t="inlineStr">
        <is>
          <t>Total equity</t>
        </is>
      </c>
      <c r="B24" s="19" t="n">
        <v>238574</v>
      </c>
      <c r="C24" s="19" t="n">
        <v>220042</v>
      </c>
      <c r="D24" s="19">
        <f>B24-C24</f>
        <v/>
      </c>
    </row>
  </sheetData>
  <pageMargins left="0.75" right="0.75" top="1" bottom="1" header="0.5" footer="0.5"/>
  <pageSetup orientation="portrait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Receipts from customers (invoices paid)</t>
        </is>
      </c>
      <c r="B6" s="14" t="n">
        <v>64950</v>
      </c>
      <c r="C6" s="14" t="n">
        <v>137200</v>
      </c>
      <c r="D6" s="15">
        <f>B6-C6</f>
        <v/>
      </c>
    </row>
    <row r="7">
      <c r="A7" s="13" t="inlineStr">
        <is>
          <t>Payments to contractors and suppliers</t>
        </is>
      </c>
      <c r="B7" s="14" t="n">
        <v>-32800</v>
      </c>
      <c r="C7" s="14" t="n">
        <v>-31300</v>
      </c>
      <c r="D7" s="15">
        <f>B7-C7</f>
        <v/>
      </c>
    </row>
    <row r="8">
      <c r="A8" s="13" t="inlineStr">
        <is>
          <t>Payments to employees</t>
        </is>
      </c>
      <c r="B8" s="14" t="n">
        <v>-69900</v>
      </c>
      <c r="C8" s="14" t="n">
        <v>-69800</v>
      </c>
      <c r="D8" s="15">
        <f>B8-C8</f>
        <v/>
      </c>
    </row>
    <row r="9">
      <c r="A9" s="13" t="inlineStr">
        <is>
          <t>Interest paid</t>
        </is>
      </c>
      <c r="B9" s="14" t="n">
        <v>-240</v>
      </c>
      <c r="C9" s="14" t="n">
        <v>-250</v>
      </c>
      <c r="D9" s="15">
        <f>B9-C9</f>
        <v/>
      </c>
    </row>
    <row r="10">
      <c r="A10" s="13" t="inlineStr">
        <is>
          <t>Income tax paid</t>
        </is>
      </c>
      <c r="B10" s="14" t="n">
        <v>0</v>
      </c>
      <c r="C10" s="14" t="n">
        <v>0</v>
      </c>
      <c r="D10" s="15">
        <f>B10-C10</f>
        <v/>
      </c>
    </row>
    <row r="11">
      <c r="A11" s="16" t="inlineStr">
        <is>
          <t>Net cash from operating activities</t>
        </is>
      </c>
      <c r="B11" s="17" t="n">
        <v>-37990</v>
      </c>
      <c r="C11" s="17" t="n">
        <v>35850</v>
      </c>
      <c r="D11" s="17">
        <f>B11-C11</f>
        <v/>
      </c>
    </row>
    <row r="12">
      <c r="A12" s="12" t="inlineStr">
        <is>
          <t>Investing activities</t>
        </is>
      </c>
    </row>
    <row r="13">
      <c r="A13" s="13" t="inlineStr">
        <is>
          <t>Purchase of equipment</t>
        </is>
      </c>
      <c r="B13" s="14" t="n">
        <v>-3200</v>
      </c>
      <c r="C13" s="14" t="n">
        <v>0</v>
      </c>
      <c r="D13" s="15">
        <f>B13-C13</f>
        <v/>
      </c>
    </row>
    <row r="14">
      <c r="A14" s="16" t="inlineStr">
        <is>
          <t>Net cash from investing activities</t>
        </is>
      </c>
      <c r="B14" s="17" t="n">
        <v>-3200</v>
      </c>
      <c r="C14" s="17" t="n">
        <v>0</v>
      </c>
      <c r="D14" s="17">
        <f>B14-C14</f>
        <v/>
      </c>
    </row>
    <row r="15">
      <c r="A15" s="12" t="inlineStr">
        <is>
          <t>Financing activities</t>
        </is>
      </c>
    </row>
    <row r="16">
      <c r="A16" s="13" t="inlineStr">
        <is>
          <t>Equipment finance repaid</t>
        </is>
      </c>
      <c r="B16" s="14" t="n">
        <v>-1700</v>
      </c>
      <c r="C16" s="14" t="n">
        <v>-1700</v>
      </c>
      <c r="D16" s="15">
        <f>B16-C16</f>
        <v/>
      </c>
    </row>
    <row r="17">
      <c r="A17" s="16" t="inlineStr">
        <is>
          <t>Net cash from financing activities</t>
        </is>
      </c>
      <c r="B17" s="17" t="n">
        <v>-1700</v>
      </c>
      <c r="C17" s="17" t="n">
        <v>-1700</v>
      </c>
      <c r="D17" s="17">
        <f>B17-C17</f>
        <v/>
      </c>
    </row>
    <row r="18">
      <c r="A18" s="16" t="inlineStr">
        <is>
          <t>Net change in cash</t>
        </is>
      </c>
      <c r="B18" s="17" t="n">
        <v>-42890</v>
      </c>
      <c r="C18" s="17" t="n">
        <v>34150</v>
      </c>
      <c r="D18" s="17">
        <f>B18-C18</f>
        <v/>
      </c>
    </row>
    <row r="19">
      <c r="A19" s="16" t="inlineStr">
        <is>
          <t>Cash at start of month</t>
        </is>
      </c>
      <c r="B19" s="17" t="n">
        <v>192150</v>
      </c>
      <c r="C19" s="17" t="n">
        <v>158000</v>
      </c>
      <c r="D19" s="17">
        <f>B19-C19</f>
        <v/>
      </c>
    </row>
    <row r="20">
      <c r="A20" s="18" t="inlineStr">
        <is>
          <t>Cash at end of month</t>
        </is>
      </c>
      <c r="B20" s="19" t="n">
        <v>149260</v>
      </c>
      <c r="C20" s="19" t="n">
        <v>192150</v>
      </c>
      <c r="D20" s="19">
        <f>B20-C20</f>
        <v/>
      </c>
    </row>
  </sheetData>
  <pageMargins left="0.75" right="0.75" top="1" bottom="1" header="0.5" footer="0.5"/>
  <pageSetup orientation="portrait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3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20" t="inlineStr">
        <is>
          <t>Month</t>
        </is>
      </c>
      <c r="B4" s="20" t="inlineStr">
        <is>
          <t>Engagement</t>
        </is>
      </c>
      <c r="C4" s="20" t="inlineStr">
        <is>
          <t>Type</t>
        </is>
      </c>
      <c r="D4" s="20" t="inlineStr">
        <is>
          <t>Description</t>
        </is>
      </c>
      <c r="E4" s="21" t="inlineStr">
        <is>
          <t>Hours</t>
        </is>
      </c>
      <c r="F4" s="21" t="inlineStr">
        <is>
          <t>Revenue</t>
        </is>
      </c>
      <c r="G4" s="21" t="inlineStr">
        <is>
          <t>Billed</t>
        </is>
      </c>
      <c r="H4" s="21" t="inlineStr">
        <is>
          <t>Contractors</t>
        </is>
      </c>
      <c r="I4" s="21" t="inlineStr">
        <is>
          <t>Consultant time cost</t>
        </is>
      </c>
      <c r="J4" s="21" t="inlineStr">
        <is>
          <t>Contribution</t>
        </is>
      </c>
      <c r="K4" s="21" t="inlineStr">
        <is>
          <t>Margin %</t>
        </is>
      </c>
    </row>
    <row r="5">
      <c r="A5" t="inlineStr">
        <is>
          <t>2026-09</t>
        </is>
      </c>
      <c r="B5" t="inlineStr">
        <is>
          <t>E-311</t>
        </is>
      </c>
      <c r="C5" t="inlineStr">
        <is>
          <t>Project</t>
        </is>
      </c>
      <c r="D5" t="inlineStr">
        <is>
          <t>Systems implementation, logistics client</t>
        </is>
      </c>
      <c r="E5" s="22" t="n">
        <v>210</v>
      </c>
      <c r="F5" s="22" t="n">
        <v>36750</v>
      </c>
      <c r="G5" s="22" t="n">
        <v>30000</v>
      </c>
      <c r="H5" s="22" t="n">
        <v>4800</v>
      </c>
      <c r="I5" s="22" t="n">
        <v>12600</v>
      </c>
      <c r="J5" s="22" t="n">
        <v>19350</v>
      </c>
      <c r="K5" s="8" t="n">
        <v>52.7</v>
      </c>
    </row>
    <row r="6">
      <c r="A6" t="inlineStr">
        <is>
          <t>2026-09</t>
        </is>
      </c>
      <c r="B6" t="inlineStr">
        <is>
          <t>E-314</t>
        </is>
      </c>
      <c r="C6" t="inlineStr">
        <is>
          <t>Project</t>
        </is>
      </c>
      <c r="D6" t="inlineStr">
        <is>
          <t>Pricing review, retail group</t>
        </is>
      </c>
      <c r="E6" s="22" t="n">
        <v>96</v>
      </c>
      <c r="F6" s="22" t="n">
        <v>18240</v>
      </c>
      <c r="G6" s="22" t="n">
        <v>0</v>
      </c>
      <c r="H6" s="22" t="n">
        <v>0</v>
      </c>
      <c r="I6" s="22" t="n">
        <v>5760</v>
      </c>
      <c r="J6" s="22" t="n">
        <v>12480</v>
      </c>
      <c r="K6" s="8" t="n">
        <v>68.40000000000001</v>
      </c>
    </row>
    <row r="7">
      <c r="A7" t="inlineStr">
        <is>
          <t>2026-09</t>
        </is>
      </c>
      <c r="B7" t="inlineStr">
        <is>
          <t>E-318</t>
        </is>
      </c>
      <c r="C7" t="inlineStr">
        <is>
          <t>Project</t>
        </is>
      </c>
      <c r="D7" t="inlineStr">
        <is>
          <t>Board reporting pack, health not-for-profit</t>
        </is>
      </c>
      <c r="E7" s="22" t="n">
        <v>64</v>
      </c>
      <c r="F7" s="22" t="n">
        <v>10560</v>
      </c>
      <c r="G7" s="22" t="n">
        <v>10560</v>
      </c>
      <c r="H7" s="22" t="n">
        <v>0</v>
      </c>
      <c r="I7" s="22" t="n">
        <v>3840</v>
      </c>
      <c r="J7" s="22" t="n">
        <v>6720</v>
      </c>
      <c r="K7" s="8" t="n">
        <v>63.6</v>
      </c>
    </row>
    <row r="8">
      <c r="A8" t="inlineStr">
        <is>
          <t>2026-09</t>
        </is>
      </c>
      <c r="B8" t="inlineStr">
        <is>
          <t>E-320</t>
        </is>
      </c>
      <c r="C8" t="inlineStr">
        <is>
          <t>Project</t>
        </is>
      </c>
      <c r="D8" t="inlineStr">
        <is>
          <t>Process mapping, manufacturer</t>
        </is>
      </c>
      <c r="E8" s="22" t="n">
        <v>120</v>
      </c>
      <c r="F8" s="22" t="n">
        <v>20400</v>
      </c>
      <c r="G8" s="22" t="n">
        <v>24000</v>
      </c>
      <c r="H8" s="22" t="n">
        <v>2200</v>
      </c>
      <c r="I8" s="22" t="n">
        <v>7200</v>
      </c>
      <c r="J8" s="22" t="n">
        <v>11000</v>
      </c>
      <c r="K8" s="8" t="n">
        <v>53.9</v>
      </c>
    </row>
    <row r="9">
      <c r="A9" t="inlineStr">
        <is>
          <t>2026-09</t>
        </is>
      </c>
      <c r="B9" t="inlineStr">
        <is>
          <t>R-102</t>
        </is>
      </c>
      <c r="C9" t="inlineStr">
        <is>
          <t>Retainer</t>
        </is>
      </c>
      <c r="D9" t="inlineStr">
        <is>
          <t>Monthly finance, construction firm</t>
        </is>
      </c>
      <c r="E9" s="22" t="n">
        <v>58</v>
      </c>
      <c r="F9" s="22" t="n">
        <v>9500</v>
      </c>
      <c r="G9" s="22" t="n">
        <v>9500</v>
      </c>
      <c r="H9" s="22" t="n">
        <v>0</v>
      </c>
      <c r="I9" s="22" t="n">
        <v>3480</v>
      </c>
      <c r="J9" s="22" t="n">
        <v>6020</v>
      </c>
      <c r="K9" s="8" t="n">
        <v>63.4</v>
      </c>
    </row>
    <row r="10">
      <c r="A10" t="inlineStr">
        <is>
          <t>2026-09</t>
        </is>
      </c>
      <c r="B10" t="inlineStr">
        <is>
          <t>R-105</t>
        </is>
      </c>
      <c r="C10" t="inlineStr">
        <is>
          <t>Retainer</t>
        </is>
      </c>
      <c r="D10" t="inlineStr">
        <is>
          <t>Monthly reporting, dental group</t>
        </is>
      </c>
      <c r="E10" s="22" t="n">
        <v>44</v>
      </c>
      <c r="F10" s="22" t="n">
        <v>6800</v>
      </c>
      <c r="G10" s="22" t="n">
        <v>6800</v>
      </c>
      <c r="H10" s="22" t="n">
        <v>0</v>
      </c>
      <c r="I10" s="22" t="n">
        <v>2640</v>
      </c>
      <c r="J10" s="22" t="n">
        <v>4160</v>
      </c>
      <c r="K10" s="8" t="n">
        <v>61.2</v>
      </c>
    </row>
    <row r="11">
      <c r="A11" t="inlineStr">
        <is>
          <t>2026-09</t>
        </is>
      </c>
      <c r="B11" t="inlineStr">
        <is>
          <t>R-108</t>
        </is>
      </c>
      <c r="C11" t="inlineStr">
        <is>
          <t>Retainer</t>
        </is>
      </c>
      <c r="D11" t="inlineStr">
        <is>
          <t>CFO support, agribusiness</t>
        </is>
      </c>
      <c r="E11" s="22" t="n">
        <v>70</v>
      </c>
      <c r="F11" s="22" t="n">
        <v>12000</v>
      </c>
      <c r="G11" s="22" t="n">
        <v>12000</v>
      </c>
      <c r="H11" s="22" t="n">
        <v>0</v>
      </c>
      <c r="I11" s="22" t="n">
        <v>4200</v>
      </c>
      <c r="J11" s="22" t="n">
        <v>7800</v>
      </c>
      <c r="K11" s="8" t="n">
        <v>65</v>
      </c>
    </row>
    <row r="12">
      <c r="A12" t="inlineStr">
        <is>
          <t>2026-09</t>
        </is>
      </c>
      <c r="B12" t="inlineStr">
        <is>
          <t>R-110</t>
        </is>
      </c>
      <c r="C12" t="inlineStr">
        <is>
          <t>Retainer</t>
        </is>
      </c>
      <c r="D12" t="inlineStr">
        <is>
          <t>Payroll and compliance, hospitality group</t>
        </is>
      </c>
      <c r="E12" s="22" t="n">
        <v>36</v>
      </c>
      <c r="F12" s="22" t="n">
        <v>4200</v>
      </c>
      <c r="G12" s="22" t="n">
        <v>4200</v>
      </c>
      <c r="H12" s="22" t="n">
        <v>0</v>
      </c>
      <c r="I12" s="22" t="n">
        <v>2160</v>
      </c>
      <c r="J12" s="22" t="n">
        <v>2040</v>
      </c>
      <c r="K12" s="8" t="n">
        <v>48.6</v>
      </c>
    </row>
    <row r="13">
      <c r="A13" t="inlineStr">
        <is>
          <t>2026-09</t>
        </is>
      </c>
      <c r="B13" t="inlineStr">
        <is>
          <t>T-207</t>
        </is>
      </c>
      <c r="C13" t="inlineStr">
        <is>
          <t>Training</t>
        </is>
      </c>
      <c r="D13" t="inlineStr">
        <is>
          <t>Excel for managers (2 days)</t>
        </is>
      </c>
      <c r="E13" s="22" t="n">
        <v>30</v>
      </c>
      <c r="F13" s="22" t="n">
        <v>8800</v>
      </c>
      <c r="G13" s="22" t="n">
        <v>8800</v>
      </c>
      <c r="H13" s="22" t="n">
        <v>1500</v>
      </c>
      <c r="I13" s="22" t="n">
        <v>1800</v>
      </c>
      <c r="J13" s="22" t="n">
        <v>5500</v>
      </c>
      <c r="K13" s="8" t="n">
        <v>62.5</v>
      </c>
    </row>
    <row r="14">
      <c r="A14" t="inlineStr">
        <is>
          <t>2026-09</t>
        </is>
      </c>
      <c r="B14" t="inlineStr">
        <is>
          <t>T-209</t>
        </is>
      </c>
      <c r="C14" t="inlineStr">
        <is>
          <t>Training</t>
        </is>
      </c>
      <c r="D14" t="inlineStr">
        <is>
          <t>Power BI basics (1 day)</t>
        </is>
      </c>
      <c r="E14" s="22" t="n">
        <v>14</v>
      </c>
      <c r="F14" s="22" t="n">
        <v>4600</v>
      </c>
      <c r="G14" s="22" t="n">
        <v>4600</v>
      </c>
      <c r="H14" s="22" t="n">
        <v>0</v>
      </c>
      <c r="I14" s="22" t="n">
        <v>840</v>
      </c>
      <c r="J14" s="22" t="n">
        <v>3760</v>
      </c>
      <c r="K14" s="8" t="n">
        <v>81.7</v>
      </c>
    </row>
    <row r="15">
      <c r="A15" t="inlineStr">
        <is>
          <t>2026-08</t>
        </is>
      </c>
      <c r="B15" t="inlineStr">
        <is>
          <t>E-311</t>
        </is>
      </c>
      <c r="C15" t="inlineStr">
        <is>
          <t>Project</t>
        </is>
      </c>
      <c r="D15" t="inlineStr">
        <is>
          <t>Systems implementation, logistics client</t>
        </is>
      </c>
      <c r="E15" s="22" t="n">
        <v>180</v>
      </c>
      <c r="F15" s="22" t="n">
        <v>31500</v>
      </c>
      <c r="G15" s="22" t="n">
        <v>0</v>
      </c>
      <c r="H15" s="22" t="n">
        <v>4200</v>
      </c>
      <c r="I15" s="22" t="n">
        <v>10800</v>
      </c>
      <c r="J15" s="22" t="n">
        <v>16500</v>
      </c>
      <c r="K15" s="8" t="n">
        <v>52.4</v>
      </c>
    </row>
    <row r="16">
      <c r="A16" t="inlineStr">
        <is>
          <t>2026-08</t>
        </is>
      </c>
      <c r="B16" t="inlineStr">
        <is>
          <t>E-314</t>
        </is>
      </c>
      <c r="C16" t="inlineStr">
        <is>
          <t>Project</t>
        </is>
      </c>
      <c r="D16" t="inlineStr">
        <is>
          <t>Pricing review, retail group</t>
        </is>
      </c>
      <c r="E16" s="22" t="n">
        <v>60</v>
      </c>
      <c r="F16" s="22" t="n">
        <v>11400</v>
      </c>
      <c r="G16" s="22" t="n">
        <v>0</v>
      </c>
      <c r="H16" s="22" t="n">
        <v>0</v>
      </c>
      <c r="I16" s="22" t="n">
        <v>3600</v>
      </c>
      <c r="J16" s="22" t="n">
        <v>7800</v>
      </c>
      <c r="K16" s="8" t="n">
        <v>68.40000000000001</v>
      </c>
    </row>
    <row r="17">
      <c r="A17" t="inlineStr">
        <is>
          <t>2026-08</t>
        </is>
      </c>
      <c r="B17" t="inlineStr">
        <is>
          <t>E-316</t>
        </is>
      </c>
      <c r="C17" t="inlineStr">
        <is>
          <t>Project</t>
        </is>
      </c>
      <c r="D17" t="inlineStr">
        <is>
          <t>Cost-to-serve analysis, distributor</t>
        </is>
      </c>
      <c r="E17" s="22" t="n">
        <v>88</v>
      </c>
      <c r="F17" s="22" t="n">
        <v>15840</v>
      </c>
      <c r="G17" s="22" t="n">
        <v>15840</v>
      </c>
      <c r="H17" s="22" t="n">
        <v>0</v>
      </c>
      <c r="I17" s="22" t="n">
        <v>5280</v>
      </c>
      <c r="J17" s="22" t="n">
        <v>10560</v>
      </c>
      <c r="K17" s="8" t="n">
        <v>66.7</v>
      </c>
    </row>
    <row r="18">
      <c r="A18" t="inlineStr">
        <is>
          <t>2026-08</t>
        </is>
      </c>
      <c r="B18" t="inlineStr">
        <is>
          <t>E-320</t>
        </is>
      </c>
      <c r="C18" t="inlineStr">
        <is>
          <t>Project</t>
        </is>
      </c>
      <c r="D18" t="inlineStr">
        <is>
          <t>Process mapping, manufacturer</t>
        </is>
      </c>
      <c r="E18" s="22" t="n">
        <v>100</v>
      </c>
      <c r="F18" s="22" t="n">
        <v>17000</v>
      </c>
      <c r="G18" s="22" t="n">
        <v>0</v>
      </c>
      <c r="H18" s="22" t="n">
        <v>1800</v>
      </c>
      <c r="I18" s="22" t="n">
        <v>6000</v>
      </c>
      <c r="J18" s="22" t="n">
        <v>9200</v>
      </c>
      <c r="K18" s="8" t="n">
        <v>54.1</v>
      </c>
    </row>
    <row r="19">
      <c r="A19" t="inlineStr">
        <is>
          <t>2026-08</t>
        </is>
      </c>
      <c r="B19" t="inlineStr">
        <is>
          <t>R-102</t>
        </is>
      </c>
      <c r="C19" t="inlineStr">
        <is>
          <t>Retainer</t>
        </is>
      </c>
      <c r="D19" t="inlineStr">
        <is>
          <t>Monthly finance, construction firm</t>
        </is>
      </c>
      <c r="E19" s="22" t="n">
        <v>56</v>
      </c>
      <c r="F19" s="22" t="n">
        <v>9500</v>
      </c>
      <c r="G19" s="22" t="n">
        <v>9500</v>
      </c>
      <c r="H19" s="22" t="n">
        <v>0</v>
      </c>
      <c r="I19" s="22" t="n">
        <v>3360</v>
      </c>
      <c r="J19" s="22" t="n">
        <v>6140</v>
      </c>
      <c r="K19" s="8" t="n">
        <v>64.59999999999999</v>
      </c>
    </row>
    <row r="20">
      <c r="A20" t="inlineStr">
        <is>
          <t>2026-08</t>
        </is>
      </c>
      <c r="B20" t="inlineStr">
        <is>
          <t>R-105</t>
        </is>
      </c>
      <c r="C20" t="inlineStr">
        <is>
          <t>Retainer</t>
        </is>
      </c>
      <c r="D20" t="inlineStr">
        <is>
          <t>Monthly reporting, dental group</t>
        </is>
      </c>
      <c r="E20" s="22" t="n">
        <v>42</v>
      </c>
      <c r="F20" s="22" t="n">
        <v>6800</v>
      </c>
      <c r="G20" s="22" t="n">
        <v>6800</v>
      </c>
      <c r="H20" s="22" t="n">
        <v>0</v>
      </c>
      <c r="I20" s="22" t="n">
        <v>2520</v>
      </c>
      <c r="J20" s="22" t="n">
        <v>4280</v>
      </c>
      <c r="K20" s="8" t="n">
        <v>62.9</v>
      </c>
    </row>
    <row r="21">
      <c r="A21" t="inlineStr">
        <is>
          <t>2026-08</t>
        </is>
      </c>
      <c r="B21" t="inlineStr">
        <is>
          <t>R-108</t>
        </is>
      </c>
      <c r="C21" t="inlineStr">
        <is>
          <t>Retainer</t>
        </is>
      </c>
      <c r="D21" t="inlineStr">
        <is>
          <t>CFO support, agribusiness</t>
        </is>
      </c>
      <c r="E21" s="22" t="n">
        <v>68</v>
      </c>
      <c r="F21" s="22" t="n">
        <v>12000</v>
      </c>
      <c r="G21" s="22" t="n">
        <v>12000</v>
      </c>
      <c r="H21" s="22" t="n">
        <v>0</v>
      </c>
      <c r="I21" s="22" t="n">
        <v>4080</v>
      </c>
      <c r="J21" s="22" t="n">
        <v>7920</v>
      </c>
      <c r="K21" s="8" t="n">
        <v>66</v>
      </c>
    </row>
    <row r="22">
      <c r="A22" t="inlineStr">
        <is>
          <t>2026-08</t>
        </is>
      </c>
      <c r="B22" t="inlineStr">
        <is>
          <t>R-110</t>
        </is>
      </c>
      <c r="C22" t="inlineStr">
        <is>
          <t>Retainer</t>
        </is>
      </c>
      <c r="D22" t="inlineStr">
        <is>
          <t>Payroll and compliance, hospitality group</t>
        </is>
      </c>
      <c r="E22" s="22" t="n">
        <v>34</v>
      </c>
      <c r="F22" s="22" t="n">
        <v>4200</v>
      </c>
      <c r="G22" s="22" t="n">
        <v>4200</v>
      </c>
      <c r="H22" s="22" t="n">
        <v>0</v>
      </c>
      <c r="I22" s="22" t="n">
        <v>2040</v>
      </c>
      <c r="J22" s="22" t="n">
        <v>2160</v>
      </c>
      <c r="K22" s="8" t="n">
        <v>51.4</v>
      </c>
    </row>
    <row r="23">
      <c r="A23" t="inlineStr">
        <is>
          <t>2026-08</t>
        </is>
      </c>
      <c r="B23" t="inlineStr">
        <is>
          <t>T-205</t>
        </is>
      </c>
      <c r="C23" t="inlineStr">
        <is>
          <t>Training</t>
        </is>
      </c>
      <c r="D23" t="inlineStr">
        <is>
          <t>Budgeting workshop (1 day)</t>
        </is>
      </c>
      <c r="E23" s="22" t="n">
        <v>20</v>
      </c>
      <c r="F23" s="22" t="n">
        <v>6400</v>
      </c>
      <c r="G23" s="22" t="n">
        <v>6400</v>
      </c>
      <c r="H23" s="22" t="n">
        <v>900</v>
      </c>
      <c r="I23" s="22" t="n">
        <v>1200</v>
      </c>
      <c r="J23" s="22" t="n">
        <v>4300</v>
      </c>
      <c r="K23" s="8" t="n">
        <v>67.2</v>
      </c>
    </row>
  </sheetData>
  <autoFilter ref="A4:K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12" t="inlineStr">
        <is>
          <t>The business</t>
        </is>
      </c>
    </row>
    <row r="5">
      <c r="A5" s="23" t="inlineStr">
        <is>
          <t>What it is</t>
        </is>
      </c>
      <c r="B5" s="24" t="inlineStr">
        <is>
          <t>A Brisbane finance and operations consultancy: projects billed on milestones, monthly retainers and training. 6 consultants, 3 management and admin staff.</t>
        </is>
      </c>
    </row>
    <row r="6">
      <c r="A6" s="23" t="inlineStr">
        <is>
          <t>Reporting month</t>
        </is>
      </c>
      <c r="B6" s="24" t="inlineStr">
        <is>
          <t>September 2026, compared with August 2026</t>
        </is>
      </c>
    </row>
    <row r="7">
      <c r="A7" s="23" t="inlineStr">
        <is>
          <t>Financial year</t>
        </is>
      </c>
      <c r="B7" s="24" t="inlineStr">
        <is>
          <t>FY2027: 1 July 2026 to 30 June 2027</t>
        </is>
      </c>
    </row>
    <row r="9">
      <c r="A9" s="12" t="inlineStr">
        <is>
          <t>Engagements (September)</t>
        </is>
      </c>
    </row>
    <row r="10">
      <c r="A10" s="23" t="inlineStr">
        <is>
          <t>Projects</t>
        </is>
      </c>
      <c r="B10" s="24" t="inlineStr">
        <is>
          <t>hours worked at each project's rate; billed on milestones (unbilled time = work in progress)</t>
        </is>
      </c>
    </row>
    <row r="11">
      <c r="A11" s="23" t="inlineStr">
        <is>
          <t>Retainers</t>
        </is>
      </c>
      <c r="B11" s="24" t="inlineStr">
        <is>
          <t>fixed monthly fee, billed monthly</t>
        </is>
      </c>
    </row>
    <row r="12">
      <c r="A12" s="23" t="inlineStr">
        <is>
          <t>Training</t>
        </is>
      </c>
      <c r="B12" s="24" t="inlineStr">
        <is>
          <t>fixed fee, billed on delivery</t>
        </is>
      </c>
    </row>
    <row r="13">
      <c r="A13" s="23" t="inlineStr">
        <is>
          <t>Engagements in September</t>
        </is>
      </c>
      <c r="B13" s="24" t="inlineStr">
        <is>
          <t>10 (every one is in the Excel download and CSV)</t>
        </is>
      </c>
    </row>
    <row r="15">
      <c r="A15" s="12" t="inlineStr">
        <is>
          <t>Costs</t>
        </is>
      </c>
    </row>
    <row r="16">
      <c r="A16" s="23" t="inlineStr">
        <is>
          <t>Consultants</t>
        </is>
      </c>
      <c r="B16" s="24" t="inlineStr">
        <is>
          <t>6 on salary: $46,500 a month incl. super</t>
        </is>
      </c>
    </row>
    <row r="17">
      <c r="A17" s="23" t="inlineStr">
        <is>
          <t>Engagement costing rate</t>
        </is>
      </c>
      <c r="B17" s="24" t="inlineStr">
        <is>
          <t>$60/hour for consultant time</t>
        </is>
      </c>
    </row>
    <row r="18">
      <c r="A18" s="23" t="inlineStr">
        <is>
          <t>Working days</t>
        </is>
      </c>
      <c r="B18" s="24" t="inlineStr">
        <is>
          <t>20 in August (Ekka show holiday), 22 in September; 7.6 hours a day</t>
        </is>
      </c>
    </row>
    <row r="19">
      <c r="A19" s="23" t="inlineStr">
        <is>
          <t>Income tax</t>
        </is>
      </c>
      <c r="B19" s="24" t="inlineStr">
        <is>
          <t>25% of profit, provided monthly</t>
        </is>
      </c>
    </row>
    <row r="21">
      <c r="A21" s="12" t="inlineStr">
        <is>
          <t>Cash and balance sheet</t>
        </is>
      </c>
    </row>
    <row r="22">
      <c r="A22" s="23" t="inlineStr">
        <is>
          <t>Client payments</t>
        </is>
      </c>
      <c r="B22" s="24" t="inlineStr">
        <is>
          <t>each invoice is paid on its own date; unpaid invoices at month end = debtors</t>
        </is>
      </c>
    </row>
    <row r="23">
      <c r="A23" s="23" t="inlineStr">
        <is>
          <t>Contractors</t>
        </is>
      </c>
      <c r="B23" s="24" t="inlineStr">
        <is>
          <t>paid the following month</t>
        </is>
      </c>
    </row>
    <row r="24">
      <c r="A24" s="23" t="inlineStr">
        <is>
          <t>GST</t>
        </is>
      </c>
      <c r="B24" s="24" t="inlineStr">
        <is>
          <t>excluded throughout, for simplicity</t>
        </is>
      </c>
    </row>
    <row r="26">
      <c r="A26" s="12" t="inlineStr">
        <is>
          <t>Checks (all passed)</t>
        </is>
      </c>
    </row>
    <row r="27">
      <c r="A27" t="inlineStr">
        <is>
          <t>✓ Every subtotal and total adds up</t>
        </is>
      </c>
    </row>
    <row r="28">
      <c r="A28" t="inlineStr">
        <is>
          <t>✓ Balance sheet balances: assets = liabilities + equity</t>
        </is>
      </c>
    </row>
    <row r="29">
      <c r="A29" t="inlineStr">
        <is>
          <t>✓ Cash flow ends at the cash in the bank</t>
        </is>
      </c>
    </row>
    <row r="30">
      <c r="A30" t="inlineStr">
        <is>
          <t>✓ Profit ties to the movement in retained earnings</t>
        </is>
      </c>
    </row>
    <row r="31">
      <c r="A31" t="inlineStr">
        <is>
          <t>✓ Every engagement's revenue adds up to the P&amp;L</t>
        </is>
      </c>
    </row>
    <row r="32">
      <c r="A32" t="inlineStr">
        <is>
          <t>✓ Work in progress equals unbilled project time; debtors equal unpaid invoices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2026-10-06T00:33:29Z</dcterms:created>
  <dcterms:modified xmlns:dcterms="http://purl.org/dc/terms/" xmlns:xsi="http://www.w3.org/2001/XMLSchema-instance" xsi:type="dcterms:W3CDTF">2026-10-06T00:33:29Z</dcterms:modified>
</cp:coreProperties>
</file>