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fourth sheet" sheetId="1" state="visible" r:id="rId1"/>
    <sheet xmlns:r="http://schemas.openxmlformats.org/officeDocument/2006/relationships" name="Profit and los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Engagements" sheetId="5" state="visible" r:id="rId5"/>
    <sheet xmlns:r="http://schemas.openxmlformats.org/officeDocument/2006/relationships" name="Workings" sheetId="6" state="visible" r:id="rId6"/>
    <sheet xmlns:r="http://schemas.openxmlformats.org/officeDocument/2006/relationships" name="Assumptions" sheetId="7" state="visible" r:id="rId7"/>
  </sheets>
  <definedNames>
    <definedName name="_xlnm.Print_Titles" localSheetId="0">'The fourth sheet'!$5:$5</definedName>
    <definedName name="_xlnm.Print_Titles" localSheetId="1">'Profit and loss'!$4:$4</definedName>
    <definedName name="_xlnm.Print_Titles" localSheetId="2">'Balance sheet'!$4:$4</definedName>
    <definedName name="_xlnm.Print_Titles" localSheetId="3">'Cash flow'!$4:$4</definedName>
    <definedName name="_xlnm._FilterDatabase" localSheetId="4" hidden="1">'Engagements'!$A$6:$J$25</definedName>
    <definedName name="_xlnm.Print_Titles" localSheetId="4">'Engagements'!$6:$6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2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2F7A5D"/>
      <sz val="12"/>
    </font>
    <font>
      <i val="1"/>
      <color rgb="005F6F63"/>
    </font>
    <font>
      <b val="1"/>
      <color rgb="00FFFFFF"/>
    </font>
    <font>
      <b val="1"/>
    </font>
    <font>
      <b val="1"/>
      <color rgb="0025342A"/>
    </font>
    <font>
      <b val="1"/>
      <color rgb="002F7A5D"/>
    </font>
    <font>
      <color rgb="005F6F63"/>
    </font>
    <font>
      <b val="1"/>
      <i val="1"/>
      <color rgb="0025342A"/>
    </font>
    <font>
      <b val="1"/>
      <i val="1"/>
      <color rgb="002F7A5D"/>
    </font>
  </fonts>
  <fills count="4">
    <fill>
      <patternFill/>
    </fill>
    <fill>
      <patternFill patternType="gray125"/>
    </fill>
    <fill>
      <patternFill patternType="solid">
        <fgColor rgb="002F7A5D"/>
      </patternFill>
    </fill>
    <fill>
      <patternFill patternType="solid">
        <fgColor rgb="00EAF6EE"/>
      </patternFill>
    </fill>
  </fills>
  <borders count="3">
    <border>
      <left/>
      <right/>
      <top/>
      <bottom/>
      <diagonal/>
    </border>
    <border>
      <top style="thin">
        <color rgb="00DCE8DC"/>
      </top>
    </border>
    <border>
      <top style="thin">
        <color rgb="00DCE8DC"/>
      </top>
      <bottom style="double">
        <color rgb="0025342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6" fontId="0" fillId="0" borderId="0" pivotButton="0" quotePrefix="0" xfId="0"/>
    <xf numFmtId="165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indent="1"/>
    </xf>
    <xf numFmtId="165" fontId="4" fillId="0" borderId="0" pivotButton="0" quotePrefix="0" xfId="0"/>
    <xf numFmtId="0" fontId="7" fillId="0" borderId="1" pivotButton="0" quotePrefix="0" xfId="0"/>
    <xf numFmtId="165" fontId="7" fillId="0" borderId="1" pivotButton="0" quotePrefix="0" xfId="0"/>
    <xf numFmtId="165" fontId="10" fillId="0" borderId="1" pivotButton="0" quotePrefix="0" xfId="0"/>
    <xf numFmtId="0" fontId="8" fillId="3" borderId="2" pivotButton="0" quotePrefix="0" xfId="0"/>
    <xf numFmtId="165" fontId="8" fillId="3" borderId="2" pivotButton="0" quotePrefix="0" xfId="0"/>
    <xf numFmtId="165" fontId="11" fillId="3" borderId="2" pivotButton="0" quotePrefix="0" xfId="0"/>
    <xf numFmtId="49" fontId="0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6" fillId="0" borderId="0" pivotButton="0" quotePrefix="0" xfId="0"/>
    <xf numFmtId="164" fontId="6" fillId="0" borderId="2" pivotButton="0" quotePrefix="0" xfId="0"/>
    <xf numFmtId="165" fontId="6" fillId="0" borderId="2" pivotButton="0" quotePrefix="0" xfId="0"/>
    <xf numFmtId="0" fontId="3" fillId="0" borderId="0" pivotButton="0" quotePrefix="0" xfId="0"/>
    <xf numFmtId="0" fontId="6" fillId="0" borderId="1" pivotButton="0" quotePrefix="0" xfId="0"/>
    <xf numFmtId="166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0" fillId="0" borderId="0" applyAlignment="1" pivotButton="0" quotePrefix="0" xfId="0">
      <alignment vertical="top" inden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The fourth sheet: September 2026 against August 2026</t>
        </is>
      </c>
    </row>
    <row r="2">
      <c r="A2" s="2" t="inlineStr">
        <is>
          <t>Sample Advisory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/>
    <row r="5">
      <c r="A5" s="3" t="inlineStr">
        <is>
          <t>Headline number</t>
        </is>
      </c>
      <c r="B5" s="4" t="inlineStr">
        <is>
          <t>Sep 2026</t>
        </is>
      </c>
      <c r="C5" s="4" t="inlineStr">
        <is>
          <t>Aug 2026</t>
        </is>
      </c>
      <c r="D5" s="4" t="inlineStr">
        <is>
          <t>Change</t>
        </is>
      </c>
    </row>
    <row r="6">
      <c r="A6" t="inlineStr">
        <is>
          <t>Consultant utilisation</t>
        </is>
      </c>
      <c r="B6" s="5">
        <f>Workings!B13</f>
        <v/>
      </c>
      <c r="C6" s="5">
        <f>Workings!C13</f>
        <v/>
      </c>
      <c r="D6" s="5">
        <f>B6-C6</f>
        <v/>
      </c>
    </row>
    <row r="7">
      <c r="A7" t="inlineStr">
        <is>
          <t>Revenue per billable hour</t>
        </is>
      </c>
      <c r="B7" s="6">
        <f>Workings!B21</f>
        <v/>
      </c>
      <c r="C7" s="6">
        <f>Workings!C21</f>
        <v/>
      </c>
      <c r="D7" s="6">
        <f>B7-C7</f>
        <v/>
      </c>
    </row>
    <row r="8">
      <c r="A8" t="inlineStr">
        <is>
          <t>Unbilled work + unpaid invoices</t>
        </is>
      </c>
      <c r="B8" s="6">
        <f>Workings!B30</f>
        <v/>
      </c>
      <c r="C8" s="6">
        <f>Workings!C30</f>
        <v/>
      </c>
      <c r="D8" s="6">
        <f>B8-C8</f>
        <v/>
      </c>
    </row>
    <row r="9"/>
    <row r="10"/>
    <row r="11">
      <c r="A11" s="7" t="inlineStr">
        <is>
          <t>Margin on each client engagement, September 2026 work only</t>
        </is>
      </c>
    </row>
    <row r="12">
      <c r="A12" s="2" t="inlineStr">
        <is>
          <t>September's revenue less contractors and consultant time at $60/hour. Not the whole engagement to date. One 40.0% target for every engagement for now.</t>
        </is>
      </c>
    </row>
    <row r="13">
      <c r="A13" s="3" t="inlineStr"/>
      <c r="B13" s="4" t="inlineStr">
        <is>
          <t>Margin %</t>
        </is>
      </c>
      <c r="C13" s="4" t="inlineStr">
        <is>
          <t>Contribution $</t>
        </is>
      </c>
    </row>
    <row r="14">
      <c r="A14" t="inlineStr">
        <is>
          <t>Power BI basics</t>
        </is>
      </c>
      <c r="B14" s="5">
        <f>Workings!B43</f>
        <v/>
      </c>
      <c r="C14" s="6">
        <f>Workings!B42</f>
        <v/>
      </c>
    </row>
    <row r="15">
      <c r="A15" t="inlineStr">
        <is>
          <t>Retail pricing review</t>
        </is>
      </c>
      <c r="B15" s="5">
        <f>Workings!B55</f>
        <v/>
      </c>
      <c r="C15" s="6">
        <f>Workings!B54</f>
        <v/>
      </c>
    </row>
    <row r="16">
      <c r="A16" t="inlineStr">
        <is>
          <t>Agribusiness CFO support</t>
        </is>
      </c>
      <c r="B16" s="5">
        <f>Workings!B67</f>
        <v/>
      </c>
      <c r="C16" s="6">
        <f>Workings!B66</f>
        <v/>
      </c>
    </row>
    <row r="17">
      <c r="A17" t="inlineStr">
        <is>
          <t>Health charity board pack</t>
        </is>
      </c>
      <c r="B17" s="5">
        <f>Workings!B79</f>
        <v/>
      </c>
      <c r="C17" s="6">
        <f>Workings!B78</f>
        <v/>
      </c>
    </row>
    <row r="18">
      <c r="A18" t="inlineStr">
        <is>
          <t>Construction firm finance</t>
        </is>
      </c>
      <c r="B18" s="5">
        <f>Workings!B91</f>
        <v/>
      </c>
      <c r="C18" s="6">
        <f>Workings!B90</f>
        <v/>
      </c>
    </row>
    <row r="19">
      <c r="A19" t="inlineStr">
        <is>
          <t>Excel for managers</t>
        </is>
      </c>
      <c r="B19" s="5">
        <f>Workings!B103</f>
        <v/>
      </c>
      <c r="C19" s="6">
        <f>Workings!B102</f>
        <v/>
      </c>
    </row>
    <row r="20">
      <c r="A20" t="inlineStr">
        <is>
          <t>Dental group reporting</t>
        </is>
      </c>
      <c r="B20" s="5">
        <f>Workings!B115</f>
        <v/>
      </c>
      <c r="C20" s="6">
        <f>Workings!B114</f>
        <v/>
      </c>
    </row>
    <row r="21">
      <c r="A21" t="inlineStr">
        <is>
          <t>Manufacturer process mapping</t>
        </is>
      </c>
      <c r="B21" s="5">
        <f>Workings!B127</f>
        <v/>
      </c>
      <c r="C21" s="6">
        <f>Workings!B126</f>
        <v/>
      </c>
    </row>
    <row r="22">
      <c r="A22" t="inlineStr">
        <is>
          <t>Logistics systems rollout</t>
        </is>
      </c>
      <c r="B22" s="5">
        <f>Workings!B139</f>
        <v/>
      </c>
      <c r="C22" s="6">
        <f>Workings!B138</f>
        <v/>
      </c>
    </row>
    <row r="23">
      <c r="A23" t="inlineStr">
        <is>
          <t>Hospitality payroll</t>
        </is>
      </c>
      <c r="B23" s="5">
        <f>Workings!B151</f>
        <v/>
      </c>
      <c r="C23" s="6">
        <f>Workings!B150</f>
        <v/>
      </c>
    </row>
    <row r="24">
      <c r="A24" s="8" t="inlineStr">
        <is>
          <t>Target</t>
        </is>
      </c>
      <c r="B24" s="5" t="n">
        <v>0.4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Advisory Pty Ltd&amp;R&amp;8 &amp;A</oddHeader>
    <oddFooter>&amp;L&amp;8 services-sample-statements.xlsx&amp;C&amp;8 Data retrieved 2pm, Tue 6 Oct 2026&amp;R&amp;8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Profit and loss, September 2026</t>
        </is>
      </c>
    </row>
    <row r="2">
      <c r="A2" s="2" t="inlineStr">
        <is>
          <t>Sample Advisory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9" t="inlineStr">
        <is>
          <t>Revenue</t>
        </is>
      </c>
    </row>
    <row r="6">
      <c r="A6" s="10" t="inlineStr">
        <is>
          <t>Projects (hours worked)</t>
        </is>
      </c>
      <c r="B6" s="6" t="n">
        <v>85950</v>
      </c>
      <c r="C6" s="6" t="n">
        <v>75740</v>
      </c>
      <c r="D6" s="11">
        <f>B6-C6</f>
        <v/>
      </c>
    </row>
    <row r="7">
      <c r="A7" s="10" t="inlineStr">
        <is>
          <t>Retainers</t>
        </is>
      </c>
      <c r="B7" s="6" t="n">
        <v>32500</v>
      </c>
      <c r="C7" s="6" t="n">
        <v>32500</v>
      </c>
      <c r="D7" s="11">
        <f>B7-C7</f>
        <v/>
      </c>
    </row>
    <row r="8">
      <c r="A8" s="10" t="inlineStr">
        <is>
          <t>Training</t>
        </is>
      </c>
      <c r="B8" s="6" t="n">
        <v>13400</v>
      </c>
      <c r="C8" s="6" t="n">
        <v>6400</v>
      </c>
      <c r="D8" s="11">
        <f>B8-C8</f>
        <v/>
      </c>
    </row>
    <row r="9">
      <c r="A9" s="12" t="inlineStr">
        <is>
          <t>Total revenue</t>
        </is>
      </c>
      <c r="B9" s="13">
        <f>SUM(B6:B8)</f>
        <v/>
      </c>
      <c r="C9" s="13">
        <f>SUM(C6:C8)</f>
        <v/>
      </c>
      <c r="D9" s="14">
        <f>B9-C9</f>
        <v/>
      </c>
    </row>
    <row r="10">
      <c r="A10" s="9" t="inlineStr">
        <is>
          <t>Cost of sales</t>
        </is>
      </c>
    </row>
    <row r="11">
      <c r="A11" s="10" t="inlineStr">
        <is>
          <t>Consultant salaries (incl. super)</t>
        </is>
      </c>
      <c r="B11" s="6" t="n">
        <v>-46500</v>
      </c>
      <c r="C11" s="6" t="n">
        <v>-46500</v>
      </c>
      <c r="D11" s="11">
        <f>B11-C11</f>
        <v/>
      </c>
    </row>
    <row r="12">
      <c r="A12" s="10" t="inlineStr">
        <is>
          <t>Contractors</t>
        </is>
      </c>
      <c r="B12" s="6" t="n">
        <v>-8500</v>
      </c>
      <c r="C12" s="6" t="n">
        <v>-6900</v>
      </c>
      <c r="D12" s="11">
        <f>B12-C12</f>
        <v/>
      </c>
    </row>
    <row r="13">
      <c r="A13" s="12" t="inlineStr">
        <is>
          <t>Total cost of sales</t>
        </is>
      </c>
      <c r="B13" s="13">
        <f>SUM(B11:B12)</f>
        <v/>
      </c>
      <c r="C13" s="13">
        <f>SUM(C11:C12)</f>
        <v/>
      </c>
      <c r="D13" s="14">
        <f>B13-C13</f>
        <v/>
      </c>
    </row>
    <row r="14">
      <c r="A14" s="12" t="inlineStr">
        <is>
          <t>Gross profit</t>
        </is>
      </c>
      <c r="B14" s="13">
        <f>B9+B13</f>
        <v/>
      </c>
      <c r="C14" s="13">
        <f>C9+C13</f>
        <v/>
      </c>
      <c r="D14" s="14">
        <f>B14-C14</f>
        <v/>
      </c>
    </row>
    <row r="15">
      <c r="A15" s="9" t="inlineStr">
        <is>
          <t>Operating expenses</t>
        </is>
      </c>
    </row>
    <row r="16">
      <c r="A16" s="10" t="inlineStr">
        <is>
          <t>Management and admin wages</t>
        </is>
      </c>
      <c r="B16" s="6" t="n">
        <v>-24000</v>
      </c>
      <c r="C16" s="6" t="n">
        <v>-24000</v>
      </c>
      <c r="D16" s="11">
        <f>B16-C16</f>
        <v/>
      </c>
    </row>
    <row r="17">
      <c r="A17" s="10" t="inlineStr">
        <is>
          <t>Marketing and business development</t>
        </is>
      </c>
      <c r="B17" s="6" t="n">
        <v>-5800</v>
      </c>
      <c r="C17" s="6" t="n">
        <v>-6500</v>
      </c>
      <c r="D17" s="11">
        <f>B17-C17</f>
        <v/>
      </c>
    </row>
    <row r="18">
      <c r="A18" s="10" t="inlineStr">
        <is>
          <t>Rent and occupancy</t>
        </is>
      </c>
      <c r="B18" s="6" t="n">
        <v>-8000</v>
      </c>
      <c r="C18" s="6" t="n">
        <v>-8000</v>
      </c>
      <c r="D18" s="11">
        <f>B18-C18</f>
        <v/>
      </c>
    </row>
    <row r="19">
      <c r="A19" s="10" t="inlineStr">
        <is>
          <t>IT and software</t>
        </is>
      </c>
      <c r="B19" s="6" t="n">
        <v>-4500</v>
      </c>
      <c r="C19" s="6" t="n">
        <v>-4500</v>
      </c>
      <c r="D19" s="11">
        <f>B19-C19</f>
        <v/>
      </c>
    </row>
    <row r="20">
      <c r="A20" s="10" t="inlineStr">
        <is>
          <t>Professional indemnity insurance</t>
        </is>
      </c>
      <c r="B20" s="6" t="n">
        <v>-2500</v>
      </c>
      <c r="C20" s="6" t="n">
        <v>-2500</v>
      </c>
      <c r="D20" s="11">
        <f>B20-C20</f>
        <v/>
      </c>
    </row>
    <row r="21">
      <c r="A21" s="10" t="inlineStr">
        <is>
          <t>Travel</t>
        </is>
      </c>
      <c r="B21" s="6" t="n">
        <v>-1800</v>
      </c>
      <c r="C21" s="6" t="n">
        <v>-2600</v>
      </c>
      <c r="D21" s="11">
        <f>B21-C21</f>
        <v/>
      </c>
    </row>
    <row r="22">
      <c r="A22" s="10" t="inlineStr">
        <is>
          <t>Other overheads</t>
        </is>
      </c>
      <c r="B22" s="6" t="n">
        <v>-3300</v>
      </c>
      <c r="C22" s="6" t="n">
        <v>-3300</v>
      </c>
      <c r="D22" s="11">
        <f>B22-C22</f>
        <v/>
      </c>
    </row>
    <row r="23">
      <c r="A23" s="12" t="inlineStr">
        <is>
          <t>Total operating expenses</t>
        </is>
      </c>
      <c r="B23" s="13">
        <f>SUM(B16:B22)</f>
        <v/>
      </c>
      <c r="C23" s="13">
        <f>SUM(C16:C22)</f>
        <v/>
      </c>
      <c r="D23" s="14">
        <f>B23-C23</f>
        <v/>
      </c>
    </row>
    <row r="24">
      <c r="A24" s="12" t="inlineStr">
        <is>
          <t>EBITDA</t>
        </is>
      </c>
      <c r="B24" s="13">
        <f>B14+B23</f>
        <v/>
      </c>
      <c r="C24" s="13">
        <f>C14+C23</f>
        <v/>
      </c>
      <c r="D24" s="14">
        <f>B24-C24</f>
        <v/>
      </c>
    </row>
    <row r="25">
      <c r="A25" s="12" t="inlineStr">
        <is>
          <t>Depreciation</t>
        </is>
      </c>
      <c r="B25" s="13" t="n">
        <v>-2000</v>
      </c>
      <c r="C25" s="13" t="n">
        <v>-2000</v>
      </c>
      <c r="D25" s="14">
        <f>B25-C25</f>
        <v/>
      </c>
    </row>
    <row r="26">
      <c r="A26" s="12" t="inlineStr">
        <is>
          <t>Interest</t>
        </is>
      </c>
      <c r="B26" s="13" t="n">
        <v>-240</v>
      </c>
      <c r="C26" s="13" t="n">
        <v>-250</v>
      </c>
      <c r="D26" s="14">
        <f>B26-C26</f>
        <v/>
      </c>
    </row>
    <row r="27">
      <c r="A27" s="12" t="inlineStr">
        <is>
          <t>Profit before tax</t>
        </is>
      </c>
      <c r="B27" s="13">
        <f>B24+B25+B26</f>
        <v/>
      </c>
      <c r="C27" s="13">
        <f>C24+C25+C26</f>
        <v/>
      </c>
      <c r="D27" s="14">
        <f>B27-C27</f>
        <v/>
      </c>
    </row>
    <row r="28">
      <c r="A28" s="12" t="inlineStr">
        <is>
          <t>Income tax provision (25%)</t>
        </is>
      </c>
      <c r="B28" s="13" t="n">
        <v>-6178</v>
      </c>
      <c r="C28" s="13" t="n">
        <v>-1898</v>
      </c>
      <c r="D28" s="14">
        <f>B28-C28</f>
        <v/>
      </c>
    </row>
    <row r="29">
      <c r="A29" s="15" t="inlineStr">
        <is>
          <t>Net profit after tax</t>
        </is>
      </c>
      <c r="B29" s="16">
        <f>B27+B28</f>
        <v/>
      </c>
      <c r="C29" s="16">
        <f>C27+C28</f>
        <v/>
      </c>
      <c r="D29" s="17">
        <f>B29-C29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Advisory Pty Ltd&amp;R&amp;8 &amp;A</oddHeader>
    <oddFooter>&amp;L&amp;8 services-sample-statements.xlsx&amp;C&amp;8 Data retrieved 2pm, Tue 6 Oct 2026&amp;R&amp;8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Balance sheet at 30 September 2026</t>
        </is>
      </c>
    </row>
    <row r="2">
      <c r="A2" s="2" t="inlineStr">
        <is>
          <t>Sample Advisory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9" t="inlineStr">
        <is>
          <t>Current assets</t>
        </is>
      </c>
    </row>
    <row r="6">
      <c r="A6" s="10" t="inlineStr">
        <is>
          <t>Cash at bank</t>
        </is>
      </c>
      <c r="B6" s="6" t="n">
        <v>149260</v>
      </c>
      <c r="C6" s="6" t="n">
        <v>192150</v>
      </c>
      <c r="D6" s="11">
        <f>B6-C6</f>
        <v/>
      </c>
    </row>
    <row r="7">
      <c r="A7" s="10" t="inlineStr">
        <is>
          <t>Trade debtors (unpaid invoices)</t>
        </is>
      </c>
      <c r="B7" s="6" t="n">
        <v>116800</v>
      </c>
      <c r="C7" s="6" t="n">
        <v>71290</v>
      </c>
      <c r="D7" s="11">
        <f>B7-C7</f>
        <v/>
      </c>
    </row>
    <row r="8">
      <c r="A8" s="10" t="inlineStr">
        <is>
          <t>Work in progress (unbilled project time)</t>
        </is>
      </c>
      <c r="B8" s="6" t="n">
        <v>99290</v>
      </c>
      <c r="C8" s="6" t="n">
        <v>77900</v>
      </c>
      <c r="D8" s="11">
        <f>B8-C8</f>
        <v/>
      </c>
    </row>
    <row r="9">
      <c r="A9" s="10" t="inlineStr">
        <is>
          <t>Prepayments</t>
        </is>
      </c>
      <c r="B9" s="6" t="n">
        <v>15000</v>
      </c>
      <c r="C9" s="6" t="n">
        <v>15000</v>
      </c>
      <c r="D9" s="11">
        <f>B9-C9</f>
        <v/>
      </c>
    </row>
    <row r="10">
      <c r="A10" s="12" t="inlineStr">
        <is>
          <t>Total current assets</t>
        </is>
      </c>
      <c r="B10" s="13">
        <f>SUM(B6:B9)</f>
        <v/>
      </c>
      <c r="C10" s="13">
        <f>SUM(C6:C9)</f>
        <v/>
      </c>
      <c r="D10" s="14">
        <f>B10-C10</f>
        <v/>
      </c>
    </row>
    <row r="11">
      <c r="A11" s="12" t="inlineStr">
        <is>
          <t>Office equipment</t>
        </is>
      </c>
      <c r="B11" s="13" t="n">
        <v>60200</v>
      </c>
      <c r="C11" s="13" t="n">
        <v>59000</v>
      </c>
      <c r="D11" s="14">
        <f>B11-C11</f>
        <v/>
      </c>
    </row>
    <row r="12">
      <c r="A12" s="12" t="inlineStr">
        <is>
          <t>Total assets</t>
        </is>
      </c>
      <c r="B12" s="13">
        <f>B10+B11</f>
        <v/>
      </c>
      <c r="C12" s="13">
        <f>C10+C11</f>
        <v/>
      </c>
      <c r="D12" s="14">
        <f>B12-C12</f>
        <v/>
      </c>
    </row>
    <row r="13">
      <c r="A13" s="9" t="inlineStr">
        <is>
          <t>Current liabilities</t>
        </is>
      </c>
    </row>
    <row r="14">
      <c r="A14" s="10" t="inlineStr">
        <is>
          <t>Trade creditors (bills due next month)</t>
        </is>
      </c>
      <c r="B14" s="6" t="n">
        <v>8500</v>
      </c>
      <c r="C14" s="6" t="n">
        <v>6900</v>
      </c>
      <c r="D14" s="11">
        <f>B14-C14</f>
        <v/>
      </c>
    </row>
    <row r="15">
      <c r="A15" s="10" t="inlineStr">
        <is>
          <t>Employee leave provisions</t>
        </is>
      </c>
      <c r="B15" s="6" t="n">
        <v>122300</v>
      </c>
      <c r="C15" s="6" t="n">
        <v>121700</v>
      </c>
      <c r="D15" s="11">
        <f>B15-C15</f>
        <v/>
      </c>
    </row>
    <row r="16">
      <c r="A16" s="10" t="inlineStr">
        <is>
          <t>Income tax payable</t>
        </is>
      </c>
      <c r="B16" s="6" t="n">
        <v>56576</v>
      </c>
      <c r="C16" s="6" t="n">
        <v>50398</v>
      </c>
      <c r="D16" s="11">
        <f>B16-C16</f>
        <v/>
      </c>
    </row>
    <row r="17">
      <c r="A17" s="12" t="inlineStr">
        <is>
          <t>Total current liabilities</t>
        </is>
      </c>
      <c r="B17" s="13">
        <f>SUM(B14:B16)</f>
        <v/>
      </c>
      <c r="C17" s="13">
        <f>SUM(C14:C16)</f>
        <v/>
      </c>
      <c r="D17" s="14">
        <f>B17-C17</f>
        <v/>
      </c>
    </row>
    <row r="18">
      <c r="A18" s="12" t="inlineStr">
        <is>
          <t>Equipment finance</t>
        </is>
      </c>
      <c r="B18" s="13" t="n">
        <v>14600</v>
      </c>
      <c r="C18" s="13" t="n">
        <v>16300</v>
      </c>
      <c r="D18" s="14">
        <f>B18-C18</f>
        <v/>
      </c>
    </row>
    <row r="19">
      <c r="A19" s="12" t="inlineStr">
        <is>
          <t>Total liabilities</t>
        </is>
      </c>
      <c r="B19" s="13">
        <f>B17+B18</f>
        <v/>
      </c>
      <c r="C19" s="13">
        <f>C17+C18</f>
        <v/>
      </c>
      <c r="D19" s="14">
        <f>B19-C19</f>
        <v/>
      </c>
    </row>
    <row r="20">
      <c r="A20" s="15" t="inlineStr">
        <is>
          <t>Net assets</t>
        </is>
      </c>
      <c r="B20" s="16">
        <f>B12-B19</f>
        <v/>
      </c>
      <c r="C20" s="16">
        <f>C12-C19</f>
        <v/>
      </c>
      <c r="D20" s="17">
        <f>B20-C20</f>
        <v/>
      </c>
    </row>
    <row r="21">
      <c r="A21" s="9" t="inlineStr">
        <is>
          <t>Equity</t>
        </is>
      </c>
    </row>
    <row r="22">
      <c r="A22" s="10" t="inlineStr">
        <is>
          <t>Share capital</t>
        </is>
      </c>
      <c r="B22" s="6" t="n">
        <v>20000</v>
      </c>
      <c r="C22" s="6" t="n">
        <v>20000</v>
      </c>
      <c r="D22" s="11">
        <f>B22-C22</f>
        <v/>
      </c>
    </row>
    <row r="23">
      <c r="A23" s="10" t="inlineStr">
        <is>
          <t>Retained earnings</t>
        </is>
      </c>
      <c r="B23" s="6" t="n">
        <v>218574</v>
      </c>
      <c r="C23" s="6" t="n">
        <v>200042</v>
      </c>
      <c r="D23" s="11">
        <f>B23-C23</f>
        <v/>
      </c>
    </row>
    <row r="24">
      <c r="A24" s="15" t="inlineStr">
        <is>
          <t>Total equity</t>
        </is>
      </c>
      <c r="B24" s="16">
        <f>SUM(B22:B23)</f>
        <v/>
      </c>
      <c r="C24" s="16">
        <f>SUM(C22:C23)</f>
        <v/>
      </c>
      <c r="D24" s="17">
        <f>B24-C24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Advisory Pty Ltd&amp;R&amp;8 &amp;A</oddHeader>
    <oddFooter>&amp;L&amp;8 services-sample-statements.xlsx&amp;C&amp;8 Data retrieved 2pm, Tue 6 Oct 2026&amp;R&amp;8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Cash flow, September 2026</t>
        </is>
      </c>
    </row>
    <row r="2">
      <c r="A2" s="2" t="inlineStr">
        <is>
          <t>Sample Advisory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9" t="inlineStr">
        <is>
          <t>Operating activities</t>
        </is>
      </c>
    </row>
    <row r="6">
      <c r="A6" s="10" t="inlineStr">
        <is>
          <t>Receipts from customers (invoices paid)</t>
        </is>
      </c>
      <c r="B6" s="6" t="n">
        <v>64950</v>
      </c>
      <c r="C6" s="6" t="n">
        <v>137200</v>
      </c>
      <c r="D6" s="11">
        <f>B6-C6</f>
        <v/>
      </c>
    </row>
    <row r="7">
      <c r="A7" s="10" t="inlineStr">
        <is>
          <t>Payments to contractors and suppliers</t>
        </is>
      </c>
      <c r="B7" s="6" t="n">
        <v>-32800</v>
      </c>
      <c r="C7" s="6" t="n">
        <v>-31300</v>
      </c>
      <c r="D7" s="11">
        <f>B7-C7</f>
        <v/>
      </c>
    </row>
    <row r="8">
      <c r="A8" s="10" t="inlineStr">
        <is>
          <t>Payments to employees</t>
        </is>
      </c>
      <c r="B8" s="6" t="n">
        <v>-69900</v>
      </c>
      <c r="C8" s="6" t="n">
        <v>-69800</v>
      </c>
      <c r="D8" s="11">
        <f>B8-C8</f>
        <v/>
      </c>
    </row>
    <row r="9">
      <c r="A9" s="10" t="inlineStr">
        <is>
          <t>Interest paid</t>
        </is>
      </c>
      <c r="B9" s="6" t="n">
        <v>-240</v>
      </c>
      <c r="C9" s="6" t="n">
        <v>-250</v>
      </c>
      <c r="D9" s="11">
        <f>B9-C9</f>
        <v/>
      </c>
    </row>
    <row r="10">
      <c r="A10" s="10" t="inlineStr">
        <is>
          <t>Income tax paid</t>
        </is>
      </c>
      <c r="B10" s="6" t="n">
        <v>0</v>
      </c>
      <c r="C10" s="6" t="n">
        <v>0</v>
      </c>
      <c r="D10" s="11">
        <f>B10-C10</f>
        <v/>
      </c>
    </row>
    <row r="11">
      <c r="A11" s="12" t="inlineStr">
        <is>
          <t>Net cash from operating activities</t>
        </is>
      </c>
      <c r="B11" s="13">
        <f>SUM(B6:B10)</f>
        <v/>
      </c>
      <c r="C11" s="13">
        <f>SUM(C6:C10)</f>
        <v/>
      </c>
      <c r="D11" s="14">
        <f>B11-C11</f>
        <v/>
      </c>
    </row>
    <row r="12">
      <c r="A12" s="9" t="inlineStr">
        <is>
          <t>Investing activities</t>
        </is>
      </c>
    </row>
    <row r="13">
      <c r="A13" s="10" t="inlineStr">
        <is>
          <t>Purchase of equipment</t>
        </is>
      </c>
      <c r="B13" s="6" t="n">
        <v>-3200</v>
      </c>
      <c r="C13" s="6" t="n">
        <v>0</v>
      </c>
      <c r="D13" s="11">
        <f>B13-C13</f>
        <v/>
      </c>
    </row>
    <row r="14">
      <c r="A14" s="12" t="inlineStr">
        <is>
          <t>Net cash from investing activities</t>
        </is>
      </c>
      <c r="B14" s="13">
        <f>SUM(B13:B13)</f>
        <v/>
      </c>
      <c r="C14" s="13">
        <f>SUM(C13:C13)</f>
        <v/>
      </c>
      <c r="D14" s="14">
        <f>B14-C14</f>
        <v/>
      </c>
    </row>
    <row r="15">
      <c r="A15" s="9" t="inlineStr">
        <is>
          <t>Financing activities</t>
        </is>
      </c>
    </row>
    <row r="16">
      <c r="A16" s="10" t="inlineStr">
        <is>
          <t>Equipment finance repaid</t>
        </is>
      </c>
      <c r="B16" s="6" t="n">
        <v>-1700</v>
      </c>
      <c r="C16" s="6" t="n">
        <v>-1700</v>
      </c>
      <c r="D16" s="11">
        <f>B16-C16</f>
        <v/>
      </c>
    </row>
    <row r="17">
      <c r="A17" s="12" t="inlineStr">
        <is>
          <t>Net cash from financing activities</t>
        </is>
      </c>
      <c r="B17" s="13">
        <f>SUM(B16:B16)</f>
        <v/>
      </c>
      <c r="C17" s="13">
        <f>SUM(C16:C16)</f>
        <v/>
      </c>
      <c r="D17" s="14">
        <f>B17-C17</f>
        <v/>
      </c>
    </row>
    <row r="18">
      <c r="A18" s="12" t="inlineStr">
        <is>
          <t>Net change in cash</t>
        </is>
      </c>
      <c r="B18" s="13">
        <f>B11+B14+B17</f>
        <v/>
      </c>
      <c r="C18" s="13">
        <f>C11+C14+C17</f>
        <v/>
      </c>
      <c r="D18" s="14">
        <f>B18-C18</f>
        <v/>
      </c>
    </row>
    <row r="19">
      <c r="A19" s="12" t="inlineStr">
        <is>
          <t>Cash at start of month</t>
        </is>
      </c>
      <c r="B19" s="13" t="n">
        <v>192150</v>
      </c>
      <c r="C19" s="13" t="n">
        <v>158000</v>
      </c>
      <c r="D19" s="14">
        <f>B19-C19</f>
        <v/>
      </c>
    </row>
    <row r="20">
      <c r="A20" s="15" t="inlineStr">
        <is>
          <t>Cash at end of month</t>
        </is>
      </c>
      <c r="B20" s="16">
        <f>B19+B18</f>
        <v/>
      </c>
      <c r="C20" s="16">
        <f>C19+C18</f>
        <v/>
      </c>
      <c r="D20" s="17">
        <f>B20-C20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Advisory Pty Ltd&amp;R&amp;8 &amp;A</oddHeader>
    <oddFooter>&amp;L&amp;8 services-sample-statements.xlsx&amp;C&amp;8 Data retrieved 2pm, Tue 6 Oct 2026&amp;R&amp;8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Client engagements, September and August 2026</t>
        </is>
      </c>
    </row>
    <row r="2">
      <c r="A2" s="2" t="inlineStr">
        <is>
          <t>Sample Advisory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t="inlineStr">
        <is>
          <t>Consultant cost rate ($ per hour)</t>
        </is>
      </c>
      <c r="B4" s="6" t="n">
        <v>60</v>
      </c>
    </row>
    <row r="5"/>
    <row r="6">
      <c r="A6" s="3" t="inlineStr">
        <is>
          <t>Month</t>
        </is>
      </c>
      <c r="B6" s="4" t="inlineStr">
        <is>
          <t>Engagement</t>
        </is>
      </c>
      <c r="C6" s="4" t="inlineStr">
        <is>
          <t>Type</t>
        </is>
      </c>
      <c r="D6" s="4" t="inlineStr">
        <is>
          <t>Hours</t>
        </is>
      </c>
      <c r="E6" s="4" t="inlineStr">
        <is>
          <t>Revenue</t>
        </is>
      </c>
      <c r="F6" s="4" t="inlineStr">
        <is>
          <t>Billed</t>
        </is>
      </c>
      <c r="G6" s="4" t="inlineStr">
        <is>
          <t>Contractors</t>
        </is>
      </c>
      <c r="H6" s="4" t="inlineStr">
        <is>
          <t>Consultant time cost</t>
        </is>
      </c>
      <c r="I6" s="4" t="inlineStr">
        <is>
          <t>Contribution</t>
        </is>
      </c>
      <c r="J6" s="4" t="inlineStr">
        <is>
          <t>Margin %</t>
        </is>
      </c>
    </row>
    <row r="7">
      <c r="A7" s="18" t="inlineStr">
        <is>
          <t>2026-09</t>
        </is>
      </c>
      <c r="B7" s="18" t="inlineStr">
        <is>
          <t>Agribusiness CFO support</t>
        </is>
      </c>
      <c r="C7" s="18" t="inlineStr">
        <is>
          <t>Retainer</t>
        </is>
      </c>
      <c r="D7" s="19" t="n">
        <v>70</v>
      </c>
      <c r="E7" s="20" t="n">
        <v>12000</v>
      </c>
      <c r="F7" s="20" t="n">
        <v>12000</v>
      </c>
      <c r="G7" s="20" t="n">
        <v>0</v>
      </c>
      <c r="H7" s="20">
        <f>D7*$B$4</f>
        <v/>
      </c>
      <c r="I7" s="20">
        <f>E7-G7-H7</f>
        <v/>
      </c>
      <c r="J7" s="21">
        <f>IF(E7=0,"",I7/E7)</f>
        <v/>
      </c>
    </row>
    <row r="8">
      <c r="A8" s="18" t="inlineStr">
        <is>
          <t>2026-09</t>
        </is>
      </c>
      <c r="B8" s="18" t="inlineStr">
        <is>
          <t>Construction firm finance</t>
        </is>
      </c>
      <c r="C8" s="18" t="inlineStr">
        <is>
          <t>Retainer</t>
        </is>
      </c>
      <c r="D8" s="19" t="n">
        <v>58</v>
      </c>
      <c r="E8" s="20" t="n">
        <v>9500</v>
      </c>
      <c r="F8" s="20" t="n">
        <v>9500</v>
      </c>
      <c r="G8" s="20" t="n">
        <v>0</v>
      </c>
      <c r="H8" s="20">
        <f>D8*$B$4</f>
        <v/>
      </c>
      <c r="I8" s="20">
        <f>E8-G8-H8</f>
        <v/>
      </c>
      <c r="J8" s="21">
        <f>IF(E8=0,"",I8/E8)</f>
        <v/>
      </c>
    </row>
    <row r="9">
      <c r="A9" s="18" t="inlineStr">
        <is>
          <t>2026-09</t>
        </is>
      </c>
      <c r="B9" s="18" t="inlineStr">
        <is>
          <t>Dental group reporting</t>
        </is>
      </c>
      <c r="C9" s="18" t="inlineStr">
        <is>
          <t>Retainer</t>
        </is>
      </c>
      <c r="D9" s="19" t="n">
        <v>44</v>
      </c>
      <c r="E9" s="20" t="n">
        <v>6800</v>
      </c>
      <c r="F9" s="20" t="n">
        <v>6800</v>
      </c>
      <c r="G9" s="20" t="n">
        <v>0</v>
      </c>
      <c r="H9" s="20">
        <f>D9*$B$4</f>
        <v/>
      </c>
      <c r="I9" s="20">
        <f>E9-G9-H9</f>
        <v/>
      </c>
      <c r="J9" s="21">
        <f>IF(E9=0,"",I9/E9)</f>
        <v/>
      </c>
    </row>
    <row r="10">
      <c r="A10" s="18" t="inlineStr">
        <is>
          <t>2026-09</t>
        </is>
      </c>
      <c r="B10" s="18" t="inlineStr">
        <is>
          <t>Excel for managers</t>
        </is>
      </c>
      <c r="C10" s="18" t="inlineStr">
        <is>
          <t>Training</t>
        </is>
      </c>
      <c r="D10" s="19" t="n">
        <v>30</v>
      </c>
      <c r="E10" s="20" t="n">
        <v>8800</v>
      </c>
      <c r="F10" s="20" t="n">
        <v>8800</v>
      </c>
      <c r="G10" s="20" t="n">
        <v>1500</v>
      </c>
      <c r="H10" s="20">
        <f>D10*$B$4</f>
        <v/>
      </c>
      <c r="I10" s="20">
        <f>E10-G10-H10</f>
        <v/>
      </c>
      <c r="J10" s="21">
        <f>IF(E10=0,"",I10/E10)</f>
        <v/>
      </c>
    </row>
    <row r="11">
      <c r="A11" s="18" t="inlineStr">
        <is>
          <t>2026-09</t>
        </is>
      </c>
      <c r="B11" s="18" t="inlineStr">
        <is>
          <t>Health charity board pack</t>
        </is>
      </c>
      <c r="C11" s="18" t="inlineStr">
        <is>
          <t>Project</t>
        </is>
      </c>
      <c r="D11" s="19" t="n">
        <v>64</v>
      </c>
      <c r="E11" s="20" t="n">
        <v>10560</v>
      </c>
      <c r="F11" s="20" t="n">
        <v>10560</v>
      </c>
      <c r="G11" s="20" t="n">
        <v>0</v>
      </c>
      <c r="H11" s="20">
        <f>D11*$B$4</f>
        <v/>
      </c>
      <c r="I11" s="20">
        <f>E11-G11-H11</f>
        <v/>
      </c>
      <c r="J11" s="21">
        <f>IF(E11=0,"",I11/E11)</f>
        <v/>
      </c>
    </row>
    <row r="12">
      <c r="A12" s="18" t="inlineStr">
        <is>
          <t>2026-09</t>
        </is>
      </c>
      <c r="B12" s="18" t="inlineStr">
        <is>
          <t>Hospitality payroll</t>
        </is>
      </c>
      <c r="C12" s="18" t="inlineStr">
        <is>
          <t>Retainer</t>
        </is>
      </c>
      <c r="D12" s="19" t="n">
        <v>36</v>
      </c>
      <c r="E12" s="20" t="n">
        <v>4200</v>
      </c>
      <c r="F12" s="20" t="n">
        <v>4200</v>
      </c>
      <c r="G12" s="20" t="n">
        <v>0</v>
      </c>
      <c r="H12" s="20">
        <f>D12*$B$4</f>
        <v/>
      </c>
      <c r="I12" s="20">
        <f>E12-G12-H12</f>
        <v/>
      </c>
      <c r="J12" s="21">
        <f>IF(E12=0,"",I12/E12)</f>
        <v/>
      </c>
    </row>
    <row r="13">
      <c r="A13" s="18" t="inlineStr">
        <is>
          <t>2026-09</t>
        </is>
      </c>
      <c r="B13" s="18" t="inlineStr">
        <is>
          <t>Logistics systems rollout</t>
        </is>
      </c>
      <c r="C13" s="18" t="inlineStr">
        <is>
          <t>Project</t>
        </is>
      </c>
      <c r="D13" s="19" t="n">
        <v>210</v>
      </c>
      <c r="E13" s="20" t="n">
        <v>36750</v>
      </c>
      <c r="F13" s="20" t="n">
        <v>30000</v>
      </c>
      <c r="G13" s="20" t="n">
        <v>4800</v>
      </c>
      <c r="H13" s="20">
        <f>D13*$B$4</f>
        <v/>
      </c>
      <c r="I13" s="20">
        <f>E13-G13-H13</f>
        <v/>
      </c>
      <c r="J13" s="21">
        <f>IF(E13=0,"",I13/E13)</f>
        <v/>
      </c>
    </row>
    <row r="14">
      <c r="A14" s="18" t="inlineStr">
        <is>
          <t>2026-09</t>
        </is>
      </c>
      <c r="B14" s="18" t="inlineStr">
        <is>
          <t>Manufacturer process mapping</t>
        </is>
      </c>
      <c r="C14" s="18" t="inlineStr">
        <is>
          <t>Project</t>
        </is>
      </c>
      <c r="D14" s="19" t="n">
        <v>120</v>
      </c>
      <c r="E14" s="20" t="n">
        <v>20400</v>
      </c>
      <c r="F14" s="20" t="n">
        <v>24000</v>
      </c>
      <c r="G14" s="20" t="n">
        <v>2200</v>
      </c>
      <c r="H14" s="20">
        <f>D14*$B$4</f>
        <v/>
      </c>
      <c r="I14" s="20">
        <f>E14-G14-H14</f>
        <v/>
      </c>
      <c r="J14" s="21">
        <f>IF(E14=0,"",I14/E14)</f>
        <v/>
      </c>
    </row>
    <row r="15">
      <c r="A15" s="18" t="inlineStr">
        <is>
          <t>2026-09</t>
        </is>
      </c>
      <c r="B15" s="18" t="inlineStr">
        <is>
          <t>Power BI basics</t>
        </is>
      </c>
      <c r="C15" s="18" t="inlineStr">
        <is>
          <t>Training</t>
        </is>
      </c>
      <c r="D15" s="19" t="n">
        <v>14</v>
      </c>
      <c r="E15" s="20" t="n">
        <v>4600</v>
      </c>
      <c r="F15" s="20" t="n">
        <v>4600</v>
      </c>
      <c r="G15" s="20" t="n">
        <v>0</v>
      </c>
      <c r="H15" s="20">
        <f>D15*$B$4</f>
        <v/>
      </c>
      <c r="I15" s="20">
        <f>E15-G15-H15</f>
        <v/>
      </c>
      <c r="J15" s="21">
        <f>IF(E15=0,"",I15/E15)</f>
        <v/>
      </c>
    </row>
    <row r="16">
      <c r="A16" s="18" t="inlineStr">
        <is>
          <t>2026-09</t>
        </is>
      </c>
      <c r="B16" s="18" t="inlineStr">
        <is>
          <t>Retail pricing review</t>
        </is>
      </c>
      <c r="C16" s="18" t="inlineStr">
        <is>
          <t>Project</t>
        </is>
      </c>
      <c r="D16" s="19" t="n">
        <v>96</v>
      </c>
      <c r="E16" s="20" t="n">
        <v>18240</v>
      </c>
      <c r="F16" s="20" t="n">
        <v>0</v>
      </c>
      <c r="G16" s="20" t="n">
        <v>0</v>
      </c>
      <c r="H16" s="20">
        <f>D16*$B$4</f>
        <v/>
      </c>
      <c r="I16" s="20">
        <f>E16-G16-H16</f>
        <v/>
      </c>
      <c r="J16" s="21">
        <f>IF(E16=0,"",I16/E16)</f>
        <v/>
      </c>
    </row>
    <row r="17">
      <c r="A17" s="18" t="inlineStr">
        <is>
          <t>2026-08</t>
        </is>
      </c>
      <c r="B17" s="18" t="inlineStr">
        <is>
          <t>Agribusiness CFO support</t>
        </is>
      </c>
      <c r="C17" s="18" t="inlineStr">
        <is>
          <t>Retainer</t>
        </is>
      </c>
      <c r="D17" s="19" t="n">
        <v>68</v>
      </c>
      <c r="E17" s="20" t="n">
        <v>12000</v>
      </c>
      <c r="F17" s="20" t="n">
        <v>12000</v>
      </c>
      <c r="G17" s="20" t="n">
        <v>0</v>
      </c>
      <c r="H17" s="20">
        <f>D17*$B$4</f>
        <v/>
      </c>
      <c r="I17" s="20">
        <f>E17-G17-H17</f>
        <v/>
      </c>
      <c r="J17" s="21">
        <f>IF(E17=0,"",I17/E17)</f>
        <v/>
      </c>
    </row>
    <row r="18">
      <c r="A18" s="18" t="inlineStr">
        <is>
          <t>2026-08</t>
        </is>
      </c>
      <c r="B18" s="18" t="inlineStr">
        <is>
          <t>Budgeting workshop</t>
        </is>
      </c>
      <c r="C18" s="18" t="inlineStr">
        <is>
          <t>Training</t>
        </is>
      </c>
      <c r="D18" s="19" t="n">
        <v>20</v>
      </c>
      <c r="E18" s="20" t="n">
        <v>6400</v>
      </c>
      <c r="F18" s="20" t="n">
        <v>6400</v>
      </c>
      <c r="G18" s="20" t="n">
        <v>900</v>
      </c>
      <c r="H18" s="20">
        <f>D18*$B$4</f>
        <v/>
      </c>
      <c r="I18" s="20">
        <f>E18-G18-H18</f>
        <v/>
      </c>
      <c r="J18" s="21">
        <f>IF(E18=0,"",I18/E18)</f>
        <v/>
      </c>
    </row>
    <row r="19">
      <c r="A19" s="18" t="inlineStr">
        <is>
          <t>2026-08</t>
        </is>
      </c>
      <c r="B19" s="18" t="inlineStr">
        <is>
          <t>Construction firm finance</t>
        </is>
      </c>
      <c r="C19" s="18" t="inlineStr">
        <is>
          <t>Retainer</t>
        </is>
      </c>
      <c r="D19" s="19" t="n">
        <v>56</v>
      </c>
      <c r="E19" s="20" t="n">
        <v>9500</v>
      </c>
      <c r="F19" s="20" t="n">
        <v>9500</v>
      </c>
      <c r="G19" s="20" t="n">
        <v>0</v>
      </c>
      <c r="H19" s="20">
        <f>D19*$B$4</f>
        <v/>
      </c>
      <c r="I19" s="20">
        <f>E19-G19-H19</f>
        <v/>
      </c>
      <c r="J19" s="21">
        <f>IF(E19=0,"",I19/E19)</f>
        <v/>
      </c>
    </row>
    <row r="20">
      <c r="A20" s="18" t="inlineStr">
        <is>
          <t>2026-08</t>
        </is>
      </c>
      <c r="B20" s="18" t="inlineStr">
        <is>
          <t>Dental group reporting</t>
        </is>
      </c>
      <c r="C20" s="18" t="inlineStr">
        <is>
          <t>Retainer</t>
        </is>
      </c>
      <c r="D20" s="19" t="n">
        <v>42</v>
      </c>
      <c r="E20" s="20" t="n">
        <v>6800</v>
      </c>
      <c r="F20" s="20" t="n">
        <v>6800</v>
      </c>
      <c r="G20" s="20" t="n">
        <v>0</v>
      </c>
      <c r="H20" s="20">
        <f>D20*$B$4</f>
        <v/>
      </c>
      <c r="I20" s="20">
        <f>E20-G20-H20</f>
        <v/>
      </c>
      <c r="J20" s="21">
        <f>IF(E20=0,"",I20/E20)</f>
        <v/>
      </c>
    </row>
    <row r="21">
      <c r="A21" s="18" t="inlineStr">
        <is>
          <t>2026-08</t>
        </is>
      </c>
      <c r="B21" s="18" t="inlineStr">
        <is>
          <t>Distributor cost-to-serve</t>
        </is>
      </c>
      <c r="C21" s="18" t="inlineStr">
        <is>
          <t>Project</t>
        </is>
      </c>
      <c r="D21" s="19" t="n">
        <v>88</v>
      </c>
      <c r="E21" s="20" t="n">
        <v>15840</v>
      </c>
      <c r="F21" s="20" t="n">
        <v>15840</v>
      </c>
      <c r="G21" s="20" t="n">
        <v>0</v>
      </c>
      <c r="H21" s="20">
        <f>D21*$B$4</f>
        <v/>
      </c>
      <c r="I21" s="20">
        <f>E21-G21-H21</f>
        <v/>
      </c>
      <c r="J21" s="21">
        <f>IF(E21=0,"",I21/E21)</f>
        <v/>
      </c>
    </row>
    <row r="22">
      <c r="A22" s="18" t="inlineStr">
        <is>
          <t>2026-08</t>
        </is>
      </c>
      <c r="B22" s="18" t="inlineStr">
        <is>
          <t>Hospitality payroll</t>
        </is>
      </c>
      <c r="C22" s="18" t="inlineStr">
        <is>
          <t>Retainer</t>
        </is>
      </c>
      <c r="D22" s="19" t="n">
        <v>34</v>
      </c>
      <c r="E22" s="20" t="n">
        <v>4200</v>
      </c>
      <c r="F22" s="20" t="n">
        <v>4200</v>
      </c>
      <c r="G22" s="20" t="n">
        <v>0</v>
      </c>
      <c r="H22" s="20">
        <f>D22*$B$4</f>
        <v/>
      </c>
      <c r="I22" s="20">
        <f>E22-G22-H22</f>
        <v/>
      </c>
      <c r="J22" s="21">
        <f>IF(E22=0,"",I22/E22)</f>
        <v/>
      </c>
    </row>
    <row r="23">
      <c r="A23" s="18" t="inlineStr">
        <is>
          <t>2026-08</t>
        </is>
      </c>
      <c r="B23" s="18" t="inlineStr">
        <is>
          <t>Logistics systems rollout</t>
        </is>
      </c>
      <c r="C23" s="18" t="inlineStr">
        <is>
          <t>Project</t>
        </is>
      </c>
      <c r="D23" s="19" t="n">
        <v>180</v>
      </c>
      <c r="E23" s="20" t="n">
        <v>31500</v>
      </c>
      <c r="F23" s="20" t="n">
        <v>0</v>
      </c>
      <c r="G23" s="20" t="n">
        <v>4200</v>
      </c>
      <c r="H23" s="20">
        <f>D23*$B$4</f>
        <v/>
      </c>
      <c r="I23" s="20">
        <f>E23-G23-H23</f>
        <v/>
      </c>
      <c r="J23" s="21">
        <f>IF(E23=0,"",I23/E23)</f>
        <v/>
      </c>
    </row>
    <row r="24">
      <c r="A24" s="18" t="inlineStr">
        <is>
          <t>2026-08</t>
        </is>
      </c>
      <c r="B24" s="18" t="inlineStr">
        <is>
          <t>Manufacturer process mapping</t>
        </is>
      </c>
      <c r="C24" s="18" t="inlineStr">
        <is>
          <t>Project</t>
        </is>
      </c>
      <c r="D24" s="19" t="n">
        <v>100</v>
      </c>
      <c r="E24" s="20" t="n">
        <v>17000</v>
      </c>
      <c r="F24" s="20" t="n">
        <v>0</v>
      </c>
      <c r="G24" s="20" t="n">
        <v>1800</v>
      </c>
      <c r="H24" s="20">
        <f>D24*$B$4</f>
        <v/>
      </c>
      <c r="I24" s="20">
        <f>E24-G24-H24</f>
        <v/>
      </c>
      <c r="J24" s="21">
        <f>IF(E24=0,"",I24/E24)</f>
        <v/>
      </c>
    </row>
    <row r="25">
      <c r="A25" s="18" t="inlineStr">
        <is>
          <t>2026-08</t>
        </is>
      </c>
      <c r="B25" s="18" t="inlineStr">
        <is>
          <t>Retail pricing review</t>
        </is>
      </c>
      <c r="C25" s="18" t="inlineStr">
        <is>
          <t>Project</t>
        </is>
      </c>
      <c r="D25" s="19" t="n">
        <v>60</v>
      </c>
      <c r="E25" s="20" t="n">
        <v>11400</v>
      </c>
      <c r="F25" s="20" t="n">
        <v>0</v>
      </c>
      <c r="G25" s="20" t="n">
        <v>0</v>
      </c>
      <c r="H25" s="20">
        <f>D25*$B$4</f>
        <v/>
      </c>
      <c r="I25" s="20">
        <f>E25-G25-H25</f>
        <v/>
      </c>
      <c r="J25" s="21">
        <f>IF(E25=0,"",I25/E25)</f>
        <v/>
      </c>
    </row>
    <row r="26">
      <c r="A26" s="22" t="inlineStr">
        <is>
          <t>Total</t>
        </is>
      </c>
      <c r="D26" s="23">
        <f>SUM(D7:D25)</f>
        <v/>
      </c>
      <c r="E26" s="24">
        <f>SUM(E7:E25)</f>
        <v/>
      </c>
      <c r="F26" s="24">
        <f>SUM(F7:F25)</f>
        <v/>
      </c>
      <c r="G26" s="24">
        <f>SUM(G7:G25)</f>
        <v/>
      </c>
      <c r="H26" s="24">
        <f>SUM(H7:H25)</f>
        <v/>
      </c>
      <c r="I26" s="24">
        <f>SUM(I7:I25)</f>
        <v/>
      </c>
    </row>
  </sheetData>
  <autoFilter ref="A6:J25"/>
  <printOptions horizontalCentered="1"/>
  <pageMargins left="0.5" right="0.5" top="0.75" bottom="0.75" header="0.5" footer="0.5"/>
  <pageSetup orientation="landscape" paperSize="9" fitToHeight="0" fitToWidth="1"/>
  <headerFooter>
    <oddHeader>&amp;L&amp;8 Sample Advisory Pty Ltd&amp;R&amp;8 &amp;A</oddHeader>
    <oddFooter>&amp;L&amp;8 services-sample-statements.xlsx&amp;C&amp;8 Data retrieved 2pm, Tue 6 Oct 2026&amp;R&amp;8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5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/>
    <row r="5">
      <c r="A5" s="25" t="inlineStr">
        <is>
          <t>Consultant utilisation</t>
        </is>
      </c>
    </row>
    <row r="6">
      <c r="A6" s="8" t="inlineStr">
        <is>
          <t>Billable hours ÷ hours available</t>
        </is>
      </c>
    </row>
    <row r="7">
      <c r="A7" s="3" t="inlineStr"/>
      <c r="B7" s="4" t="inlineStr">
        <is>
          <t>Sep 2026</t>
        </is>
      </c>
      <c r="C7" s="4" t="inlineStr">
        <is>
          <t>Aug 2026</t>
        </is>
      </c>
    </row>
    <row r="8">
      <c r="A8" t="inlineStr">
        <is>
          <t>Billable hours (timesheets)</t>
        </is>
      </c>
      <c r="B8" s="19" t="n">
        <v>742</v>
      </c>
      <c r="C8" s="19" t="n">
        <v>648</v>
      </c>
    </row>
    <row r="9">
      <c r="A9" t="inlineStr">
        <is>
          <t>Consultants</t>
        </is>
      </c>
      <c r="B9" s="20" t="n">
        <v>6</v>
      </c>
      <c r="C9" s="20" t="n">
        <v>6</v>
      </c>
    </row>
    <row r="10">
      <c r="A10" t="inlineStr">
        <is>
          <t>Working days</t>
        </is>
      </c>
      <c r="B10" s="20" t="n">
        <v>22</v>
      </c>
      <c r="C10" s="20" t="n">
        <v>20</v>
      </c>
    </row>
    <row r="11">
      <c r="A11" t="inlineStr">
        <is>
          <t>Hours per day</t>
        </is>
      </c>
      <c r="B11" s="19" t="n">
        <v>7.6</v>
      </c>
      <c r="C11" s="19" t="n">
        <v>7.6</v>
      </c>
    </row>
    <row r="12">
      <c r="A12" t="inlineStr">
        <is>
          <t>Hours available</t>
        </is>
      </c>
      <c r="B12" s="19">
        <f>B9*B10*B11</f>
        <v/>
      </c>
      <c r="C12" s="19">
        <f>C9*C10*C11</f>
        <v/>
      </c>
    </row>
    <row r="13">
      <c r="A13" s="26" t="inlineStr">
        <is>
          <t>Utilisation</t>
        </is>
      </c>
      <c r="B13" s="27">
        <f>B8/B12</f>
        <v/>
      </c>
      <c r="C13" s="27">
        <f>C8/C12</f>
        <v/>
      </c>
    </row>
    <row r="14"/>
    <row r="15"/>
    <row r="16">
      <c r="A16" s="25" t="inlineStr">
        <is>
          <t>Revenue per billable hour</t>
        </is>
      </c>
    </row>
    <row r="17">
      <c r="A17" s="8" t="inlineStr">
        <is>
          <t>Revenue ÷ billable hours</t>
        </is>
      </c>
    </row>
    <row r="18">
      <c r="A18" s="3" t="inlineStr"/>
      <c r="B18" s="4" t="inlineStr">
        <is>
          <t>Sep 2026</t>
        </is>
      </c>
      <c r="C18" s="4" t="inlineStr">
        <is>
          <t>Aug 2026</t>
        </is>
      </c>
    </row>
    <row r="19">
      <c r="A19" t="inlineStr">
        <is>
          <t>Revenue</t>
        </is>
      </c>
      <c r="B19" s="20" t="n">
        <v>131850</v>
      </c>
      <c r="C19" s="20" t="n">
        <v>114640</v>
      </c>
    </row>
    <row r="20">
      <c r="A20" t="inlineStr">
        <is>
          <t>Billable hours</t>
        </is>
      </c>
      <c r="B20" s="19" t="n">
        <v>742</v>
      </c>
      <c r="C20" s="19" t="n">
        <v>648</v>
      </c>
    </row>
    <row r="21">
      <c r="A21" s="26" t="inlineStr">
        <is>
          <t>Revenue per hour</t>
        </is>
      </c>
      <c r="B21" s="28">
        <f>B19/B20</f>
        <v/>
      </c>
      <c r="C21" s="28">
        <f>C19/C20</f>
        <v/>
      </c>
    </row>
    <row r="22">
      <c r="A22" s="2" t="inlineStr">
        <is>
          <t>Retainers and training are fixed fees, so fewer hours on them raises the hourly figure.</t>
        </is>
      </c>
    </row>
    <row r="23"/>
    <row r="24"/>
    <row r="25">
      <c r="A25" s="25" t="inlineStr">
        <is>
          <t>Cash tied up in work</t>
        </is>
      </c>
    </row>
    <row r="26">
      <c r="A26" s="8" t="inlineStr">
        <is>
          <t>Work in progress + unpaid invoices at month end</t>
        </is>
      </c>
    </row>
    <row r="27">
      <c r="A27" s="3" t="inlineStr"/>
      <c r="B27" s="4" t="inlineStr">
        <is>
          <t>Sep 2026</t>
        </is>
      </c>
      <c r="C27" s="4" t="inlineStr">
        <is>
          <t>Aug 2026</t>
        </is>
      </c>
    </row>
    <row r="28">
      <c r="A28" t="inlineStr">
        <is>
          <t>Work in progress (project time not yet billed)</t>
        </is>
      </c>
      <c r="B28" s="20" t="n">
        <v>99290</v>
      </c>
      <c r="C28" s="20" t="n">
        <v>77900</v>
      </c>
    </row>
    <row r="29">
      <c r="A29" t="inlineStr">
        <is>
          <t>Unpaid client invoices</t>
        </is>
      </c>
      <c r="B29" s="20" t="n">
        <v>116800</v>
      </c>
      <c r="C29" s="20" t="n">
        <v>71290</v>
      </c>
    </row>
    <row r="30">
      <c r="A30" s="26" t="inlineStr">
        <is>
          <t>Total tied up</t>
        </is>
      </c>
      <c r="B30" s="28">
        <f>B28+B29</f>
        <v/>
      </c>
      <c r="C30" s="28">
        <f>C28+C29</f>
        <v/>
      </c>
    </row>
    <row r="31">
      <c r="A31" s="2" t="inlineStr">
        <is>
          <t>Milestone billing on the logistics and manufacturer projects landed at the end of September, so it moved from unbilled to unpaid.</t>
        </is>
      </c>
    </row>
    <row r="32"/>
    <row r="33"/>
    <row r="34">
      <c r="A34" s="25" t="inlineStr">
        <is>
          <t>Power BI basics</t>
        </is>
      </c>
    </row>
    <row r="35">
      <c r="A35" s="8" t="inlineStr">
        <is>
          <t>Contribution ÷ revenue for this engagement</t>
        </is>
      </c>
    </row>
    <row r="36">
      <c r="A36" s="3" t="inlineStr"/>
      <c r="B36" s="4" t="inlineStr">
        <is>
          <t>This engagement</t>
        </is>
      </c>
    </row>
    <row r="37">
      <c r="A37" t="inlineStr">
        <is>
          <t>Revenue</t>
        </is>
      </c>
      <c r="B37" s="20" t="n">
        <v>4600</v>
      </c>
    </row>
    <row r="38">
      <c r="A38" t="inlineStr">
        <is>
          <t>Contractors</t>
        </is>
      </c>
      <c r="B38" s="20" t="n">
        <v>0</v>
      </c>
    </row>
    <row r="39">
      <c r="A39" t="inlineStr">
        <is>
          <t>Consultant hours</t>
        </is>
      </c>
      <c r="B39" s="19" t="n">
        <v>14</v>
      </c>
    </row>
    <row r="40">
      <c r="A40" t="inlineStr">
        <is>
          <t>Consultant cost rate ($/hour)</t>
        </is>
      </c>
      <c r="B40" s="20" t="n">
        <v>60</v>
      </c>
    </row>
    <row r="41">
      <c r="A41" t="inlineStr">
        <is>
          <t>Consultant time</t>
        </is>
      </c>
      <c r="B41" s="20">
        <f>-B39*B40</f>
        <v/>
      </c>
    </row>
    <row r="42">
      <c r="A42" t="inlineStr">
        <is>
          <t>Contribution</t>
        </is>
      </c>
      <c r="B42" s="20">
        <f>B37+B38+B41</f>
        <v/>
      </c>
    </row>
    <row r="43">
      <c r="A43" s="26" t="inlineStr">
        <is>
          <t>Margin</t>
        </is>
      </c>
      <c r="B43" s="27">
        <f>B42/B37</f>
        <v/>
      </c>
    </row>
    <row r="44"/>
    <row r="45"/>
    <row r="46">
      <c r="A46" s="25" t="inlineStr">
        <is>
          <t>Retail pricing review</t>
        </is>
      </c>
    </row>
    <row r="47">
      <c r="A47" s="8" t="inlineStr">
        <is>
          <t>Contribution ÷ revenue for this engagement</t>
        </is>
      </c>
    </row>
    <row r="48">
      <c r="A48" s="3" t="inlineStr"/>
      <c r="B48" s="4" t="inlineStr">
        <is>
          <t>This engagement</t>
        </is>
      </c>
    </row>
    <row r="49">
      <c r="A49" t="inlineStr">
        <is>
          <t>Revenue</t>
        </is>
      </c>
      <c r="B49" s="20" t="n">
        <v>18240</v>
      </c>
    </row>
    <row r="50">
      <c r="A50" t="inlineStr">
        <is>
          <t>Contractors</t>
        </is>
      </c>
      <c r="B50" s="20" t="n">
        <v>0</v>
      </c>
    </row>
    <row r="51">
      <c r="A51" t="inlineStr">
        <is>
          <t>Consultant hours</t>
        </is>
      </c>
      <c r="B51" s="19" t="n">
        <v>96</v>
      </c>
    </row>
    <row r="52">
      <c r="A52" t="inlineStr">
        <is>
          <t>Consultant cost rate ($/hour)</t>
        </is>
      </c>
      <c r="B52" s="20" t="n">
        <v>60</v>
      </c>
    </row>
    <row r="53">
      <c r="A53" t="inlineStr">
        <is>
          <t>Consultant time</t>
        </is>
      </c>
      <c r="B53" s="20">
        <f>-B51*B52</f>
        <v/>
      </c>
    </row>
    <row r="54">
      <c r="A54" t="inlineStr">
        <is>
          <t>Contribution</t>
        </is>
      </c>
      <c r="B54" s="20">
        <f>B49+B50+B53</f>
        <v/>
      </c>
    </row>
    <row r="55">
      <c r="A55" s="26" t="inlineStr">
        <is>
          <t>Margin</t>
        </is>
      </c>
      <c r="B55" s="27">
        <f>B54/B49</f>
        <v/>
      </c>
    </row>
    <row r="56"/>
    <row r="57"/>
    <row r="58">
      <c r="A58" s="25" t="inlineStr">
        <is>
          <t>Agribusiness CFO support</t>
        </is>
      </c>
    </row>
    <row r="59">
      <c r="A59" s="8" t="inlineStr">
        <is>
          <t>Contribution ÷ revenue for this engagement</t>
        </is>
      </c>
    </row>
    <row r="60">
      <c r="A60" s="3" t="inlineStr"/>
      <c r="B60" s="4" t="inlineStr">
        <is>
          <t>This engagement</t>
        </is>
      </c>
    </row>
    <row r="61">
      <c r="A61" t="inlineStr">
        <is>
          <t>Revenue</t>
        </is>
      </c>
      <c r="B61" s="20" t="n">
        <v>12000</v>
      </c>
    </row>
    <row r="62">
      <c r="A62" t="inlineStr">
        <is>
          <t>Contractors</t>
        </is>
      </c>
      <c r="B62" s="20" t="n">
        <v>0</v>
      </c>
    </row>
    <row r="63">
      <c r="A63" t="inlineStr">
        <is>
          <t>Consultant hours</t>
        </is>
      </c>
      <c r="B63" s="19" t="n">
        <v>70</v>
      </c>
    </row>
    <row r="64">
      <c r="A64" t="inlineStr">
        <is>
          <t>Consultant cost rate ($/hour)</t>
        </is>
      </c>
      <c r="B64" s="20" t="n">
        <v>60</v>
      </c>
    </row>
    <row r="65">
      <c r="A65" t="inlineStr">
        <is>
          <t>Consultant time</t>
        </is>
      </c>
      <c r="B65" s="20">
        <f>-B63*B64</f>
        <v/>
      </c>
    </row>
    <row r="66">
      <c r="A66" t="inlineStr">
        <is>
          <t>Contribution</t>
        </is>
      </c>
      <c r="B66" s="20">
        <f>B61+B62+B65</f>
        <v/>
      </c>
    </row>
    <row r="67">
      <c r="A67" s="26" t="inlineStr">
        <is>
          <t>Margin</t>
        </is>
      </c>
      <c r="B67" s="27">
        <f>B66/B61</f>
        <v/>
      </c>
    </row>
    <row r="68"/>
    <row r="69"/>
    <row r="70">
      <c r="A70" s="25" t="inlineStr">
        <is>
          <t>Health charity board pack</t>
        </is>
      </c>
    </row>
    <row r="71">
      <c r="A71" s="8" t="inlineStr">
        <is>
          <t>Contribution ÷ revenue for this engagement</t>
        </is>
      </c>
    </row>
    <row r="72">
      <c r="A72" s="3" t="inlineStr"/>
      <c r="B72" s="4" t="inlineStr">
        <is>
          <t>This engagement</t>
        </is>
      </c>
    </row>
    <row r="73">
      <c r="A73" t="inlineStr">
        <is>
          <t>Revenue</t>
        </is>
      </c>
      <c r="B73" s="20" t="n">
        <v>10560</v>
      </c>
    </row>
    <row r="74">
      <c r="A74" t="inlineStr">
        <is>
          <t>Contractors</t>
        </is>
      </c>
      <c r="B74" s="20" t="n">
        <v>0</v>
      </c>
    </row>
    <row r="75">
      <c r="A75" t="inlineStr">
        <is>
          <t>Consultant hours</t>
        </is>
      </c>
      <c r="B75" s="19" t="n">
        <v>64</v>
      </c>
    </row>
    <row r="76">
      <c r="A76" t="inlineStr">
        <is>
          <t>Consultant cost rate ($/hour)</t>
        </is>
      </c>
      <c r="B76" s="20" t="n">
        <v>60</v>
      </c>
    </row>
    <row r="77">
      <c r="A77" t="inlineStr">
        <is>
          <t>Consultant time</t>
        </is>
      </c>
      <c r="B77" s="20">
        <f>-B75*B76</f>
        <v/>
      </c>
    </row>
    <row r="78">
      <c r="A78" t="inlineStr">
        <is>
          <t>Contribution</t>
        </is>
      </c>
      <c r="B78" s="20">
        <f>B73+B74+B77</f>
        <v/>
      </c>
    </row>
    <row r="79">
      <c r="A79" s="26" t="inlineStr">
        <is>
          <t>Margin</t>
        </is>
      </c>
      <c r="B79" s="27">
        <f>B78/B73</f>
        <v/>
      </c>
    </row>
    <row r="80"/>
    <row r="81"/>
    <row r="82">
      <c r="A82" s="25" t="inlineStr">
        <is>
          <t>Construction firm finance</t>
        </is>
      </c>
    </row>
    <row r="83">
      <c r="A83" s="8" t="inlineStr">
        <is>
          <t>Contribution ÷ revenue for this engagement</t>
        </is>
      </c>
    </row>
    <row r="84">
      <c r="A84" s="3" t="inlineStr"/>
      <c r="B84" s="4" t="inlineStr">
        <is>
          <t>This engagement</t>
        </is>
      </c>
    </row>
    <row r="85">
      <c r="A85" t="inlineStr">
        <is>
          <t>Revenue</t>
        </is>
      </c>
      <c r="B85" s="20" t="n">
        <v>9500</v>
      </c>
    </row>
    <row r="86">
      <c r="A86" t="inlineStr">
        <is>
          <t>Contractors</t>
        </is>
      </c>
      <c r="B86" s="20" t="n">
        <v>0</v>
      </c>
    </row>
    <row r="87">
      <c r="A87" t="inlineStr">
        <is>
          <t>Consultant hours</t>
        </is>
      </c>
      <c r="B87" s="19" t="n">
        <v>58</v>
      </c>
    </row>
    <row r="88">
      <c r="A88" t="inlineStr">
        <is>
          <t>Consultant cost rate ($/hour)</t>
        </is>
      </c>
      <c r="B88" s="20" t="n">
        <v>60</v>
      </c>
    </row>
    <row r="89">
      <c r="A89" t="inlineStr">
        <is>
          <t>Consultant time</t>
        </is>
      </c>
      <c r="B89" s="20">
        <f>-B87*B88</f>
        <v/>
      </c>
    </row>
    <row r="90">
      <c r="A90" t="inlineStr">
        <is>
          <t>Contribution</t>
        </is>
      </c>
      <c r="B90" s="20">
        <f>B85+B86+B89</f>
        <v/>
      </c>
    </row>
    <row r="91">
      <c r="A91" s="26" t="inlineStr">
        <is>
          <t>Margin</t>
        </is>
      </c>
      <c r="B91" s="27">
        <f>B90/B85</f>
        <v/>
      </c>
    </row>
    <row r="92"/>
    <row r="93"/>
    <row r="94">
      <c r="A94" s="25" t="inlineStr">
        <is>
          <t>Excel for managers</t>
        </is>
      </c>
    </row>
    <row r="95">
      <c r="A95" s="8" t="inlineStr">
        <is>
          <t>Contribution ÷ revenue for this engagement</t>
        </is>
      </c>
    </row>
    <row r="96">
      <c r="A96" s="3" t="inlineStr"/>
      <c r="B96" s="4" t="inlineStr">
        <is>
          <t>This engagement</t>
        </is>
      </c>
    </row>
    <row r="97">
      <c r="A97" t="inlineStr">
        <is>
          <t>Revenue</t>
        </is>
      </c>
      <c r="B97" s="20" t="n">
        <v>8800</v>
      </c>
    </row>
    <row r="98">
      <c r="A98" t="inlineStr">
        <is>
          <t>Contractors</t>
        </is>
      </c>
      <c r="B98" s="20" t="n">
        <v>-1500</v>
      </c>
    </row>
    <row r="99">
      <c r="A99" t="inlineStr">
        <is>
          <t>Consultant hours</t>
        </is>
      </c>
      <c r="B99" s="19" t="n">
        <v>30</v>
      </c>
    </row>
    <row r="100">
      <c r="A100" t="inlineStr">
        <is>
          <t>Consultant cost rate ($/hour)</t>
        </is>
      </c>
      <c r="B100" s="20" t="n">
        <v>60</v>
      </c>
    </row>
    <row r="101">
      <c r="A101" t="inlineStr">
        <is>
          <t>Consultant time</t>
        </is>
      </c>
      <c r="B101" s="20">
        <f>-B99*B100</f>
        <v/>
      </c>
    </row>
    <row r="102">
      <c r="A102" t="inlineStr">
        <is>
          <t>Contribution</t>
        </is>
      </c>
      <c r="B102" s="20">
        <f>B97+B98+B101</f>
        <v/>
      </c>
    </row>
    <row r="103">
      <c r="A103" s="26" t="inlineStr">
        <is>
          <t>Margin</t>
        </is>
      </c>
      <c r="B103" s="27">
        <f>B102/B97</f>
        <v/>
      </c>
    </row>
    <row r="104"/>
    <row r="105"/>
    <row r="106">
      <c r="A106" s="25" t="inlineStr">
        <is>
          <t>Dental group reporting</t>
        </is>
      </c>
    </row>
    <row r="107">
      <c r="A107" s="8" t="inlineStr">
        <is>
          <t>Contribution ÷ revenue for this engagement</t>
        </is>
      </c>
    </row>
    <row r="108">
      <c r="A108" s="3" t="inlineStr"/>
      <c r="B108" s="4" t="inlineStr">
        <is>
          <t>This engagement</t>
        </is>
      </c>
    </row>
    <row r="109">
      <c r="A109" t="inlineStr">
        <is>
          <t>Revenue</t>
        </is>
      </c>
      <c r="B109" s="20" t="n">
        <v>6800</v>
      </c>
    </row>
    <row r="110">
      <c r="A110" t="inlineStr">
        <is>
          <t>Contractors</t>
        </is>
      </c>
      <c r="B110" s="20" t="n">
        <v>0</v>
      </c>
    </row>
    <row r="111">
      <c r="A111" t="inlineStr">
        <is>
          <t>Consultant hours</t>
        </is>
      </c>
      <c r="B111" s="19" t="n">
        <v>44</v>
      </c>
    </row>
    <row r="112">
      <c r="A112" t="inlineStr">
        <is>
          <t>Consultant cost rate ($/hour)</t>
        </is>
      </c>
      <c r="B112" s="20" t="n">
        <v>60</v>
      </c>
    </row>
    <row r="113">
      <c r="A113" t="inlineStr">
        <is>
          <t>Consultant time</t>
        </is>
      </c>
      <c r="B113" s="20">
        <f>-B111*B112</f>
        <v/>
      </c>
    </row>
    <row r="114">
      <c r="A114" t="inlineStr">
        <is>
          <t>Contribution</t>
        </is>
      </c>
      <c r="B114" s="20">
        <f>B109+B110+B113</f>
        <v/>
      </c>
    </row>
    <row r="115">
      <c r="A115" s="26" t="inlineStr">
        <is>
          <t>Margin</t>
        </is>
      </c>
      <c r="B115" s="27">
        <f>B114/B109</f>
        <v/>
      </c>
    </row>
    <row r="116"/>
    <row r="117"/>
    <row r="118">
      <c r="A118" s="25" t="inlineStr">
        <is>
          <t>Manufacturer process mapping</t>
        </is>
      </c>
    </row>
    <row r="119">
      <c r="A119" s="8" t="inlineStr">
        <is>
          <t>Contribution ÷ revenue for this engagement</t>
        </is>
      </c>
    </row>
    <row r="120">
      <c r="A120" s="3" t="inlineStr"/>
      <c r="B120" s="4" t="inlineStr">
        <is>
          <t>This engagement</t>
        </is>
      </c>
    </row>
    <row r="121">
      <c r="A121" t="inlineStr">
        <is>
          <t>Revenue</t>
        </is>
      </c>
      <c r="B121" s="20" t="n">
        <v>20400</v>
      </c>
    </row>
    <row r="122">
      <c r="A122" t="inlineStr">
        <is>
          <t>Contractors</t>
        </is>
      </c>
      <c r="B122" s="20" t="n">
        <v>-2200</v>
      </c>
    </row>
    <row r="123">
      <c r="A123" t="inlineStr">
        <is>
          <t>Consultant hours</t>
        </is>
      </c>
      <c r="B123" s="19" t="n">
        <v>120</v>
      </c>
    </row>
    <row r="124">
      <c r="A124" t="inlineStr">
        <is>
          <t>Consultant cost rate ($/hour)</t>
        </is>
      </c>
      <c r="B124" s="20" t="n">
        <v>60</v>
      </c>
    </row>
    <row r="125">
      <c r="A125" t="inlineStr">
        <is>
          <t>Consultant time</t>
        </is>
      </c>
      <c r="B125" s="20">
        <f>-B123*B124</f>
        <v/>
      </c>
    </row>
    <row r="126">
      <c r="A126" t="inlineStr">
        <is>
          <t>Contribution</t>
        </is>
      </c>
      <c r="B126" s="20">
        <f>B121+B122+B125</f>
        <v/>
      </c>
    </row>
    <row r="127">
      <c r="A127" s="26" t="inlineStr">
        <is>
          <t>Margin</t>
        </is>
      </c>
      <c r="B127" s="27">
        <f>B126/B121</f>
        <v/>
      </c>
    </row>
    <row r="128"/>
    <row r="129"/>
    <row r="130">
      <c r="A130" s="25" t="inlineStr">
        <is>
          <t>Logistics systems rollout</t>
        </is>
      </c>
    </row>
    <row r="131">
      <c r="A131" s="8" t="inlineStr">
        <is>
          <t>Contribution ÷ revenue for this engagement</t>
        </is>
      </c>
    </row>
    <row r="132">
      <c r="A132" s="3" t="inlineStr"/>
      <c r="B132" s="4" t="inlineStr">
        <is>
          <t>This engagement</t>
        </is>
      </c>
    </row>
    <row r="133">
      <c r="A133" t="inlineStr">
        <is>
          <t>Revenue</t>
        </is>
      </c>
      <c r="B133" s="20" t="n">
        <v>36750</v>
      </c>
    </row>
    <row r="134">
      <c r="A134" t="inlineStr">
        <is>
          <t>Contractors</t>
        </is>
      </c>
      <c r="B134" s="20" t="n">
        <v>-4800</v>
      </c>
    </row>
    <row r="135">
      <c r="A135" t="inlineStr">
        <is>
          <t>Consultant hours</t>
        </is>
      </c>
      <c r="B135" s="19" t="n">
        <v>210</v>
      </c>
    </row>
    <row r="136">
      <c r="A136" t="inlineStr">
        <is>
          <t>Consultant cost rate ($/hour)</t>
        </is>
      </c>
      <c r="B136" s="20" t="n">
        <v>60</v>
      </c>
    </row>
    <row r="137">
      <c r="A137" t="inlineStr">
        <is>
          <t>Consultant time</t>
        </is>
      </c>
      <c r="B137" s="20">
        <f>-B135*B136</f>
        <v/>
      </c>
    </row>
    <row r="138">
      <c r="A138" t="inlineStr">
        <is>
          <t>Contribution</t>
        </is>
      </c>
      <c r="B138" s="20">
        <f>B133+B134+B137</f>
        <v/>
      </c>
    </row>
    <row r="139">
      <c r="A139" s="26" t="inlineStr">
        <is>
          <t>Margin</t>
        </is>
      </c>
      <c r="B139" s="27">
        <f>B138/B133</f>
        <v/>
      </c>
    </row>
    <row r="140"/>
    <row r="141"/>
    <row r="142">
      <c r="A142" s="25" t="inlineStr">
        <is>
          <t>Hospitality payroll</t>
        </is>
      </c>
    </row>
    <row r="143">
      <c r="A143" s="8" t="inlineStr">
        <is>
          <t>Contribution ÷ revenue for this engagement</t>
        </is>
      </c>
    </row>
    <row r="144">
      <c r="A144" s="3" t="inlineStr"/>
      <c r="B144" s="4" t="inlineStr">
        <is>
          <t>This engagement</t>
        </is>
      </c>
    </row>
    <row r="145">
      <c r="A145" t="inlineStr">
        <is>
          <t>Revenue</t>
        </is>
      </c>
      <c r="B145" s="20" t="n">
        <v>4200</v>
      </c>
    </row>
    <row r="146">
      <c r="A146" t="inlineStr">
        <is>
          <t>Contractors</t>
        </is>
      </c>
      <c r="B146" s="20" t="n">
        <v>0</v>
      </c>
    </row>
    <row r="147">
      <c r="A147" t="inlineStr">
        <is>
          <t>Consultant hours</t>
        </is>
      </c>
      <c r="B147" s="19" t="n">
        <v>36</v>
      </c>
    </row>
    <row r="148">
      <c r="A148" t="inlineStr">
        <is>
          <t>Consultant cost rate ($/hour)</t>
        </is>
      </c>
      <c r="B148" s="20" t="n">
        <v>60</v>
      </c>
    </row>
    <row r="149">
      <c r="A149" t="inlineStr">
        <is>
          <t>Consultant time</t>
        </is>
      </c>
      <c r="B149" s="20">
        <f>-B147*B148</f>
        <v/>
      </c>
    </row>
    <row r="150">
      <c r="A150" t="inlineStr">
        <is>
          <t>Contribution</t>
        </is>
      </c>
      <c r="B150" s="20">
        <f>B145+B146+B149</f>
        <v/>
      </c>
    </row>
    <row r="151">
      <c r="A151" s="26" t="inlineStr">
        <is>
          <t>Margin</t>
        </is>
      </c>
      <c r="B151" s="27">
        <f>B150/B145</f>
        <v/>
      </c>
    </row>
    <row r="152"/>
    <row r="153"/>
    <row r="154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Advisory Pty Ltd&amp;R&amp;8 &amp;A</oddHeader>
    <oddFooter>&amp;L&amp;8 services-sample-statements.xlsx&amp;C&amp;8 Data retrieved 2pm, Tue 6 Oct 2026&amp;R&amp;8 Page &amp;P of &amp;N</oddFooter>
    <evenHeader/>
    <evenFooter/>
    <firstHeader/>
    <firstFooter/>
  </headerFooter>
  <rowBreaks count="6" manualBreakCount="6">
    <brk id="24" min="0" max="16383" man="1"/>
    <brk id="45" min="0" max="16383" man="1"/>
    <brk id="69" min="0" max="16383" man="1"/>
    <brk id="93" min="0" max="16383" man="1"/>
    <brk id="117" min="0" max="16383" man="1"/>
    <brk id="141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4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Assumptions</t>
        </is>
      </c>
    </row>
    <row r="2">
      <c r="A2" s="2" t="inlineStr">
        <is>
          <t>Sample Advisory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/>
    <row r="5">
      <c r="A5" s="9" t="inlineStr">
        <is>
          <t>The business</t>
        </is>
      </c>
    </row>
    <row r="6">
      <c r="A6" s="29" t="inlineStr">
        <is>
          <t>What it is</t>
        </is>
      </c>
      <c r="B6" s="30" t="inlineStr">
        <is>
          <t>A Brisbane finance and operations consultancy: projects billed on milestones, monthly retainers and training. 6 consultants, 3 management and admin staff.</t>
        </is>
      </c>
    </row>
    <row r="7">
      <c r="A7" s="29" t="inlineStr">
        <is>
          <t>Reporting month</t>
        </is>
      </c>
      <c r="B7" s="30" t="inlineStr">
        <is>
          <t>September 2026, compared with August 2026</t>
        </is>
      </c>
    </row>
    <row r="8">
      <c r="A8" s="29" t="inlineStr">
        <is>
          <t>Financial year</t>
        </is>
      </c>
      <c r="B8" s="30" t="inlineStr">
        <is>
          <t>FY2027: 1 July 2026 to 30 June 2027</t>
        </is>
      </c>
    </row>
    <row r="9"/>
    <row r="10">
      <c r="A10" s="9" t="inlineStr">
        <is>
          <t>Engagements (September)</t>
        </is>
      </c>
    </row>
    <row r="11">
      <c r="A11" s="29" t="inlineStr">
        <is>
          <t>Projects</t>
        </is>
      </c>
      <c r="B11" s="30" t="inlineStr">
        <is>
          <t>hours worked at each project's rate; billed on milestones (unbilled time = work in progress)</t>
        </is>
      </c>
    </row>
    <row r="12">
      <c r="A12" s="29" t="inlineStr">
        <is>
          <t>Retainers</t>
        </is>
      </c>
      <c r="B12" s="30" t="inlineStr">
        <is>
          <t>fixed monthly fee, billed monthly</t>
        </is>
      </c>
    </row>
    <row r="13">
      <c r="A13" s="29" t="inlineStr">
        <is>
          <t>Training</t>
        </is>
      </c>
      <c r="B13" s="30" t="inlineStr">
        <is>
          <t>fixed fee, billed on delivery</t>
        </is>
      </c>
    </row>
    <row r="14">
      <c r="A14" s="29" t="inlineStr">
        <is>
          <t>Engagements in September</t>
        </is>
      </c>
      <c r="B14" s="30" t="inlineStr">
        <is>
          <t>10 (every one is in the Excel download and CSV)</t>
        </is>
      </c>
    </row>
    <row r="15"/>
    <row r="16">
      <c r="A16" s="9" t="inlineStr">
        <is>
          <t>Costs</t>
        </is>
      </c>
    </row>
    <row r="17">
      <c r="A17" s="29" t="inlineStr">
        <is>
          <t>Consultants</t>
        </is>
      </c>
      <c r="B17" s="30" t="inlineStr">
        <is>
          <t>6 on salary: $46,500 a month incl. super</t>
        </is>
      </c>
    </row>
    <row r="18">
      <c r="A18" s="29" t="inlineStr">
        <is>
          <t>Engagement costing rate</t>
        </is>
      </c>
      <c r="B18" s="30" t="inlineStr">
        <is>
          <t>$60/hour for consultant time</t>
        </is>
      </c>
    </row>
    <row r="19">
      <c r="A19" s="29" t="inlineStr">
        <is>
          <t>Working days</t>
        </is>
      </c>
      <c r="B19" s="30" t="inlineStr">
        <is>
          <t>20 in August (Ekka show holiday), 22 in September; 7.6 hours a day</t>
        </is>
      </c>
    </row>
    <row r="20">
      <c r="A20" s="29" t="inlineStr">
        <is>
          <t>Income tax</t>
        </is>
      </c>
      <c r="B20" s="30" t="inlineStr">
        <is>
          <t>25% of profit, provided monthly</t>
        </is>
      </c>
    </row>
    <row r="21"/>
    <row r="22">
      <c r="A22" s="9" t="inlineStr">
        <is>
          <t>Cash and balance sheet</t>
        </is>
      </c>
    </row>
    <row r="23">
      <c r="A23" s="29" t="inlineStr">
        <is>
          <t>Client payments</t>
        </is>
      </c>
      <c r="B23" s="30" t="inlineStr">
        <is>
          <t>each invoice is paid on its own date; unpaid invoices at month end = debtors</t>
        </is>
      </c>
    </row>
    <row r="24">
      <c r="A24" s="29" t="inlineStr">
        <is>
          <t>Contractors</t>
        </is>
      </c>
      <c r="B24" s="30" t="inlineStr">
        <is>
          <t>paid the following month</t>
        </is>
      </c>
    </row>
    <row r="25">
      <c r="A25" s="29" t="inlineStr">
        <is>
          <t>GST</t>
        </is>
      </c>
      <c r="B25" s="30" t="inlineStr">
        <is>
          <t>excluded throughout, for simplicity</t>
        </is>
      </c>
    </row>
    <row r="26"/>
    <row r="27">
      <c r="A27" s="9" t="inlineStr">
        <is>
          <t>Checks (all passed)</t>
        </is>
      </c>
    </row>
    <row r="28">
      <c r="A28" t="inlineStr">
        <is>
          <t>✓ Every subtotal and total adds up</t>
        </is>
      </c>
    </row>
    <row r="29">
      <c r="A29" t="inlineStr">
        <is>
          <t>✓ Balance sheet balances: assets = liabilities + equity</t>
        </is>
      </c>
    </row>
    <row r="30">
      <c r="A30" t="inlineStr">
        <is>
          <t>✓ Cash flow ends at the cash in the bank</t>
        </is>
      </c>
    </row>
    <row r="31">
      <c r="A31" t="inlineStr">
        <is>
          <t>✓ Profit ties to the movement in retained earnings</t>
        </is>
      </c>
    </row>
    <row r="32">
      <c r="A32" t="inlineStr">
        <is>
          <t>✓ Every engagement's revenue adds up to the P&amp;L</t>
        </is>
      </c>
    </row>
    <row r="33">
      <c r="A33" t="inlineStr">
        <is>
          <t>✓ Work in progress equals unbilled project time; debtors equal unpaid invoices</t>
        </is>
      </c>
    </row>
    <row r="35">
      <c r="A35" s="9" t="inlineStr">
        <is>
          <t>Print check (done before this file was saved)</t>
        </is>
      </c>
    </row>
    <row r="36">
      <c r="A36" t="inlineStr">
        <is>
          <t>✓ The fourth sheet: 1 page, 100% scale, no block split</t>
        </is>
      </c>
    </row>
    <row r="37">
      <c r="A37" t="inlineStr">
        <is>
          <t>✓ Profit and loss: 1 page, 100% scale, no block split</t>
        </is>
      </c>
    </row>
    <row r="38">
      <c r="A38" t="inlineStr">
        <is>
          <t>✓ Balance sheet: 1 page, 100% scale, no block split</t>
        </is>
      </c>
    </row>
    <row r="39">
      <c r="A39" t="inlineStr">
        <is>
          <t>✓ Cash flow: 1 page, 100% scale, no block split</t>
        </is>
      </c>
    </row>
    <row r="40">
      <c r="A40" t="inlineStr">
        <is>
          <t>✓ Engagements: 1 page, 92% scale, no block split</t>
        </is>
      </c>
    </row>
    <row r="41">
      <c r="A41" t="inlineStr">
        <is>
          <t>✓ Workings: 7 pages, 100% scale, no block split</t>
        </is>
      </c>
    </row>
    <row r="42">
      <c r="A42" t="inlineStr">
        <is>
          <t>✓ Assumptions: 2 pages, 100% scale, no block split</t>
        </is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Advisory Pty Ltd&amp;R&amp;8 &amp;A</oddHeader>
    <oddFooter>&amp;L&amp;8 services-sample-statements.xlsx&amp;C&amp;8 Data retrieved 2pm, Tue 6 Oct 2026&amp;R&amp;8 Page &amp;P of &amp;N</oddFooter>
    <evenHeader/>
    <evenFooter/>
    <firstHeader/>
    <firstFooter/>
  </headerFooter>
  <rowBreaks count="1" manualBreakCount="1">
    <brk id="2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2026-10-06T02:54:16Z</dcterms:created>
  <dcterms:modified xmlns:dcterms="http://purl.org/dc/terms/" xmlns:xsi="http://www.w3.org/2001/XMLSchema-instance" xsi:type="dcterms:W3CDTF">2026-10-06T02:54:16Z</dcterms:modified>
</cp:coreProperties>
</file>