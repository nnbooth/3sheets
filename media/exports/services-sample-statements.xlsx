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Workings" sheetId="5" state="visible" r:id="rId5"/>
    <sheet xmlns:r="http://schemas.openxmlformats.org/officeDocument/2006/relationships" name="Engagements" sheetId="6" state="visible" r:id="rId6"/>
    <sheet xmlns:r="http://schemas.openxmlformats.org/officeDocument/2006/relationships" name="Assumptions" sheetId="7" state="visible" r:id="rId7"/>
  </sheets>
  <definedNames>
    <definedName name="_xlnm._FilterDatabase" localSheetId="5" hidden="1">'Engagements'!$A$4:$J$23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;(#,##0);&quot;-&quot;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3" t="inlineStr">
        <is>
          <t>Consultant utilisation, September</t>
        </is>
      </c>
      <c r="B4" s="4" t="inlineStr">
        <is>
          <t>74%</t>
        </is>
      </c>
      <c r="C4" s="5" t="inlineStr">
        <is>
          <t>▲ from 71% in Aug</t>
        </is>
      </c>
    </row>
    <row r="5">
      <c r="A5" s="3" t="inlineStr">
        <is>
          <t>Revenue per billable hour</t>
        </is>
      </c>
      <c r="B5" s="6" t="inlineStr">
        <is>
          <t>$178</t>
        </is>
      </c>
      <c r="C5" s="5" t="inlineStr">
        <is>
          <t>▲ from $177 in Aug</t>
        </is>
      </c>
    </row>
    <row r="6">
      <c r="A6" s="3" t="inlineStr">
        <is>
          <t>Unbilled work + unpaid invoices</t>
        </is>
      </c>
      <c r="B6" s="6" t="inlineStr">
        <is>
          <t>$216,090</t>
        </is>
      </c>
      <c r="C6" s="5" t="inlineStr">
        <is>
          <t>▲ from $149,190 in Aug</t>
        </is>
      </c>
    </row>
    <row r="8">
      <c r="A8" s="7" t="inlineStr">
        <is>
          <t>Margin by engagement, September (%)</t>
        </is>
      </c>
    </row>
    <row r="9">
      <c r="A9" t="inlineStr">
        <is>
          <t>Logistics systems rollout</t>
        </is>
      </c>
      <c r="B9" s="8" t="n">
        <v>52.7</v>
      </c>
    </row>
    <row r="10">
      <c r="A10" t="inlineStr">
        <is>
          <t>Retail pricing review</t>
        </is>
      </c>
      <c r="B10" s="8" t="n">
        <v>68.40000000000001</v>
      </c>
    </row>
    <row r="11">
      <c r="A11" t="inlineStr">
        <is>
          <t>Health charity board pack</t>
        </is>
      </c>
      <c r="B11" s="8" t="n">
        <v>63.6</v>
      </c>
    </row>
    <row r="12">
      <c r="A12" t="inlineStr">
        <is>
          <t>Manufacturer process mapping</t>
        </is>
      </c>
      <c r="B12" s="8" t="n">
        <v>53.9</v>
      </c>
    </row>
    <row r="13">
      <c r="A13" t="inlineStr">
        <is>
          <t>Construction firm finance</t>
        </is>
      </c>
      <c r="B13" s="8" t="n">
        <v>63.4</v>
      </c>
    </row>
    <row r="14">
      <c r="A14" t="inlineStr">
        <is>
          <t>Dental group reporting</t>
        </is>
      </c>
      <c r="B14" s="8" t="n">
        <v>61.2</v>
      </c>
    </row>
    <row r="15">
      <c r="A15" t="inlineStr">
        <is>
          <t>Agribusiness CFO support</t>
        </is>
      </c>
      <c r="B15" s="8" t="n">
        <v>65</v>
      </c>
    </row>
    <row r="16">
      <c r="A16" t="inlineStr">
        <is>
          <t>Hospitality payroll</t>
        </is>
      </c>
      <c r="B16" s="8" t="n">
        <v>48.6</v>
      </c>
    </row>
    <row r="17">
      <c r="A17" t="inlineStr">
        <is>
          <t>Excel for managers</t>
        </is>
      </c>
      <c r="B17" s="8" t="n">
        <v>62.5</v>
      </c>
    </row>
    <row r="18">
      <c r="A18" t="inlineStr">
        <is>
          <t>Power BI basics</t>
        </is>
      </c>
      <c r="B18" s="8" t="n">
        <v>81.7</v>
      </c>
    </row>
    <row r="19">
      <c r="A19" s="9" t="inlineStr">
        <is>
          <t>Target</t>
        </is>
      </c>
      <c r="B19" t="n">
        <v>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Revenue</t>
        </is>
      </c>
    </row>
    <row r="6">
      <c r="A6" s="13" t="inlineStr">
        <is>
          <t>Projects (hours worked)</t>
        </is>
      </c>
      <c r="B6" s="14" t="n">
        <v>85950</v>
      </c>
      <c r="C6" s="14" t="n">
        <v>75740</v>
      </c>
      <c r="D6" s="15">
        <f>B6-C6</f>
        <v/>
      </c>
    </row>
    <row r="7">
      <c r="A7" s="13" t="inlineStr">
        <is>
          <t>Retainers</t>
        </is>
      </c>
      <c r="B7" s="14" t="n">
        <v>32500</v>
      </c>
      <c r="C7" s="14" t="n">
        <v>32500</v>
      </c>
      <c r="D7" s="15">
        <f>B7-C7</f>
        <v/>
      </c>
    </row>
    <row r="8">
      <c r="A8" s="13" t="inlineStr">
        <is>
          <t>Training</t>
        </is>
      </c>
      <c r="B8" s="14" t="n">
        <v>13400</v>
      </c>
      <c r="C8" s="14" t="n">
        <v>6400</v>
      </c>
      <c r="D8" s="15">
        <f>B8-C8</f>
        <v/>
      </c>
    </row>
    <row r="9">
      <c r="A9" s="16" t="inlineStr">
        <is>
          <t>Total revenue</t>
        </is>
      </c>
      <c r="B9" s="17" t="n">
        <v>131850</v>
      </c>
      <c r="C9" s="17" t="n">
        <v>114640</v>
      </c>
      <c r="D9" s="17">
        <f>B9-C9</f>
        <v/>
      </c>
    </row>
    <row r="10">
      <c r="A10" s="12" t="inlineStr">
        <is>
          <t>Cost of sales</t>
        </is>
      </c>
    </row>
    <row r="11">
      <c r="A11" s="13" t="inlineStr">
        <is>
          <t>Consultant salaries (incl. super)</t>
        </is>
      </c>
      <c r="B11" s="14" t="n">
        <v>-46500</v>
      </c>
      <c r="C11" s="14" t="n">
        <v>-46500</v>
      </c>
      <c r="D11" s="15">
        <f>B11-C11</f>
        <v/>
      </c>
    </row>
    <row r="12">
      <c r="A12" s="13" t="inlineStr">
        <is>
          <t>Contractors</t>
        </is>
      </c>
      <c r="B12" s="14" t="n">
        <v>-8500</v>
      </c>
      <c r="C12" s="14" t="n">
        <v>-6900</v>
      </c>
      <c r="D12" s="15">
        <f>B12-C12</f>
        <v/>
      </c>
    </row>
    <row r="13">
      <c r="A13" s="16" t="inlineStr">
        <is>
          <t>Total cost of sales</t>
        </is>
      </c>
      <c r="B13" s="17" t="n">
        <v>-55000</v>
      </c>
      <c r="C13" s="17" t="n">
        <v>-53400</v>
      </c>
      <c r="D13" s="17">
        <f>B13-C13</f>
        <v/>
      </c>
    </row>
    <row r="14">
      <c r="A14" s="16" t="inlineStr">
        <is>
          <t>Gross profit</t>
        </is>
      </c>
      <c r="B14" s="17" t="n">
        <v>76850</v>
      </c>
      <c r="C14" s="17" t="n">
        <v>61240</v>
      </c>
      <c r="D14" s="17">
        <f>B14-C14</f>
        <v/>
      </c>
    </row>
    <row r="15">
      <c r="A15" s="12" t="inlineStr">
        <is>
          <t>Operating expenses</t>
        </is>
      </c>
    </row>
    <row r="16">
      <c r="A16" s="13" t="inlineStr">
        <is>
          <t>Management and admin wages</t>
        </is>
      </c>
      <c r="B16" s="14" t="n">
        <v>-24000</v>
      </c>
      <c r="C16" s="14" t="n">
        <v>-24000</v>
      </c>
      <c r="D16" s="15">
        <f>B16-C16</f>
        <v/>
      </c>
    </row>
    <row r="17">
      <c r="A17" s="13" t="inlineStr">
        <is>
          <t>Marketing and business development</t>
        </is>
      </c>
      <c r="B17" s="14" t="n">
        <v>-5800</v>
      </c>
      <c r="C17" s="14" t="n">
        <v>-6500</v>
      </c>
      <c r="D17" s="15">
        <f>B17-C17</f>
        <v/>
      </c>
    </row>
    <row r="18">
      <c r="A18" s="13" t="inlineStr">
        <is>
          <t>Rent and occupancy</t>
        </is>
      </c>
      <c r="B18" s="14" t="n">
        <v>-8000</v>
      </c>
      <c r="C18" s="14" t="n">
        <v>-8000</v>
      </c>
      <c r="D18" s="15">
        <f>B18-C18</f>
        <v/>
      </c>
    </row>
    <row r="19">
      <c r="A19" s="13" t="inlineStr">
        <is>
          <t>IT and software</t>
        </is>
      </c>
      <c r="B19" s="14" t="n">
        <v>-4500</v>
      </c>
      <c r="C19" s="14" t="n">
        <v>-4500</v>
      </c>
      <c r="D19" s="15">
        <f>B19-C19</f>
        <v/>
      </c>
    </row>
    <row r="20">
      <c r="A20" s="13" t="inlineStr">
        <is>
          <t>Professional indemnity insurance</t>
        </is>
      </c>
      <c r="B20" s="14" t="n">
        <v>-2500</v>
      </c>
      <c r="C20" s="14" t="n">
        <v>-2500</v>
      </c>
      <c r="D20" s="15">
        <f>B20-C20</f>
        <v/>
      </c>
    </row>
    <row r="21">
      <c r="A21" s="13" t="inlineStr">
        <is>
          <t>Travel</t>
        </is>
      </c>
      <c r="B21" s="14" t="n">
        <v>-1800</v>
      </c>
      <c r="C21" s="14" t="n">
        <v>-2600</v>
      </c>
      <c r="D21" s="15">
        <f>B21-C21</f>
        <v/>
      </c>
    </row>
    <row r="22">
      <c r="A22" s="13" t="inlineStr">
        <is>
          <t>Other overheads</t>
        </is>
      </c>
      <c r="B22" s="14" t="n">
        <v>-3300</v>
      </c>
      <c r="C22" s="14" t="n">
        <v>-3300</v>
      </c>
      <c r="D22" s="15">
        <f>B22-C22</f>
        <v/>
      </c>
    </row>
    <row r="23">
      <c r="A23" s="16" t="inlineStr">
        <is>
          <t>Total operating expenses</t>
        </is>
      </c>
      <c r="B23" s="17" t="n">
        <v>-49900</v>
      </c>
      <c r="C23" s="17" t="n">
        <v>-51400</v>
      </c>
      <c r="D23" s="17">
        <f>B23-C23</f>
        <v/>
      </c>
    </row>
    <row r="24">
      <c r="A24" s="16" t="inlineStr">
        <is>
          <t>EBITDA</t>
        </is>
      </c>
      <c r="B24" s="17" t="n">
        <v>26950</v>
      </c>
      <c r="C24" s="17" t="n">
        <v>9840</v>
      </c>
      <c r="D24" s="17">
        <f>B24-C24</f>
        <v/>
      </c>
    </row>
    <row r="25">
      <c r="A25" s="16" t="inlineStr">
        <is>
          <t>Depreciation</t>
        </is>
      </c>
      <c r="B25" s="17" t="n">
        <v>-2000</v>
      </c>
      <c r="C25" s="17" t="n">
        <v>-2000</v>
      </c>
      <c r="D25" s="17">
        <f>B25-C25</f>
        <v/>
      </c>
    </row>
    <row r="26">
      <c r="A26" s="16" t="inlineStr">
        <is>
          <t>Interest</t>
        </is>
      </c>
      <c r="B26" s="17" t="n">
        <v>-240</v>
      </c>
      <c r="C26" s="17" t="n">
        <v>-250</v>
      </c>
      <c r="D26" s="17">
        <f>B26-C26</f>
        <v/>
      </c>
    </row>
    <row r="27">
      <c r="A27" s="16" t="inlineStr">
        <is>
          <t>Profit before tax</t>
        </is>
      </c>
      <c r="B27" s="17" t="n">
        <v>24710</v>
      </c>
      <c r="C27" s="17" t="n">
        <v>7590</v>
      </c>
      <c r="D27" s="17">
        <f>B27-C27</f>
        <v/>
      </c>
    </row>
    <row r="28">
      <c r="A28" s="16" t="inlineStr">
        <is>
          <t>Income tax provision (25%)</t>
        </is>
      </c>
      <c r="B28" s="17" t="n">
        <v>-6178</v>
      </c>
      <c r="C28" s="17" t="n">
        <v>-1898</v>
      </c>
      <c r="D28" s="17">
        <f>B28-C28</f>
        <v/>
      </c>
    </row>
    <row r="29">
      <c r="A29" s="18" t="inlineStr">
        <is>
          <t>Net profit after tax</t>
        </is>
      </c>
      <c r="B29" s="19" t="n">
        <v>18532</v>
      </c>
      <c r="C29" s="19" t="n">
        <v>5692</v>
      </c>
      <c r="D29" s="19">
        <f>B29-C29</f>
        <v/>
      </c>
    </row>
  </sheetData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149260</v>
      </c>
      <c r="C6" s="14" t="n">
        <v>192150</v>
      </c>
      <c r="D6" s="15">
        <f>B6-C6</f>
        <v/>
      </c>
    </row>
    <row r="7">
      <c r="A7" s="13" t="inlineStr">
        <is>
          <t>Trade debtors (unpaid invoices)</t>
        </is>
      </c>
      <c r="B7" s="14" t="n">
        <v>116800</v>
      </c>
      <c r="C7" s="14" t="n">
        <v>71290</v>
      </c>
      <c r="D7" s="15">
        <f>B7-C7</f>
        <v/>
      </c>
    </row>
    <row r="8">
      <c r="A8" s="13" t="inlineStr">
        <is>
          <t>Work in progress (unbilled project time)</t>
        </is>
      </c>
      <c r="B8" s="14" t="n">
        <v>99290</v>
      </c>
      <c r="C8" s="14" t="n">
        <v>77900</v>
      </c>
      <c r="D8" s="15">
        <f>B8-C8</f>
        <v/>
      </c>
    </row>
    <row r="9">
      <c r="A9" s="13" t="inlineStr">
        <is>
          <t>Prepayments</t>
        </is>
      </c>
      <c r="B9" s="14" t="n">
        <v>15000</v>
      </c>
      <c r="C9" s="14" t="n">
        <v>15000</v>
      </c>
      <c r="D9" s="15">
        <f>B9-C9</f>
        <v/>
      </c>
    </row>
    <row r="10">
      <c r="A10" s="16" t="inlineStr">
        <is>
          <t>Total current assets</t>
        </is>
      </c>
      <c r="B10" s="17" t="n">
        <v>380350</v>
      </c>
      <c r="C10" s="17" t="n">
        <v>356340</v>
      </c>
      <c r="D10" s="17">
        <f>B10-C10</f>
        <v/>
      </c>
    </row>
    <row r="11">
      <c r="A11" s="16" t="inlineStr">
        <is>
          <t>Office equipment</t>
        </is>
      </c>
      <c r="B11" s="17" t="n">
        <v>60200</v>
      </c>
      <c r="C11" s="17" t="n">
        <v>59000</v>
      </c>
      <c r="D11" s="17">
        <f>B11-C11</f>
        <v/>
      </c>
    </row>
    <row r="12">
      <c r="A12" s="16" t="inlineStr">
        <is>
          <t>Total assets</t>
        </is>
      </c>
      <c r="B12" s="17" t="n">
        <v>440550</v>
      </c>
      <c r="C12" s="17" t="n">
        <v>415340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Trade creditors (bills due next month)</t>
        </is>
      </c>
      <c r="B14" s="14" t="n">
        <v>8500</v>
      </c>
      <c r="C14" s="14" t="n">
        <v>6900</v>
      </c>
      <c r="D14" s="15">
        <f>B14-C14</f>
        <v/>
      </c>
    </row>
    <row r="15">
      <c r="A15" s="13" t="inlineStr">
        <is>
          <t>Employee leave provisions</t>
        </is>
      </c>
      <c r="B15" s="14" t="n">
        <v>122300</v>
      </c>
      <c r="C15" s="14" t="n">
        <v>121700</v>
      </c>
      <c r="D15" s="15">
        <f>B15-C15</f>
        <v/>
      </c>
    </row>
    <row r="16">
      <c r="A16" s="13" t="inlineStr">
        <is>
          <t>Income tax payable</t>
        </is>
      </c>
      <c r="B16" s="14" t="n">
        <v>56576</v>
      </c>
      <c r="C16" s="14" t="n">
        <v>50398</v>
      </c>
      <c r="D16" s="15">
        <f>B16-C16</f>
        <v/>
      </c>
    </row>
    <row r="17">
      <c r="A17" s="16" t="inlineStr">
        <is>
          <t>Total current liabilities</t>
        </is>
      </c>
      <c r="B17" s="17" t="n">
        <v>187376</v>
      </c>
      <c r="C17" s="17" t="n">
        <v>178998</v>
      </c>
      <c r="D17" s="17">
        <f>B17-C17</f>
        <v/>
      </c>
    </row>
    <row r="18">
      <c r="A18" s="16" t="inlineStr">
        <is>
          <t>Equipment finance</t>
        </is>
      </c>
      <c r="B18" s="17" t="n">
        <v>14600</v>
      </c>
      <c r="C18" s="17" t="n">
        <v>16300</v>
      </c>
      <c r="D18" s="17">
        <f>B18-C18</f>
        <v/>
      </c>
    </row>
    <row r="19">
      <c r="A19" s="16" t="inlineStr">
        <is>
          <t>Total liabilities</t>
        </is>
      </c>
      <c r="B19" s="17" t="n">
        <v>201976</v>
      </c>
      <c r="C19" s="17" t="n">
        <v>195298</v>
      </c>
      <c r="D19" s="17">
        <f>B19-C19</f>
        <v/>
      </c>
    </row>
    <row r="20">
      <c r="A20" s="18" t="inlineStr">
        <is>
          <t>Net assets</t>
        </is>
      </c>
      <c r="B20" s="19" t="n">
        <v>238574</v>
      </c>
      <c r="C20" s="19" t="n">
        <v>220042</v>
      </c>
      <c r="D20" s="19">
        <f>B20-C20</f>
        <v/>
      </c>
    </row>
    <row r="21">
      <c r="A21" s="12" t="inlineStr">
        <is>
          <t>Equity</t>
        </is>
      </c>
    </row>
    <row r="22">
      <c r="A22" s="13" t="inlineStr">
        <is>
          <t>Share capital</t>
        </is>
      </c>
      <c r="B22" s="14" t="n">
        <v>20000</v>
      </c>
      <c r="C22" s="14" t="n">
        <v>20000</v>
      </c>
      <c r="D22" s="15">
        <f>B22-C22</f>
        <v/>
      </c>
    </row>
    <row r="23">
      <c r="A23" s="13" t="inlineStr">
        <is>
          <t>Retained earnings</t>
        </is>
      </c>
      <c r="B23" s="14" t="n">
        <v>218574</v>
      </c>
      <c r="C23" s="14" t="n">
        <v>200042</v>
      </c>
      <c r="D23" s="15">
        <f>B23-C23</f>
        <v/>
      </c>
    </row>
    <row r="24">
      <c r="A24" s="18" t="inlineStr">
        <is>
          <t>Total equity</t>
        </is>
      </c>
      <c r="B24" s="19" t="n">
        <v>238574</v>
      </c>
      <c r="C24" s="19" t="n">
        <v>220042</v>
      </c>
      <c r="D24" s="19">
        <f>B24-C24</f>
        <v/>
      </c>
    </row>
  </sheetData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Receipts from customers (invoices paid)</t>
        </is>
      </c>
      <c r="B6" s="14" t="n">
        <v>64950</v>
      </c>
      <c r="C6" s="14" t="n">
        <v>137200</v>
      </c>
      <c r="D6" s="15">
        <f>B6-C6</f>
        <v/>
      </c>
    </row>
    <row r="7">
      <c r="A7" s="13" t="inlineStr">
        <is>
          <t>Payments to contractors and suppliers</t>
        </is>
      </c>
      <c r="B7" s="14" t="n">
        <v>-32800</v>
      </c>
      <c r="C7" s="14" t="n">
        <v>-31300</v>
      </c>
      <c r="D7" s="15">
        <f>B7-C7</f>
        <v/>
      </c>
    </row>
    <row r="8">
      <c r="A8" s="13" t="inlineStr">
        <is>
          <t>Payments to employees</t>
        </is>
      </c>
      <c r="B8" s="14" t="n">
        <v>-69900</v>
      </c>
      <c r="C8" s="14" t="n">
        <v>-69800</v>
      </c>
      <c r="D8" s="15">
        <f>B8-C8</f>
        <v/>
      </c>
    </row>
    <row r="9">
      <c r="A9" s="13" t="inlineStr">
        <is>
          <t>Interest paid</t>
        </is>
      </c>
      <c r="B9" s="14" t="n">
        <v>-240</v>
      </c>
      <c r="C9" s="14" t="n">
        <v>-250</v>
      </c>
      <c r="D9" s="15">
        <f>B9-C9</f>
        <v/>
      </c>
    </row>
    <row r="10">
      <c r="A10" s="13" t="inlineStr">
        <is>
          <t>Income tax paid</t>
        </is>
      </c>
      <c r="B10" s="14" t="n">
        <v>0</v>
      </c>
      <c r="C10" s="14" t="n">
        <v>0</v>
      </c>
      <c r="D10" s="15">
        <f>B10-C10</f>
        <v/>
      </c>
    </row>
    <row r="11">
      <c r="A11" s="16" t="inlineStr">
        <is>
          <t>Net cash from operating activities</t>
        </is>
      </c>
      <c r="B11" s="17" t="n">
        <v>-37990</v>
      </c>
      <c r="C11" s="17" t="n">
        <v>35850</v>
      </c>
      <c r="D11" s="17">
        <f>B11-C11</f>
        <v/>
      </c>
    </row>
    <row r="12">
      <c r="A12" s="12" t="inlineStr">
        <is>
          <t>Investing activities</t>
        </is>
      </c>
    </row>
    <row r="13">
      <c r="A13" s="13" t="inlineStr">
        <is>
          <t>Purchase of equipment</t>
        </is>
      </c>
      <c r="B13" s="14" t="n">
        <v>-3200</v>
      </c>
      <c r="C13" s="14" t="n">
        <v>0</v>
      </c>
      <c r="D13" s="15">
        <f>B13-C13</f>
        <v/>
      </c>
    </row>
    <row r="14">
      <c r="A14" s="16" t="inlineStr">
        <is>
          <t>Net cash from investing activities</t>
        </is>
      </c>
      <c r="B14" s="17" t="n">
        <v>-3200</v>
      </c>
      <c r="C14" s="17" t="n">
        <v>0</v>
      </c>
      <c r="D14" s="17">
        <f>B14-C14</f>
        <v/>
      </c>
    </row>
    <row r="15">
      <c r="A15" s="12" t="inlineStr">
        <is>
          <t>Financing activities</t>
        </is>
      </c>
    </row>
    <row r="16">
      <c r="A16" s="13" t="inlineStr">
        <is>
          <t>Equipment finance repaid</t>
        </is>
      </c>
      <c r="B16" s="14" t="n">
        <v>-1700</v>
      </c>
      <c r="C16" s="14" t="n">
        <v>-1700</v>
      </c>
      <c r="D16" s="15">
        <f>B16-C16</f>
        <v/>
      </c>
    </row>
    <row r="17">
      <c r="A17" s="16" t="inlineStr">
        <is>
          <t>Net cash from financing activities</t>
        </is>
      </c>
      <c r="B17" s="17" t="n">
        <v>-1700</v>
      </c>
      <c r="C17" s="17" t="n">
        <v>-1700</v>
      </c>
      <c r="D17" s="17">
        <f>B17-C17</f>
        <v/>
      </c>
    </row>
    <row r="18">
      <c r="A18" s="16" t="inlineStr">
        <is>
          <t>Net change in cash</t>
        </is>
      </c>
      <c r="B18" s="17" t="n">
        <v>-42890</v>
      </c>
      <c r="C18" s="17" t="n">
        <v>34150</v>
      </c>
      <c r="D18" s="17">
        <f>B18-C18</f>
        <v/>
      </c>
    </row>
    <row r="19">
      <c r="A19" s="16" t="inlineStr">
        <is>
          <t>Cash at start of month</t>
        </is>
      </c>
      <c r="B19" s="17" t="n">
        <v>192150</v>
      </c>
      <c r="C19" s="17" t="n">
        <v>158000</v>
      </c>
      <c r="D19" s="17">
        <f>B19-C19</f>
        <v/>
      </c>
    </row>
    <row r="20">
      <c r="A20" s="18" t="inlineStr">
        <is>
          <t>Cash at end of month</t>
        </is>
      </c>
      <c r="B20" s="19" t="n">
        <v>149260</v>
      </c>
      <c r="C20" s="19" t="n">
        <v>192150</v>
      </c>
      <c r="D20" s="19">
        <f>B20-C20</f>
        <v/>
      </c>
    </row>
  </sheetData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9"/>
  <sheetViews>
    <sheetView workbookViewId="0">
      <selection activeCell="A1" sqref="A1"/>
    </sheetView>
  </sheetViews>
  <sheetFormatPr baseColWidth="8" defaultRowHeight="15"/>
  <cols>
    <col width="52" customWidth="1" min="1" max="1"/>
    <col width="26" customWidth="1" min="2" max="2"/>
    <col width="26" customWidth="1" min="3" max="3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4" t="inlineStr">
        <is>
          <t>Consultant utilisation</t>
        </is>
      </c>
    </row>
    <row r="5">
      <c r="A5" s="9" t="inlineStr">
        <is>
          <t>Billable hours ÷ hours available</t>
        </is>
      </c>
    </row>
    <row r="6">
      <c r="A6" s="20" t="inlineStr"/>
      <c r="B6" s="20" t="inlineStr">
        <is>
          <t>Sep 2026</t>
        </is>
      </c>
      <c r="C6" s="20" t="inlineStr">
        <is>
          <t>Aug 2026</t>
        </is>
      </c>
    </row>
    <row r="7">
      <c r="A7" s="21" t="inlineStr">
        <is>
          <t>Billable hours (timesheets)</t>
        </is>
      </c>
      <c r="B7" s="22" t="inlineStr">
        <is>
          <t>742 h</t>
        </is>
      </c>
      <c r="C7" s="22" t="inlineStr">
        <is>
          <t>648 h</t>
        </is>
      </c>
    </row>
    <row r="8">
      <c r="A8" s="21" t="inlineStr">
        <is>
          <t>Consultants</t>
        </is>
      </c>
      <c r="B8" s="22" t="inlineStr">
        <is>
          <t>6</t>
        </is>
      </c>
      <c r="C8" s="22" t="inlineStr">
        <is>
          <t>6</t>
        </is>
      </c>
    </row>
    <row r="9">
      <c r="A9" s="21" t="inlineStr">
        <is>
          <t>Working days</t>
        </is>
      </c>
      <c r="B9" s="22" t="inlineStr">
        <is>
          <t>22</t>
        </is>
      </c>
      <c r="C9" s="22" t="inlineStr">
        <is>
          <t>20</t>
        </is>
      </c>
    </row>
    <row r="10">
      <c r="A10" s="21" t="inlineStr">
        <is>
          <t>Hours available (consultants × days × 7.6)</t>
        </is>
      </c>
      <c r="B10" s="22" t="inlineStr">
        <is>
          <t>1,003.2 h</t>
        </is>
      </c>
      <c r="C10" s="22" t="inlineStr">
        <is>
          <t>912 h</t>
        </is>
      </c>
    </row>
    <row r="11">
      <c r="A11" s="21" t="inlineStr">
        <is>
          <t>Utilisation</t>
        </is>
      </c>
      <c r="B11" s="22" t="inlineStr">
        <is>
          <t>74%</t>
        </is>
      </c>
      <c r="C11" s="22" t="inlineStr">
        <is>
          <t>71%</t>
        </is>
      </c>
    </row>
    <row r="14">
      <c r="A14" s="4" t="inlineStr">
        <is>
          <t>Revenue per billable hour</t>
        </is>
      </c>
    </row>
    <row r="15">
      <c r="A15" s="9" t="inlineStr">
        <is>
          <t>Revenue ÷ billable hours</t>
        </is>
      </c>
    </row>
    <row r="16">
      <c r="A16" s="20" t="inlineStr"/>
      <c r="B16" s="20" t="inlineStr">
        <is>
          <t>Sep 2026</t>
        </is>
      </c>
      <c r="C16" s="20" t="inlineStr">
        <is>
          <t>Aug 2026</t>
        </is>
      </c>
    </row>
    <row r="17">
      <c r="A17" s="21" t="inlineStr">
        <is>
          <t>Revenue</t>
        </is>
      </c>
      <c r="B17" s="22" t="inlineStr">
        <is>
          <t>$131,850</t>
        </is>
      </c>
      <c r="C17" s="22" t="inlineStr">
        <is>
          <t>$114,640</t>
        </is>
      </c>
    </row>
    <row r="18">
      <c r="A18" s="21" t="inlineStr">
        <is>
          <t>Billable hours</t>
        </is>
      </c>
      <c r="B18" s="22" t="inlineStr">
        <is>
          <t>742 h</t>
        </is>
      </c>
      <c r="C18" s="22" t="inlineStr">
        <is>
          <t>648 h</t>
        </is>
      </c>
    </row>
    <row r="19">
      <c r="A19" s="21" t="inlineStr">
        <is>
          <t>Revenue per hour</t>
        </is>
      </c>
      <c r="B19" s="22" t="inlineStr">
        <is>
          <t>$178</t>
        </is>
      </c>
      <c r="C19" s="22" t="inlineStr">
        <is>
          <t>$177</t>
        </is>
      </c>
    </row>
    <row r="20">
      <c r="A20" s="2" t="inlineStr">
        <is>
          <t>Retainers and training are fixed fees, so fewer hours on them raises the hourly figure.</t>
        </is>
      </c>
    </row>
    <row r="23">
      <c r="A23" s="4" t="inlineStr">
        <is>
          <t>Cash tied up in work</t>
        </is>
      </c>
    </row>
    <row r="24">
      <c r="A24" s="9" t="inlineStr">
        <is>
          <t>Work in progress + unpaid invoices at month end</t>
        </is>
      </c>
    </row>
    <row r="25">
      <c r="A25" s="20" t="inlineStr"/>
      <c r="B25" s="20" t="inlineStr">
        <is>
          <t>Sep 2026</t>
        </is>
      </c>
      <c r="C25" s="20" t="inlineStr">
        <is>
          <t>Aug 2026</t>
        </is>
      </c>
    </row>
    <row r="26">
      <c r="A26" s="21" t="inlineStr">
        <is>
          <t>Work in progress (project time not yet billed)</t>
        </is>
      </c>
      <c r="B26" s="22" t="inlineStr">
        <is>
          <t>$99,290</t>
        </is>
      </c>
      <c r="C26" s="22" t="inlineStr">
        <is>
          <t>$77,900</t>
        </is>
      </c>
    </row>
    <row r="27">
      <c r="A27" s="21" t="inlineStr">
        <is>
          <t>Unpaid client invoices</t>
        </is>
      </c>
      <c r="B27" s="22" t="inlineStr">
        <is>
          <t>$116,800</t>
        </is>
      </c>
      <c r="C27" s="22" t="inlineStr">
        <is>
          <t>$71,290</t>
        </is>
      </c>
    </row>
    <row r="28">
      <c r="A28" s="21" t="inlineStr">
        <is>
          <t>Total tied up</t>
        </is>
      </c>
      <c r="B28" s="22" t="inlineStr">
        <is>
          <t>$216,090</t>
        </is>
      </c>
      <c r="C28" s="22" t="inlineStr">
        <is>
          <t>$149,190</t>
        </is>
      </c>
    </row>
    <row r="29">
      <c r="A29" s="2" t="inlineStr">
        <is>
          <t>Milestone billing on the logistics and manufacturer projects landed at the end of September, so it moved from unbilled to unpaid.</t>
        </is>
      </c>
    </row>
    <row r="32">
      <c r="A32" s="4" t="inlineStr">
        <is>
          <t>Logistics systems rollout</t>
        </is>
      </c>
    </row>
    <row r="33">
      <c r="A33" s="9" t="inlineStr">
        <is>
          <t>Contribution ÷ revenue for this engagement</t>
        </is>
      </c>
    </row>
    <row r="34">
      <c r="A34" s="20" t="inlineStr"/>
      <c r="B34" s="20" t="inlineStr">
        <is>
          <t>Sep 2026</t>
        </is>
      </c>
    </row>
    <row r="35">
      <c r="A35" s="21" t="inlineStr">
        <is>
          <t>Type</t>
        </is>
      </c>
      <c r="B35" s="22" t="inlineStr">
        <is>
          <t>Project</t>
        </is>
      </c>
    </row>
    <row r="36">
      <c r="A36" s="21" t="inlineStr">
        <is>
          <t>Hours</t>
        </is>
      </c>
      <c r="B36" s="22" t="inlineStr">
        <is>
          <t>210 h</t>
        </is>
      </c>
    </row>
    <row r="37">
      <c r="A37" s="21" t="inlineStr">
        <is>
          <t>Revenue</t>
        </is>
      </c>
      <c r="B37" s="22" t="inlineStr">
        <is>
          <t>$36,750</t>
        </is>
      </c>
    </row>
    <row r="38">
      <c r="A38" s="21" t="inlineStr">
        <is>
          <t>Contractors</t>
        </is>
      </c>
      <c r="B38" s="22" t="inlineStr">
        <is>
          <t>$-4,800</t>
        </is>
      </c>
    </row>
    <row r="39">
      <c r="A39" s="21" t="inlineStr">
        <is>
          <t>Consultant time</t>
        </is>
      </c>
      <c r="B39" s="22" t="inlineStr">
        <is>
          <t>210 h × $60 = $-12,600</t>
        </is>
      </c>
    </row>
    <row r="40">
      <c r="A40" s="21" t="inlineStr">
        <is>
          <t>Contribution</t>
        </is>
      </c>
      <c r="B40" s="22" t="inlineStr">
        <is>
          <t>$19,350</t>
        </is>
      </c>
    </row>
    <row r="41">
      <c r="A41" s="21" t="inlineStr">
        <is>
          <t>Margin</t>
        </is>
      </c>
      <c r="B41" s="22" t="inlineStr">
        <is>
          <t>52.7%</t>
        </is>
      </c>
    </row>
    <row r="44">
      <c r="A44" s="4" t="inlineStr">
        <is>
          <t>Retail pricing review</t>
        </is>
      </c>
    </row>
    <row r="45">
      <c r="A45" s="9" t="inlineStr">
        <is>
          <t>Contribution ÷ revenue for this engagement</t>
        </is>
      </c>
    </row>
    <row r="46">
      <c r="A46" s="20" t="inlineStr"/>
      <c r="B46" s="20" t="inlineStr">
        <is>
          <t>Sep 2026</t>
        </is>
      </c>
    </row>
    <row r="47">
      <c r="A47" s="21" t="inlineStr">
        <is>
          <t>Type</t>
        </is>
      </c>
      <c r="B47" s="22" t="inlineStr">
        <is>
          <t>Project</t>
        </is>
      </c>
    </row>
    <row r="48">
      <c r="A48" s="21" t="inlineStr">
        <is>
          <t>Hours</t>
        </is>
      </c>
      <c r="B48" s="22" t="inlineStr">
        <is>
          <t>96 h</t>
        </is>
      </c>
    </row>
    <row r="49">
      <c r="A49" s="21" t="inlineStr">
        <is>
          <t>Revenue</t>
        </is>
      </c>
      <c r="B49" s="22" t="inlineStr">
        <is>
          <t>$18,240</t>
        </is>
      </c>
    </row>
    <row r="50">
      <c r="A50" s="21" t="inlineStr">
        <is>
          <t>Contractors</t>
        </is>
      </c>
      <c r="B50" s="22" t="inlineStr">
        <is>
          <t>$0</t>
        </is>
      </c>
    </row>
    <row r="51">
      <c r="A51" s="21" t="inlineStr">
        <is>
          <t>Consultant time</t>
        </is>
      </c>
      <c r="B51" s="22" t="inlineStr">
        <is>
          <t>96 h × $60 = $-5,760</t>
        </is>
      </c>
    </row>
    <row r="52">
      <c r="A52" s="21" t="inlineStr">
        <is>
          <t>Contribution</t>
        </is>
      </c>
      <c r="B52" s="22" t="inlineStr">
        <is>
          <t>$12,480</t>
        </is>
      </c>
    </row>
    <row r="53">
      <c r="A53" s="21" t="inlineStr">
        <is>
          <t>Margin</t>
        </is>
      </c>
      <c r="B53" s="22" t="inlineStr">
        <is>
          <t>68.4%</t>
        </is>
      </c>
    </row>
    <row r="56">
      <c r="A56" s="4" t="inlineStr">
        <is>
          <t>Health charity board pack</t>
        </is>
      </c>
    </row>
    <row r="57">
      <c r="A57" s="9" t="inlineStr">
        <is>
          <t>Contribution ÷ revenue for this engagement</t>
        </is>
      </c>
    </row>
    <row r="58">
      <c r="A58" s="20" t="inlineStr"/>
      <c r="B58" s="20" t="inlineStr">
        <is>
          <t>Sep 2026</t>
        </is>
      </c>
    </row>
    <row r="59">
      <c r="A59" s="21" t="inlineStr">
        <is>
          <t>Type</t>
        </is>
      </c>
      <c r="B59" s="22" t="inlineStr">
        <is>
          <t>Project</t>
        </is>
      </c>
    </row>
    <row r="60">
      <c r="A60" s="21" t="inlineStr">
        <is>
          <t>Hours</t>
        </is>
      </c>
      <c r="B60" s="22" t="inlineStr">
        <is>
          <t>64 h</t>
        </is>
      </c>
    </row>
    <row r="61">
      <c r="A61" s="21" t="inlineStr">
        <is>
          <t>Revenue</t>
        </is>
      </c>
      <c r="B61" s="22" t="inlineStr">
        <is>
          <t>$10,560</t>
        </is>
      </c>
    </row>
    <row r="62">
      <c r="A62" s="21" t="inlineStr">
        <is>
          <t>Contractors</t>
        </is>
      </c>
      <c r="B62" s="22" t="inlineStr">
        <is>
          <t>$0</t>
        </is>
      </c>
    </row>
    <row r="63">
      <c r="A63" s="21" t="inlineStr">
        <is>
          <t>Consultant time</t>
        </is>
      </c>
      <c r="B63" s="22" t="inlineStr">
        <is>
          <t>64 h × $60 = $-3,840</t>
        </is>
      </c>
    </row>
    <row r="64">
      <c r="A64" s="21" t="inlineStr">
        <is>
          <t>Contribution</t>
        </is>
      </c>
      <c r="B64" s="22" t="inlineStr">
        <is>
          <t>$6,720</t>
        </is>
      </c>
    </row>
    <row r="65">
      <c r="A65" s="21" t="inlineStr">
        <is>
          <t>Margin</t>
        </is>
      </c>
      <c r="B65" s="22" t="inlineStr">
        <is>
          <t>63.6%</t>
        </is>
      </c>
    </row>
    <row r="68">
      <c r="A68" s="4" t="inlineStr">
        <is>
          <t>Manufacturer process mapping</t>
        </is>
      </c>
    </row>
    <row r="69">
      <c r="A69" s="9" t="inlineStr">
        <is>
          <t>Contribution ÷ revenue for this engagement</t>
        </is>
      </c>
    </row>
    <row r="70">
      <c r="A70" s="20" t="inlineStr"/>
      <c r="B70" s="20" t="inlineStr">
        <is>
          <t>Sep 2026</t>
        </is>
      </c>
    </row>
    <row r="71">
      <c r="A71" s="21" t="inlineStr">
        <is>
          <t>Type</t>
        </is>
      </c>
      <c r="B71" s="22" t="inlineStr">
        <is>
          <t>Project</t>
        </is>
      </c>
    </row>
    <row r="72">
      <c r="A72" s="21" t="inlineStr">
        <is>
          <t>Hours</t>
        </is>
      </c>
      <c r="B72" s="22" t="inlineStr">
        <is>
          <t>120 h</t>
        </is>
      </c>
    </row>
    <row r="73">
      <c r="A73" s="21" t="inlineStr">
        <is>
          <t>Revenue</t>
        </is>
      </c>
      <c r="B73" s="22" t="inlineStr">
        <is>
          <t>$20,400</t>
        </is>
      </c>
    </row>
    <row r="74">
      <c r="A74" s="21" t="inlineStr">
        <is>
          <t>Contractors</t>
        </is>
      </c>
      <c r="B74" s="22" t="inlineStr">
        <is>
          <t>$-2,200</t>
        </is>
      </c>
    </row>
    <row r="75">
      <c r="A75" s="21" t="inlineStr">
        <is>
          <t>Consultant time</t>
        </is>
      </c>
      <c r="B75" s="22" t="inlineStr">
        <is>
          <t>120 h × $60 = $-7,200</t>
        </is>
      </c>
    </row>
    <row r="76">
      <c r="A76" s="21" t="inlineStr">
        <is>
          <t>Contribution</t>
        </is>
      </c>
      <c r="B76" s="22" t="inlineStr">
        <is>
          <t>$11,000</t>
        </is>
      </c>
    </row>
    <row r="77">
      <c r="A77" s="21" t="inlineStr">
        <is>
          <t>Margin</t>
        </is>
      </c>
      <c r="B77" s="22" t="inlineStr">
        <is>
          <t>53.9%</t>
        </is>
      </c>
    </row>
    <row r="80">
      <c r="A80" s="4" t="inlineStr">
        <is>
          <t>Construction firm finance</t>
        </is>
      </c>
    </row>
    <row r="81">
      <c r="A81" s="9" t="inlineStr">
        <is>
          <t>Contribution ÷ revenue for this engagement</t>
        </is>
      </c>
    </row>
    <row r="82">
      <c r="A82" s="20" t="inlineStr"/>
      <c r="B82" s="20" t="inlineStr">
        <is>
          <t>Sep 2026</t>
        </is>
      </c>
    </row>
    <row r="83">
      <c r="A83" s="21" t="inlineStr">
        <is>
          <t>Type</t>
        </is>
      </c>
      <c r="B83" s="22" t="inlineStr">
        <is>
          <t>Retainer</t>
        </is>
      </c>
    </row>
    <row r="84">
      <c r="A84" s="21" t="inlineStr">
        <is>
          <t>Hours</t>
        </is>
      </c>
      <c r="B84" s="22" t="inlineStr">
        <is>
          <t>58 h</t>
        </is>
      </c>
    </row>
    <row r="85">
      <c r="A85" s="21" t="inlineStr">
        <is>
          <t>Revenue</t>
        </is>
      </c>
      <c r="B85" s="22" t="inlineStr">
        <is>
          <t>$9,500</t>
        </is>
      </c>
    </row>
    <row r="86">
      <c r="A86" s="21" t="inlineStr">
        <is>
          <t>Contractors</t>
        </is>
      </c>
      <c r="B86" s="22" t="inlineStr">
        <is>
          <t>$0</t>
        </is>
      </c>
    </row>
    <row r="87">
      <c r="A87" s="21" t="inlineStr">
        <is>
          <t>Consultant time</t>
        </is>
      </c>
      <c r="B87" s="22" t="inlineStr">
        <is>
          <t>58 h × $60 = $-3,480</t>
        </is>
      </c>
    </row>
    <row r="88">
      <c r="A88" s="21" t="inlineStr">
        <is>
          <t>Contribution</t>
        </is>
      </c>
      <c r="B88" s="22" t="inlineStr">
        <is>
          <t>$6,020</t>
        </is>
      </c>
    </row>
    <row r="89">
      <c r="A89" s="21" t="inlineStr">
        <is>
          <t>Margin</t>
        </is>
      </c>
      <c r="B89" s="22" t="inlineStr">
        <is>
          <t>63.4%</t>
        </is>
      </c>
    </row>
    <row r="92">
      <c r="A92" s="4" t="inlineStr">
        <is>
          <t>Dental group reporting</t>
        </is>
      </c>
    </row>
    <row r="93">
      <c r="A93" s="9" t="inlineStr">
        <is>
          <t>Contribution ÷ revenue for this engagement</t>
        </is>
      </c>
    </row>
    <row r="94">
      <c r="A94" s="20" t="inlineStr"/>
      <c r="B94" s="20" t="inlineStr">
        <is>
          <t>Sep 2026</t>
        </is>
      </c>
    </row>
    <row r="95">
      <c r="A95" s="21" t="inlineStr">
        <is>
          <t>Type</t>
        </is>
      </c>
      <c r="B95" s="22" t="inlineStr">
        <is>
          <t>Retainer</t>
        </is>
      </c>
    </row>
    <row r="96">
      <c r="A96" s="21" t="inlineStr">
        <is>
          <t>Hours</t>
        </is>
      </c>
      <c r="B96" s="22" t="inlineStr">
        <is>
          <t>44 h</t>
        </is>
      </c>
    </row>
    <row r="97">
      <c r="A97" s="21" t="inlineStr">
        <is>
          <t>Revenue</t>
        </is>
      </c>
      <c r="B97" s="22" t="inlineStr">
        <is>
          <t>$6,800</t>
        </is>
      </c>
    </row>
    <row r="98">
      <c r="A98" s="21" t="inlineStr">
        <is>
          <t>Contractors</t>
        </is>
      </c>
      <c r="B98" s="22" t="inlineStr">
        <is>
          <t>$0</t>
        </is>
      </c>
    </row>
    <row r="99">
      <c r="A99" s="21" t="inlineStr">
        <is>
          <t>Consultant time</t>
        </is>
      </c>
      <c r="B99" s="22" t="inlineStr">
        <is>
          <t>44 h × $60 = $-2,640</t>
        </is>
      </c>
    </row>
    <row r="100">
      <c r="A100" s="21" t="inlineStr">
        <is>
          <t>Contribution</t>
        </is>
      </c>
      <c r="B100" s="22" t="inlineStr">
        <is>
          <t>$4,160</t>
        </is>
      </c>
    </row>
    <row r="101">
      <c r="A101" s="21" t="inlineStr">
        <is>
          <t>Margin</t>
        </is>
      </c>
      <c r="B101" s="22" t="inlineStr">
        <is>
          <t>61.2%</t>
        </is>
      </c>
    </row>
    <row r="104">
      <c r="A104" s="4" t="inlineStr">
        <is>
          <t>Agribusiness CFO support</t>
        </is>
      </c>
    </row>
    <row r="105">
      <c r="A105" s="9" t="inlineStr">
        <is>
          <t>Contribution ÷ revenue for this engagement</t>
        </is>
      </c>
    </row>
    <row r="106">
      <c r="A106" s="20" t="inlineStr"/>
      <c r="B106" s="20" t="inlineStr">
        <is>
          <t>Sep 2026</t>
        </is>
      </c>
    </row>
    <row r="107">
      <c r="A107" s="21" t="inlineStr">
        <is>
          <t>Type</t>
        </is>
      </c>
      <c r="B107" s="22" t="inlineStr">
        <is>
          <t>Retainer</t>
        </is>
      </c>
    </row>
    <row r="108">
      <c r="A108" s="21" t="inlineStr">
        <is>
          <t>Hours</t>
        </is>
      </c>
      <c r="B108" s="22" t="inlineStr">
        <is>
          <t>70 h</t>
        </is>
      </c>
    </row>
    <row r="109">
      <c r="A109" s="21" t="inlineStr">
        <is>
          <t>Revenue</t>
        </is>
      </c>
      <c r="B109" s="22" t="inlineStr">
        <is>
          <t>$12,000</t>
        </is>
      </c>
    </row>
    <row r="110">
      <c r="A110" s="21" t="inlineStr">
        <is>
          <t>Contractors</t>
        </is>
      </c>
      <c r="B110" s="22" t="inlineStr">
        <is>
          <t>$0</t>
        </is>
      </c>
    </row>
    <row r="111">
      <c r="A111" s="21" t="inlineStr">
        <is>
          <t>Consultant time</t>
        </is>
      </c>
      <c r="B111" s="22" t="inlineStr">
        <is>
          <t>70 h × $60 = $-4,200</t>
        </is>
      </c>
    </row>
    <row r="112">
      <c r="A112" s="21" t="inlineStr">
        <is>
          <t>Contribution</t>
        </is>
      </c>
      <c r="B112" s="22" t="inlineStr">
        <is>
          <t>$7,800</t>
        </is>
      </c>
    </row>
    <row r="113">
      <c r="A113" s="21" t="inlineStr">
        <is>
          <t>Margin</t>
        </is>
      </c>
      <c r="B113" s="22" t="inlineStr">
        <is>
          <t>65.0%</t>
        </is>
      </c>
    </row>
    <row r="116">
      <c r="A116" s="4" t="inlineStr">
        <is>
          <t>Hospitality payroll</t>
        </is>
      </c>
    </row>
    <row r="117">
      <c r="A117" s="9" t="inlineStr">
        <is>
          <t>Contribution ÷ revenue for this engagement</t>
        </is>
      </c>
    </row>
    <row r="118">
      <c r="A118" s="20" t="inlineStr"/>
      <c r="B118" s="20" t="inlineStr">
        <is>
          <t>Sep 2026</t>
        </is>
      </c>
    </row>
    <row r="119">
      <c r="A119" s="21" t="inlineStr">
        <is>
          <t>Type</t>
        </is>
      </c>
      <c r="B119" s="22" t="inlineStr">
        <is>
          <t>Retainer</t>
        </is>
      </c>
    </row>
    <row r="120">
      <c r="A120" s="21" t="inlineStr">
        <is>
          <t>Hours</t>
        </is>
      </c>
      <c r="B120" s="22" t="inlineStr">
        <is>
          <t>36 h</t>
        </is>
      </c>
    </row>
    <row r="121">
      <c r="A121" s="21" t="inlineStr">
        <is>
          <t>Revenue</t>
        </is>
      </c>
      <c r="B121" s="22" t="inlineStr">
        <is>
          <t>$4,200</t>
        </is>
      </c>
    </row>
    <row r="122">
      <c r="A122" s="21" t="inlineStr">
        <is>
          <t>Contractors</t>
        </is>
      </c>
      <c r="B122" s="22" t="inlineStr">
        <is>
          <t>$0</t>
        </is>
      </c>
    </row>
    <row r="123">
      <c r="A123" s="21" t="inlineStr">
        <is>
          <t>Consultant time</t>
        </is>
      </c>
      <c r="B123" s="22" t="inlineStr">
        <is>
          <t>36 h × $60 = $-2,160</t>
        </is>
      </c>
    </row>
    <row r="124">
      <c r="A124" s="21" t="inlineStr">
        <is>
          <t>Contribution</t>
        </is>
      </c>
      <c r="B124" s="22" t="inlineStr">
        <is>
          <t>$2,040</t>
        </is>
      </c>
    </row>
    <row r="125">
      <c r="A125" s="21" t="inlineStr">
        <is>
          <t>Margin</t>
        </is>
      </c>
      <c r="B125" s="22" t="inlineStr">
        <is>
          <t>48.6%</t>
        </is>
      </c>
    </row>
    <row r="128">
      <c r="A128" s="4" t="inlineStr">
        <is>
          <t>Excel for managers</t>
        </is>
      </c>
    </row>
    <row r="129">
      <c r="A129" s="9" t="inlineStr">
        <is>
          <t>Contribution ÷ revenue for this engagement</t>
        </is>
      </c>
    </row>
    <row r="130">
      <c r="A130" s="20" t="inlineStr"/>
      <c r="B130" s="20" t="inlineStr">
        <is>
          <t>Sep 2026</t>
        </is>
      </c>
    </row>
    <row r="131">
      <c r="A131" s="21" t="inlineStr">
        <is>
          <t>Type</t>
        </is>
      </c>
      <c r="B131" s="22" t="inlineStr">
        <is>
          <t>Training</t>
        </is>
      </c>
    </row>
    <row r="132">
      <c r="A132" s="21" t="inlineStr">
        <is>
          <t>Hours</t>
        </is>
      </c>
      <c r="B132" s="22" t="inlineStr">
        <is>
          <t>30 h</t>
        </is>
      </c>
    </row>
    <row r="133">
      <c r="A133" s="21" t="inlineStr">
        <is>
          <t>Revenue</t>
        </is>
      </c>
      <c r="B133" s="22" t="inlineStr">
        <is>
          <t>$8,800</t>
        </is>
      </c>
    </row>
    <row r="134">
      <c r="A134" s="21" t="inlineStr">
        <is>
          <t>Contractors</t>
        </is>
      </c>
      <c r="B134" s="22" t="inlineStr">
        <is>
          <t>$-1,500</t>
        </is>
      </c>
    </row>
    <row r="135">
      <c r="A135" s="21" t="inlineStr">
        <is>
          <t>Consultant time</t>
        </is>
      </c>
      <c r="B135" s="22" t="inlineStr">
        <is>
          <t>30 h × $60 = $-1,800</t>
        </is>
      </c>
    </row>
    <row r="136">
      <c r="A136" s="21" t="inlineStr">
        <is>
          <t>Contribution</t>
        </is>
      </c>
      <c r="B136" s="22" t="inlineStr">
        <is>
          <t>$5,500</t>
        </is>
      </c>
    </row>
    <row r="137">
      <c r="A137" s="21" t="inlineStr">
        <is>
          <t>Margin</t>
        </is>
      </c>
      <c r="B137" s="22" t="inlineStr">
        <is>
          <t>62.5%</t>
        </is>
      </c>
    </row>
    <row r="140">
      <c r="A140" s="4" t="inlineStr">
        <is>
          <t>Power BI basics</t>
        </is>
      </c>
    </row>
    <row r="141">
      <c r="A141" s="9" t="inlineStr">
        <is>
          <t>Contribution ÷ revenue for this engagement</t>
        </is>
      </c>
    </row>
    <row r="142">
      <c r="A142" s="20" t="inlineStr"/>
      <c r="B142" s="20" t="inlineStr">
        <is>
          <t>Sep 2026</t>
        </is>
      </c>
    </row>
    <row r="143">
      <c r="A143" s="21" t="inlineStr">
        <is>
          <t>Type</t>
        </is>
      </c>
      <c r="B143" s="22" t="inlineStr">
        <is>
          <t>Training</t>
        </is>
      </c>
    </row>
    <row r="144">
      <c r="A144" s="21" t="inlineStr">
        <is>
          <t>Hours</t>
        </is>
      </c>
      <c r="B144" s="22" t="inlineStr">
        <is>
          <t>14 h</t>
        </is>
      </c>
    </row>
    <row r="145">
      <c r="A145" s="21" t="inlineStr">
        <is>
          <t>Revenue</t>
        </is>
      </c>
      <c r="B145" s="22" t="inlineStr">
        <is>
          <t>$4,600</t>
        </is>
      </c>
    </row>
    <row r="146">
      <c r="A146" s="21" t="inlineStr">
        <is>
          <t>Contractors</t>
        </is>
      </c>
      <c r="B146" s="22" t="inlineStr">
        <is>
          <t>$0</t>
        </is>
      </c>
    </row>
    <row r="147">
      <c r="A147" s="21" t="inlineStr">
        <is>
          <t>Consultant time</t>
        </is>
      </c>
      <c r="B147" s="22" t="inlineStr">
        <is>
          <t>14 h × $60 = $-840</t>
        </is>
      </c>
    </row>
    <row r="148">
      <c r="A148" s="21" t="inlineStr">
        <is>
          <t>Contribution</t>
        </is>
      </c>
      <c r="B148" s="22" t="inlineStr">
        <is>
          <t>$3,760</t>
        </is>
      </c>
    </row>
    <row r="149">
      <c r="A149" s="21" t="inlineStr">
        <is>
          <t>Margin</t>
        </is>
      </c>
      <c r="B149" s="22" t="inlineStr">
        <is>
          <t>81.7%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23" t="inlineStr">
        <is>
          <t>Month</t>
        </is>
      </c>
      <c r="B4" s="23" t="inlineStr">
        <is>
          <t>Engagement</t>
        </is>
      </c>
      <c r="C4" s="23" t="inlineStr">
        <is>
          <t>Type</t>
        </is>
      </c>
      <c r="D4" s="24" t="inlineStr">
        <is>
          <t>Hours</t>
        </is>
      </c>
      <c r="E4" s="24" t="inlineStr">
        <is>
          <t>Revenue</t>
        </is>
      </c>
      <c r="F4" s="24" t="inlineStr">
        <is>
          <t>Billed</t>
        </is>
      </c>
      <c r="G4" s="24" t="inlineStr">
        <is>
          <t>Contractors</t>
        </is>
      </c>
      <c r="H4" s="24" t="inlineStr">
        <is>
          <t>Consultant time cost</t>
        </is>
      </c>
      <c r="I4" s="24" t="inlineStr">
        <is>
          <t>Contribution</t>
        </is>
      </c>
      <c r="J4" s="24" t="inlineStr">
        <is>
          <t>Margin %</t>
        </is>
      </c>
    </row>
    <row r="5">
      <c r="A5" t="inlineStr">
        <is>
          <t>2026-09</t>
        </is>
      </c>
      <c r="B5" t="inlineStr">
        <is>
          <t>Agribusiness CFO support</t>
        </is>
      </c>
      <c r="C5" t="inlineStr">
        <is>
          <t>Retainer</t>
        </is>
      </c>
      <c r="D5" s="25" t="n">
        <v>70</v>
      </c>
      <c r="E5" s="25" t="n">
        <v>12000</v>
      </c>
      <c r="F5" s="25" t="n">
        <v>12000</v>
      </c>
      <c r="G5" s="25" t="n">
        <v>0</v>
      </c>
      <c r="H5" s="25" t="n">
        <v>4200</v>
      </c>
      <c r="I5" s="25" t="n">
        <v>7800</v>
      </c>
      <c r="J5" s="8" t="n">
        <v>65</v>
      </c>
    </row>
    <row r="6">
      <c r="A6" t="inlineStr">
        <is>
          <t>2026-09</t>
        </is>
      </c>
      <c r="B6" t="inlineStr">
        <is>
          <t>Construction firm finance</t>
        </is>
      </c>
      <c r="C6" t="inlineStr">
        <is>
          <t>Retainer</t>
        </is>
      </c>
      <c r="D6" s="25" t="n">
        <v>58</v>
      </c>
      <c r="E6" s="25" t="n">
        <v>9500</v>
      </c>
      <c r="F6" s="25" t="n">
        <v>9500</v>
      </c>
      <c r="G6" s="25" t="n">
        <v>0</v>
      </c>
      <c r="H6" s="25" t="n">
        <v>3480</v>
      </c>
      <c r="I6" s="25" t="n">
        <v>6020</v>
      </c>
      <c r="J6" s="8" t="n">
        <v>63.4</v>
      </c>
    </row>
    <row r="7">
      <c r="A7" t="inlineStr">
        <is>
          <t>2026-09</t>
        </is>
      </c>
      <c r="B7" t="inlineStr">
        <is>
          <t>Dental group reporting</t>
        </is>
      </c>
      <c r="C7" t="inlineStr">
        <is>
          <t>Retainer</t>
        </is>
      </c>
      <c r="D7" s="25" t="n">
        <v>44</v>
      </c>
      <c r="E7" s="25" t="n">
        <v>6800</v>
      </c>
      <c r="F7" s="25" t="n">
        <v>6800</v>
      </c>
      <c r="G7" s="25" t="n">
        <v>0</v>
      </c>
      <c r="H7" s="25" t="n">
        <v>2640</v>
      </c>
      <c r="I7" s="25" t="n">
        <v>4160</v>
      </c>
      <c r="J7" s="8" t="n">
        <v>61.2</v>
      </c>
    </row>
    <row r="8">
      <c r="A8" t="inlineStr">
        <is>
          <t>2026-09</t>
        </is>
      </c>
      <c r="B8" t="inlineStr">
        <is>
          <t>Excel for managers</t>
        </is>
      </c>
      <c r="C8" t="inlineStr">
        <is>
          <t>Training</t>
        </is>
      </c>
      <c r="D8" s="25" t="n">
        <v>30</v>
      </c>
      <c r="E8" s="25" t="n">
        <v>8800</v>
      </c>
      <c r="F8" s="25" t="n">
        <v>8800</v>
      </c>
      <c r="G8" s="25" t="n">
        <v>1500</v>
      </c>
      <c r="H8" s="25" t="n">
        <v>1800</v>
      </c>
      <c r="I8" s="25" t="n">
        <v>5500</v>
      </c>
      <c r="J8" s="8" t="n">
        <v>62.5</v>
      </c>
    </row>
    <row r="9">
      <c r="A9" t="inlineStr">
        <is>
          <t>2026-09</t>
        </is>
      </c>
      <c r="B9" t="inlineStr">
        <is>
          <t>Health charity board pack</t>
        </is>
      </c>
      <c r="C9" t="inlineStr">
        <is>
          <t>Project</t>
        </is>
      </c>
      <c r="D9" s="25" t="n">
        <v>64</v>
      </c>
      <c r="E9" s="25" t="n">
        <v>10560</v>
      </c>
      <c r="F9" s="25" t="n">
        <v>10560</v>
      </c>
      <c r="G9" s="25" t="n">
        <v>0</v>
      </c>
      <c r="H9" s="25" t="n">
        <v>3840</v>
      </c>
      <c r="I9" s="25" t="n">
        <v>6720</v>
      </c>
      <c r="J9" s="8" t="n">
        <v>63.6</v>
      </c>
    </row>
    <row r="10">
      <c r="A10" t="inlineStr">
        <is>
          <t>2026-09</t>
        </is>
      </c>
      <c r="B10" t="inlineStr">
        <is>
          <t>Hospitality payroll</t>
        </is>
      </c>
      <c r="C10" t="inlineStr">
        <is>
          <t>Retainer</t>
        </is>
      </c>
      <c r="D10" s="25" t="n">
        <v>36</v>
      </c>
      <c r="E10" s="25" t="n">
        <v>4200</v>
      </c>
      <c r="F10" s="25" t="n">
        <v>4200</v>
      </c>
      <c r="G10" s="25" t="n">
        <v>0</v>
      </c>
      <c r="H10" s="25" t="n">
        <v>2160</v>
      </c>
      <c r="I10" s="25" t="n">
        <v>2040</v>
      </c>
      <c r="J10" s="8" t="n">
        <v>48.6</v>
      </c>
    </row>
    <row r="11">
      <c r="A11" t="inlineStr">
        <is>
          <t>2026-09</t>
        </is>
      </c>
      <c r="B11" t="inlineStr">
        <is>
          <t>Logistics systems rollout</t>
        </is>
      </c>
      <c r="C11" t="inlineStr">
        <is>
          <t>Project</t>
        </is>
      </c>
      <c r="D11" s="25" t="n">
        <v>210</v>
      </c>
      <c r="E11" s="25" t="n">
        <v>36750</v>
      </c>
      <c r="F11" s="25" t="n">
        <v>30000</v>
      </c>
      <c r="G11" s="25" t="n">
        <v>4800</v>
      </c>
      <c r="H11" s="25" t="n">
        <v>12600</v>
      </c>
      <c r="I11" s="25" t="n">
        <v>19350</v>
      </c>
      <c r="J11" s="8" t="n">
        <v>52.7</v>
      </c>
    </row>
    <row r="12">
      <c r="A12" t="inlineStr">
        <is>
          <t>2026-09</t>
        </is>
      </c>
      <c r="B12" t="inlineStr">
        <is>
          <t>Manufacturer process mapping</t>
        </is>
      </c>
      <c r="C12" t="inlineStr">
        <is>
          <t>Project</t>
        </is>
      </c>
      <c r="D12" s="25" t="n">
        <v>120</v>
      </c>
      <c r="E12" s="25" t="n">
        <v>20400</v>
      </c>
      <c r="F12" s="25" t="n">
        <v>24000</v>
      </c>
      <c r="G12" s="25" t="n">
        <v>2200</v>
      </c>
      <c r="H12" s="25" t="n">
        <v>7200</v>
      </c>
      <c r="I12" s="25" t="n">
        <v>11000</v>
      </c>
      <c r="J12" s="8" t="n">
        <v>53.9</v>
      </c>
    </row>
    <row r="13">
      <c r="A13" t="inlineStr">
        <is>
          <t>2026-09</t>
        </is>
      </c>
      <c r="B13" t="inlineStr">
        <is>
          <t>Power BI basics</t>
        </is>
      </c>
      <c r="C13" t="inlineStr">
        <is>
          <t>Training</t>
        </is>
      </c>
      <c r="D13" s="25" t="n">
        <v>14</v>
      </c>
      <c r="E13" s="25" t="n">
        <v>4600</v>
      </c>
      <c r="F13" s="25" t="n">
        <v>4600</v>
      </c>
      <c r="G13" s="25" t="n">
        <v>0</v>
      </c>
      <c r="H13" s="25" t="n">
        <v>840</v>
      </c>
      <c r="I13" s="25" t="n">
        <v>3760</v>
      </c>
      <c r="J13" s="8" t="n">
        <v>81.7</v>
      </c>
    </row>
    <row r="14">
      <c r="A14" t="inlineStr">
        <is>
          <t>2026-09</t>
        </is>
      </c>
      <c r="B14" t="inlineStr">
        <is>
          <t>Retail pricing review</t>
        </is>
      </c>
      <c r="C14" t="inlineStr">
        <is>
          <t>Project</t>
        </is>
      </c>
      <c r="D14" s="25" t="n">
        <v>96</v>
      </c>
      <c r="E14" s="25" t="n">
        <v>18240</v>
      </c>
      <c r="F14" s="25" t="n">
        <v>0</v>
      </c>
      <c r="G14" s="25" t="n">
        <v>0</v>
      </c>
      <c r="H14" s="25" t="n">
        <v>5760</v>
      </c>
      <c r="I14" s="25" t="n">
        <v>12480</v>
      </c>
      <c r="J14" s="8" t="n">
        <v>68.40000000000001</v>
      </c>
    </row>
    <row r="15">
      <c r="A15" t="inlineStr">
        <is>
          <t>2026-08</t>
        </is>
      </c>
      <c r="B15" t="inlineStr">
        <is>
          <t>Agribusiness CFO support</t>
        </is>
      </c>
      <c r="C15" t="inlineStr">
        <is>
          <t>Retainer</t>
        </is>
      </c>
      <c r="D15" s="25" t="n">
        <v>68</v>
      </c>
      <c r="E15" s="25" t="n">
        <v>12000</v>
      </c>
      <c r="F15" s="25" t="n">
        <v>12000</v>
      </c>
      <c r="G15" s="25" t="n">
        <v>0</v>
      </c>
      <c r="H15" s="25" t="n">
        <v>4080</v>
      </c>
      <c r="I15" s="25" t="n">
        <v>7920</v>
      </c>
      <c r="J15" s="8" t="n">
        <v>66</v>
      </c>
    </row>
    <row r="16">
      <c r="A16" t="inlineStr">
        <is>
          <t>2026-08</t>
        </is>
      </c>
      <c r="B16" t="inlineStr">
        <is>
          <t>Budgeting workshop</t>
        </is>
      </c>
      <c r="C16" t="inlineStr">
        <is>
          <t>Training</t>
        </is>
      </c>
      <c r="D16" s="25" t="n">
        <v>20</v>
      </c>
      <c r="E16" s="25" t="n">
        <v>6400</v>
      </c>
      <c r="F16" s="25" t="n">
        <v>6400</v>
      </c>
      <c r="G16" s="25" t="n">
        <v>900</v>
      </c>
      <c r="H16" s="25" t="n">
        <v>1200</v>
      </c>
      <c r="I16" s="25" t="n">
        <v>4300</v>
      </c>
      <c r="J16" s="8" t="n">
        <v>67.2</v>
      </c>
    </row>
    <row r="17">
      <c r="A17" t="inlineStr">
        <is>
          <t>2026-08</t>
        </is>
      </c>
      <c r="B17" t="inlineStr">
        <is>
          <t>Construction firm finance</t>
        </is>
      </c>
      <c r="C17" t="inlineStr">
        <is>
          <t>Retainer</t>
        </is>
      </c>
      <c r="D17" s="25" t="n">
        <v>56</v>
      </c>
      <c r="E17" s="25" t="n">
        <v>9500</v>
      </c>
      <c r="F17" s="25" t="n">
        <v>9500</v>
      </c>
      <c r="G17" s="25" t="n">
        <v>0</v>
      </c>
      <c r="H17" s="25" t="n">
        <v>3360</v>
      </c>
      <c r="I17" s="25" t="n">
        <v>6140</v>
      </c>
      <c r="J17" s="8" t="n">
        <v>64.59999999999999</v>
      </c>
    </row>
    <row r="18">
      <c r="A18" t="inlineStr">
        <is>
          <t>2026-08</t>
        </is>
      </c>
      <c r="B18" t="inlineStr">
        <is>
          <t>Dental group reporting</t>
        </is>
      </c>
      <c r="C18" t="inlineStr">
        <is>
          <t>Retainer</t>
        </is>
      </c>
      <c r="D18" s="25" t="n">
        <v>42</v>
      </c>
      <c r="E18" s="25" t="n">
        <v>6800</v>
      </c>
      <c r="F18" s="25" t="n">
        <v>6800</v>
      </c>
      <c r="G18" s="25" t="n">
        <v>0</v>
      </c>
      <c r="H18" s="25" t="n">
        <v>2520</v>
      </c>
      <c r="I18" s="25" t="n">
        <v>4280</v>
      </c>
      <c r="J18" s="8" t="n">
        <v>62.9</v>
      </c>
    </row>
    <row r="19">
      <c r="A19" t="inlineStr">
        <is>
          <t>2026-08</t>
        </is>
      </c>
      <c r="B19" t="inlineStr">
        <is>
          <t>Distributor cost-to-serve</t>
        </is>
      </c>
      <c r="C19" t="inlineStr">
        <is>
          <t>Project</t>
        </is>
      </c>
      <c r="D19" s="25" t="n">
        <v>88</v>
      </c>
      <c r="E19" s="25" t="n">
        <v>15840</v>
      </c>
      <c r="F19" s="25" t="n">
        <v>15840</v>
      </c>
      <c r="G19" s="25" t="n">
        <v>0</v>
      </c>
      <c r="H19" s="25" t="n">
        <v>5280</v>
      </c>
      <c r="I19" s="25" t="n">
        <v>10560</v>
      </c>
      <c r="J19" s="8" t="n">
        <v>66.7</v>
      </c>
    </row>
    <row r="20">
      <c r="A20" t="inlineStr">
        <is>
          <t>2026-08</t>
        </is>
      </c>
      <c r="B20" t="inlineStr">
        <is>
          <t>Hospitality payroll</t>
        </is>
      </c>
      <c r="C20" t="inlineStr">
        <is>
          <t>Retainer</t>
        </is>
      </c>
      <c r="D20" s="25" t="n">
        <v>34</v>
      </c>
      <c r="E20" s="25" t="n">
        <v>4200</v>
      </c>
      <c r="F20" s="25" t="n">
        <v>4200</v>
      </c>
      <c r="G20" s="25" t="n">
        <v>0</v>
      </c>
      <c r="H20" s="25" t="n">
        <v>2040</v>
      </c>
      <c r="I20" s="25" t="n">
        <v>2160</v>
      </c>
      <c r="J20" s="8" t="n">
        <v>51.4</v>
      </c>
    </row>
    <row r="21">
      <c r="A21" t="inlineStr">
        <is>
          <t>2026-08</t>
        </is>
      </c>
      <c r="B21" t="inlineStr">
        <is>
          <t>Logistics systems rollout</t>
        </is>
      </c>
      <c r="C21" t="inlineStr">
        <is>
          <t>Project</t>
        </is>
      </c>
      <c r="D21" s="25" t="n">
        <v>180</v>
      </c>
      <c r="E21" s="25" t="n">
        <v>31500</v>
      </c>
      <c r="F21" s="25" t="n">
        <v>0</v>
      </c>
      <c r="G21" s="25" t="n">
        <v>4200</v>
      </c>
      <c r="H21" s="25" t="n">
        <v>10800</v>
      </c>
      <c r="I21" s="25" t="n">
        <v>16500</v>
      </c>
      <c r="J21" s="8" t="n">
        <v>52.4</v>
      </c>
    </row>
    <row r="22">
      <c r="A22" t="inlineStr">
        <is>
          <t>2026-08</t>
        </is>
      </c>
      <c r="B22" t="inlineStr">
        <is>
          <t>Manufacturer process mapping</t>
        </is>
      </c>
      <c r="C22" t="inlineStr">
        <is>
          <t>Project</t>
        </is>
      </c>
      <c r="D22" s="25" t="n">
        <v>100</v>
      </c>
      <c r="E22" s="25" t="n">
        <v>17000</v>
      </c>
      <c r="F22" s="25" t="n">
        <v>0</v>
      </c>
      <c r="G22" s="25" t="n">
        <v>1800</v>
      </c>
      <c r="H22" s="25" t="n">
        <v>6000</v>
      </c>
      <c r="I22" s="25" t="n">
        <v>9200</v>
      </c>
      <c r="J22" s="8" t="n">
        <v>54.1</v>
      </c>
    </row>
    <row r="23">
      <c r="A23" t="inlineStr">
        <is>
          <t>2026-08</t>
        </is>
      </c>
      <c r="B23" t="inlineStr">
        <is>
          <t>Retail pricing review</t>
        </is>
      </c>
      <c r="C23" t="inlineStr">
        <is>
          <t>Project</t>
        </is>
      </c>
      <c r="D23" s="25" t="n">
        <v>60</v>
      </c>
      <c r="E23" s="25" t="n">
        <v>11400</v>
      </c>
      <c r="F23" s="25" t="n">
        <v>0</v>
      </c>
      <c r="G23" s="25" t="n">
        <v>0</v>
      </c>
      <c r="H23" s="25" t="n">
        <v>3600</v>
      </c>
      <c r="I23" s="25" t="n">
        <v>7800</v>
      </c>
      <c r="J23" s="8" t="n">
        <v>68.40000000000001</v>
      </c>
    </row>
  </sheetData>
  <autoFilter ref="A4:J2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2" t="inlineStr">
        <is>
          <t>The business</t>
        </is>
      </c>
    </row>
    <row r="5">
      <c r="A5" s="26" t="inlineStr">
        <is>
          <t>What it is</t>
        </is>
      </c>
      <c r="B5" s="27" t="inlineStr">
        <is>
          <t>A Brisbane finance and operations consultancy: projects billed on milestones, monthly retainers and training. 6 consultants, 3 management and admin staff.</t>
        </is>
      </c>
    </row>
    <row r="6">
      <c r="A6" s="26" t="inlineStr">
        <is>
          <t>Reporting month</t>
        </is>
      </c>
      <c r="B6" s="27" t="inlineStr">
        <is>
          <t>September 2026, compared with August 2026</t>
        </is>
      </c>
    </row>
    <row r="7">
      <c r="A7" s="26" t="inlineStr">
        <is>
          <t>Financial year</t>
        </is>
      </c>
      <c r="B7" s="27" t="inlineStr">
        <is>
          <t>FY2027: 1 July 2026 to 30 June 2027</t>
        </is>
      </c>
    </row>
    <row r="9">
      <c r="A9" s="12" t="inlineStr">
        <is>
          <t>Engagements (September)</t>
        </is>
      </c>
    </row>
    <row r="10">
      <c r="A10" s="26" t="inlineStr">
        <is>
          <t>Projects</t>
        </is>
      </c>
      <c r="B10" s="27" t="inlineStr">
        <is>
          <t>hours worked at each project's rate; billed on milestones (unbilled time = work in progress)</t>
        </is>
      </c>
    </row>
    <row r="11">
      <c r="A11" s="26" t="inlineStr">
        <is>
          <t>Retainers</t>
        </is>
      </c>
      <c r="B11" s="27" t="inlineStr">
        <is>
          <t>fixed monthly fee, billed monthly</t>
        </is>
      </c>
    </row>
    <row r="12">
      <c r="A12" s="26" t="inlineStr">
        <is>
          <t>Training</t>
        </is>
      </c>
      <c r="B12" s="27" t="inlineStr">
        <is>
          <t>fixed fee, billed on delivery</t>
        </is>
      </c>
    </row>
    <row r="13">
      <c r="A13" s="26" t="inlineStr">
        <is>
          <t>Engagements in September</t>
        </is>
      </c>
      <c r="B13" s="27" t="inlineStr">
        <is>
          <t>10 (every one is in the Excel download and CSV)</t>
        </is>
      </c>
    </row>
    <row r="15">
      <c r="A15" s="12" t="inlineStr">
        <is>
          <t>Costs</t>
        </is>
      </c>
    </row>
    <row r="16">
      <c r="A16" s="26" t="inlineStr">
        <is>
          <t>Consultants</t>
        </is>
      </c>
      <c r="B16" s="27" t="inlineStr">
        <is>
          <t>6 on salary: $46,500 a month incl. super</t>
        </is>
      </c>
    </row>
    <row r="17">
      <c r="A17" s="26" t="inlineStr">
        <is>
          <t>Engagement costing rate</t>
        </is>
      </c>
      <c r="B17" s="27" t="inlineStr">
        <is>
          <t>$60/hour for consultant time</t>
        </is>
      </c>
    </row>
    <row r="18">
      <c r="A18" s="26" t="inlineStr">
        <is>
          <t>Working days</t>
        </is>
      </c>
      <c r="B18" s="27" t="inlineStr">
        <is>
          <t>20 in August (Ekka show holiday), 22 in September; 7.6 hours a day</t>
        </is>
      </c>
    </row>
    <row r="19">
      <c r="A19" s="26" t="inlineStr">
        <is>
          <t>Income tax</t>
        </is>
      </c>
      <c r="B19" s="27" t="inlineStr">
        <is>
          <t>25% of profit, provided monthly</t>
        </is>
      </c>
    </row>
    <row r="21">
      <c r="A21" s="12" t="inlineStr">
        <is>
          <t>Cash and balance sheet</t>
        </is>
      </c>
    </row>
    <row r="22">
      <c r="A22" s="26" t="inlineStr">
        <is>
          <t>Client payments</t>
        </is>
      </c>
      <c r="B22" s="27" t="inlineStr">
        <is>
          <t>each invoice is paid on its own date; unpaid invoices at month end = debtors</t>
        </is>
      </c>
    </row>
    <row r="23">
      <c r="A23" s="26" t="inlineStr">
        <is>
          <t>Contractors</t>
        </is>
      </c>
      <c r="B23" s="27" t="inlineStr">
        <is>
          <t>paid the following month</t>
        </is>
      </c>
    </row>
    <row r="24">
      <c r="A24" s="26" t="inlineStr">
        <is>
          <t>GST</t>
        </is>
      </c>
      <c r="B24" s="27" t="inlineStr">
        <is>
          <t>excluded throughout, for simplicity</t>
        </is>
      </c>
    </row>
    <row r="26">
      <c r="A26" s="12" t="inlineStr">
        <is>
          <t>Checks (all passed)</t>
        </is>
      </c>
    </row>
    <row r="27">
      <c r="A27" t="inlineStr">
        <is>
          <t>✓ Every subtotal and total adds up</t>
        </is>
      </c>
    </row>
    <row r="28">
      <c r="A28" t="inlineStr">
        <is>
          <t>✓ Balance sheet balances: assets = liabilities + equity</t>
        </is>
      </c>
    </row>
    <row r="29">
      <c r="A29" t="inlineStr">
        <is>
          <t>✓ Cash flow ends at the cash in the bank</t>
        </is>
      </c>
    </row>
    <row r="30">
      <c r="A30" t="inlineStr">
        <is>
          <t>✓ Profit ties to the movement in retained earnings</t>
        </is>
      </c>
    </row>
    <row r="31">
      <c r="A31" t="inlineStr">
        <is>
          <t>✓ Every engagement's revenue adds up to the P&amp;L</t>
        </is>
      </c>
    </row>
    <row r="32">
      <c r="A32" t="inlineStr">
        <is>
          <t>✓ Work in progress equals unbilled project time; debtors equal unpaid invoices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2026-10-06T01:02:23Z</dcterms:created>
  <dcterms:modified xmlns:dcterms="http://purl.org/dc/terms/" xmlns:xsi="http://www.w3.org/2001/XMLSchema-instance" xsi:type="dcterms:W3CDTF">2026-10-06T01:02:23Z</dcterms:modified>
</cp:coreProperties>
</file>